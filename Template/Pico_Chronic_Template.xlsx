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Per Line" sheetId="3" state="visible" r:id="rId3"/>
    <sheet xmlns:r="http://schemas.openxmlformats.org/officeDocument/2006/relationships" name="Per Invoice" sheetId="4" state="visible" r:id="rId4"/>
  </sheets>
  <definedNames>
    <definedName name="_xlnm._FilterDatabase" localSheetId="2" hidden="1">'Per Line'!$A$1:$AJ$1501</definedName>
    <definedName name="_xlnm._FilterDatabase" localSheetId="3" hidden="1">'Per Invoice'!$A$1:$W$301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 hh:mm"/>
    <numFmt numFmtId="165" formatCode="#,##0.00####"/>
    <numFmt numFmtId="166" formatCode="0.0%"/>
  </numFmts>
  <fonts count="6">
    <font>
      <name val="Calibri"/>
      <family val="2"/>
      <color theme="1"/>
      <sz val="11"/>
      <scheme val="minor"/>
    </font>
    <font>
      <b val="1"/>
    </font>
    <font>
      <color rgb="FF0000FF"/>
    </font>
    <font>
      <color rgb="FF808080"/>
    </font>
    <font>
      <b val="1"/>
      <sz val="14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D9D9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166" fontId="0" fillId="5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Claims Template - CHEIRON - PICO PETROLEUM (Chronic)</t>
        </is>
      </c>
    </row>
    <row r="3">
      <c r="A3" s="2" t="inlineStr">
        <is>
          <t>Monthly steps</t>
        </is>
      </c>
    </row>
    <row r="4">
      <c r="A4" s="3" t="inlineStr">
        <is>
          <t>1. Open the 'Per Line' tab. Delete the old data in the BLUE columns only (row 2 down). Never delete the green or grey columns.</t>
        </is>
      </c>
    </row>
    <row r="5">
      <c r="A5" s="3" t="inlineStr">
        <is>
          <t>2. Paste the new month's data as VALUES starting at A2, into the blue columns: A-I, K-Q, U-V, X-AE (same order as the system export).</t>
        </is>
      </c>
    </row>
    <row r="6">
      <c r="A6" s="3" t="inlineStr">
        <is>
          <t>3. Green columns (J, R, S, T, W) and the grey helper columns (AF-AJ) calculate automatically - do not paste over them.</t>
        </is>
      </c>
    </row>
    <row r="7">
      <c r="A7" s="3" t="inlineStr">
        <is>
          <t>4. 'Per Invoice' fills itself from 'Per Line' (one row per Order #, split into IMP / Local). No pivot table, no refresh.</t>
        </is>
      </c>
    </row>
    <row r="8">
      <c r="A8" s="3" t="inlineStr">
        <is>
          <t>5. The ONLY manual column in 'Per Invoice' is column A 'Invoice' (blue): type it yourself. Everything else is formula.</t>
        </is>
      </c>
    </row>
    <row r="9">
      <c r="A9" s="3" t="inlineStr">
        <is>
          <t>6. Open 'Settings' and check STATUS says OK (Per Line totals = Per Invoice totals).</t>
        </is>
      </c>
    </row>
    <row r="11">
      <c r="A11" s="2" t="inlineStr">
        <is>
          <t>Colour legend</t>
        </is>
      </c>
    </row>
    <row r="12">
      <c r="A12" s="3" t="inlineStr">
        <is>
          <t>Blue header = typed/pasted by you (raw data, and 'Invoice' in Per Invoice).   Green header = formula (do not paste over).   Grey header = helper formula (do not touch).   Yellow cell (Settings) = editable rate.</t>
        </is>
      </c>
    </row>
    <row r="14">
      <c r="A14" s="2" t="inlineStr">
        <is>
          <t>Calculation rules (taken from the September 2026 sheet)</t>
        </is>
      </c>
    </row>
    <row r="15">
      <c r="A15" s="3" t="inlineStr">
        <is>
          <t>Co val = Order Co Payment x Total / 100.   Discount = Total x Rebates / 100.   Subtotal = Total - Discount.   Net = Subtotal - Co val.   (Total = 'Product Total')</t>
        </is>
      </c>
    </row>
    <row r="16">
      <c r="A16" s="3" t="inlineStr">
        <is>
          <t>Rebates per line = Local rate (15%) if Local is TRUE, otherwise Imported rate (5%). Lines with 'Special Rebates?' = Yes get 0%. Rates are set in 'Settings'.</t>
        </is>
      </c>
    </row>
    <row r="18">
      <c r="A18" s="3" t="inlineStr">
        <is>
          <t>Per Invoice: IMP = sum of Total of non-local lines; Local = sum of Total of local lines; Special = sum of Total of special-rebate lines (no discount). Grand Total = Special + IMP + Local. Discount = IMP val + Local val. Subtotal = Grand Total - Discount. Co val = Co Payment x Grand Total / 100. Net = Subtotal - Co val.</t>
        </is>
      </c>
    </row>
    <row r="20">
      <c r="A20" s="3" t="inlineStr">
        <is>
          <t>Capacity: up to 1,500 lines and 300 invoices per month. A line with an empty Order # is ignored.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23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26" customWidth="1" min="3" max="3"/>
    <col width="90" customWidth="1" min="4" max="4"/>
  </cols>
  <sheetData>
    <row r="1">
      <c r="B1" s="4" t="inlineStr">
        <is>
          <t>Company settings &amp; checks</t>
        </is>
      </c>
    </row>
    <row r="3">
      <c r="B3" t="inlineStr">
        <is>
          <t>Insurance Company</t>
        </is>
      </c>
      <c r="C3" t="inlineStr">
        <is>
          <t>CHEIRON - PICO PETROLEUM</t>
        </is>
      </c>
      <c r="D3" t="inlineStr">
        <is>
          <t>Informational only</t>
        </is>
      </c>
    </row>
    <row r="4">
      <c r="B4" t="inlineStr">
        <is>
          <t>Corporate</t>
        </is>
      </c>
      <c r="C4" t="inlineStr">
        <is>
          <t>Pico Indvidual; Pico الشركات المشتركة; Pico 1st floor; Pico 2nd floor; Pico 3rd floor; Pico 4th floor; Pico G floor</t>
        </is>
      </c>
      <c r="D4" t="inlineStr">
        <is>
          <t>Informational only</t>
        </is>
      </c>
    </row>
    <row r="5">
      <c r="B5" t="inlineStr">
        <is>
          <t>Sheet type</t>
        </is>
      </c>
      <c r="C5" t="inlineStr">
        <is>
          <t>Chronic</t>
        </is>
      </c>
      <c r="D5" t="inlineStr">
        <is>
          <t>Informational only</t>
        </is>
      </c>
    </row>
    <row r="6">
      <c r="B6" t="inlineStr">
        <is>
          <t>Local products rebate %</t>
        </is>
      </c>
      <c r="C6" s="5" t="n">
        <v>0.15</v>
      </c>
      <c r="D6" t="inlineStr">
        <is>
          <t>Source: Sep sheet (Rebates = 15 on Local lines, 0 on Special Rebates = Yes).</t>
        </is>
      </c>
    </row>
    <row r="7">
      <c r="B7" t="inlineStr">
        <is>
          <t>Imported (IMP) products rebate %</t>
        </is>
      </c>
      <c r="C7" s="5" t="n">
        <v>0.05</v>
      </c>
      <c r="D7" t="inlineStr">
        <is>
          <t>Source: Sep sheet (Rebates = 5 on non-local lines).</t>
        </is>
      </c>
    </row>
    <row r="9">
      <c r="B9" s="6" t="inlineStr">
        <is>
          <t>Month totals / reconciliation</t>
        </is>
      </c>
    </row>
    <row r="10">
      <c r="B10" t="inlineStr">
        <is>
          <t>Lines loaded</t>
        </is>
      </c>
      <c r="C10">
        <f>COUNTA('Per Line'!$B$2:$B$1501)</f>
        <v/>
      </c>
    </row>
    <row r="11">
      <c r="B11" t="inlineStr">
        <is>
          <t>Invoices (unique Order #)</t>
        </is>
      </c>
      <c r="C11">
        <f>MAX('Per Line'!$AG$2:$AG$1501)</f>
        <v/>
      </c>
    </row>
    <row r="12">
      <c r="B12" t="inlineStr">
        <is>
          <t>Invoices shown in Per Invoice</t>
        </is>
      </c>
      <c r="C12">
        <f>SUMPRODUCT(--('Per Invoice'!$B$2:$B$301&lt;&gt;""))</f>
        <v/>
      </c>
    </row>
    <row r="13">
      <c r="B13" t="inlineStr">
        <is>
          <t>Grand Total - Per Line (Product Total)</t>
        </is>
      </c>
      <c r="C13" s="7">
        <f>SUM('Per Line'!$Q$2:$Q$1501)</f>
        <v/>
      </c>
    </row>
    <row r="14">
      <c r="B14" t="inlineStr">
        <is>
          <t>Grand Total - Per Invoice</t>
        </is>
      </c>
      <c r="C14" s="7">
        <f>SUM('Per Invoice'!$U$2:$U$301)</f>
        <v/>
      </c>
    </row>
    <row r="15">
      <c r="B15" t="inlineStr">
        <is>
          <t>Discount - Per Line</t>
        </is>
      </c>
      <c r="C15" s="7">
        <f>SUM('Per Line'!$R$2:$R$1501)</f>
        <v/>
      </c>
    </row>
    <row r="16">
      <c r="B16" t="inlineStr">
        <is>
          <t>Discount - Per Invoice</t>
        </is>
      </c>
      <c r="C16" s="7">
        <f>SUM('Per Invoice'!$S$2:$S$301)</f>
        <v/>
      </c>
    </row>
    <row r="17">
      <c r="B17" t="inlineStr">
        <is>
          <t>Co val - Per Line</t>
        </is>
      </c>
      <c r="C17" s="7">
        <f>SUM('Per Line'!$J$2:$J$1501)</f>
        <v/>
      </c>
    </row>
    <row r="18">
      <c r="B18" t="inlineStr">
        <is>
          <t>Co val - Per Invoice</t>
        </is>
      </c>
      <c r="C18" s="7">
        <f>SUM('Per Invoice'!$J$2:$J$301)</f>
        <v/>
      </c>
    </row>
    <row r="19">
      <c r="B19" t="inlineStr">
        <is>
          <t>Net - Per Line</t>
        </is>
      </c>
      <c r="C19" s="7">
        <f>SUM('Per Line'!$T$2:$T$1501)</f>
        <v/>
      </c>
    </row>
    <row r="20">
      <c r="B20" t="inlineStr">
        <is>
          <t>Net - Per Invoice</t>
        </is>
      </c>
      <c r="C20" s="7">
        <f>SUM('Per Invoice'!$V$2:$V$301)</f>
        <v/>
      </c>
    </row>
    <row r="21">
      <c r="B21" t="inlineStr">
        <is>
          <t>Max Limit adjustment (Co val, Per Invoice only)</t>
        </is>
      </c>
      <c r="C21" s="7" t="n">
        <v>0</v>
      </c>
      <c r="D21" t="inlineStr">
        <is>
          <t>This company's Per Invoice has no Max Limit rule.</t>
        </is>
      </c>
    </row>
    <row r="23">
      <c r="B23" s="6" t="inlineStr">
        <is>
          <t>STATUS</t>
        </is>
      </c>
      <c r="C23" s="6">
        <f>IF(C10=0,"No data loaded",IF(COUNTA('Per Line'!$B:$B)-1&gt;1500,"TOO MANY LINES - extend template",IF(C11&gt;300,"TOO MANY INVOICES - extend template",IF(AND(ROUND(C13-C14,2)=0,ROUND(C15-C16,2)=0,ROUND(C17+C21-C18,2)=0,ROUND(C19-C21-C20,2)=0,C11=C12),"OK","CHECK - Per Line and Per Invoice do not match"))))</f>
        <v/>
      </c>
      <c r="D23" t="inlineStr">
        <is>
          <t>Must say OK after you paste the month data.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8" customWidth="1" min="4" max="4"/>
    <col width="12" customWidth="1" min="5" max="5"/>
    <col width="24" customWidth="1" min="6" max="6"/>
    <col width="12" customWidth="1" min="7" max="7"/>
    <col width="26" customWidth="1" min="8" max="8"/>
    <col width="12" customWidth="1" min="9" max="9"/>
    <col width="11" customWidth="1" min="10" max="10"/>
    <col width="12" customWidth="1" min="11" max="11"/>
    <col width="44" customWidth="1" min="12" max="12"/>
    <col width="12" customWidth="1" min="13" max="13"/>
    <col width="20" customWidth="1" min="14" max="14"/>
    <col width="12" customWidth="1" min="15" max="15"/>
    <col width="12" customWidth="1" min="16" max="16"/>
    <col width="12" customWidth="1" min="17" max="17"/>
    <col width="11" customWidth="1" min="18" max="18"/>
    <col width="11" customWidth="1" min="19" max="19"/>
    <col width="11" customWidth="1" min="20" max="20"/>
    <col width="36" customWidth="1" min="21" max="21"/>
    <col width="12" customWidth="1" min="22" max="22"/>
    <col width="11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7" customWidth="1" min="30" max="30"/>
    <col width="12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</cols>
  <sheetData>
    <row r="1" ht="32" customHeight="1">
      <c r="A1" s="8" t="inlineStr">
        <is>
          <t>Ticket #</t>
        </is>
      </c>
      <c r="B1" s="8" t="inlineStr">
        <is>
          <t>Order #</t>
        </is>
      </c>
      <c r="C1" s="8" t="inlineStr">
        <is>
          <t>Create At</t>
        </is>
      </c>
      <c r="D1" s="8" t="inlineStr">
        <is>
          <t>Insurance Company</t>
        </is>
      </c>
      <c r="E1" s="8" t="inlineStr">
        <is>
          <t>Country Portal ID</t>
        </is>
      </c>
      <c r="F1" s="8" t="inlineStr">
        <is>
          <t>Corporate</t>
        </is>
      </c>
      <c r="G1" s="8" t="inlineStr">
        <is>
          <t>Card</t>
        </is>
      </c>
      <c r="H1" s="8" t="inlineStr">
        <is>
          <t>Name</t>
        </is>
      </c>
      <c r="I1" s="8" t="inlineStr">
        <is>
          <t>Order Co Payment</t>
        </is>
      </c>
      <c r="J1" s="9" t="inlineStr">
        <is>
          <t>Co val</t>
        </is>
      </c>
      <c r="K1" s="8" t="inlineStr">
        <is>
          <t>heisenberg id</t>
        </is>
      </c>
      <c r="L1" s="8" t="inlineStr">
        <is>
          <t>Product Name</t>
        </is>
      </c>
      <c r="M1" s="8" t="inlineStr">
        <is>
          <t>Local</t>
        </is>
      </c>
      <c r="N1" s="8" t="inlineStr">
        <is>
          <t>Unit</t>
        </is>
      </c>
      <c r="O1" s="8" t="inlineStr">
        <is>
          <t>Quantity</t>
        </is>
      </c>
      <c r="P1" s="8" t="inlineStr">
        <is>
          <t>Unit Price</t>
        </is>
      </c>
      <c r="Q1" s="8" t="inlineStr">
        <is>
          <t>Product Total</t>
        </is>
      </c>
      <c r="R1" s="9" t="inlineStr">
        <is>
          <t>Discount</t>
        </is>
      </c>
      <c r="S1" s="9" t="inlineStr">
        <is>
          <t>Subtotal</t>
        </is>
      </c>
      <c r="T1" s="9" t="inlineStr">
        <is>
          <t>Net</t>
        </is>
      </c>
      <c r="U1" s="8" t="inlineStr">
        <is>
          <t>ERX ID</t>
        </is>
      </c>
      <c r="V1" s="8" t="inlineStr">
        <is>
          <t>Special Rebates?</t>
        </is>
      </c>
      <c r="W1" s="9" t="inlineStr">
        <is>
          <t>Rebates</t>
        </is>
      </c>
      <c r="X1" s="8" t="inlineStr">
        <is>
          <t>Approval Type</t>
        </is>
      </c>
      <c r="Y1" s="8" t="inlineStr">
        <is>
          <t>Max Limit</t>
        </is>
      </c>
      <c r="Z1" s="8" t="inlineStr">
        <is>
          <t>Exceeding Limit</t>
        </is>
      </c>
      <c r="AA1" s="8" t="inlineStr">
        <is>
          <t>Amount collected from customer</t>
        </is>
      </c>
      <c r="AB1" s="8" t="inlineStr">
        <is>
          <t>By Patient (Delivered)</t>
        </is>
      </c>
      <c r="AC1" s="8" t="inlineStr">
        <is>
          <t>Dispense Number</t>
        </is>
      </c>
      <c r="AD1" s="8" t="inlineStr">
        <is>
          <t>Dispense Date</t>
        </is>
      </c>
      <c r="AE1" s="8" t="inlineStr">
        <is>
          <t>Has OTP?</t>
        </is>
      </c>
      <c r="AF1" s="10" t="inlineStr">
        <is>
          <t>Order 1st Row (helper)</t>
        </is>
      </c>
      <c r="AG1" s="10" t="inlineStr">
        <is>
          <t>Invoice # (helper)</t>
        </is>
      </c>
      <c r="AH1" s="10" t="inlineStr">
        <is>
          <t>Is Local (helper)</t>
        </is>
      </c>
      <c r="AI1" s="10" t="inlineStr">
        <is>
          <t>Is Special (helper)</t>
        </is>
      </c>
      <c r="AJ1" s="10" t="inlineStr">
        <is>
          <t>Sort Key (helper)</t>
        </is>
      </c>
    </row>
    <row r="2">
      <c r="C2" s="11" t="n"/>
      <c r="J2" s="7">
        <f>IF($B2="","",I2*Q2/100)</f>
        <v/>
      </c>
      <c r="P2" s="7" t="n"/>
      <c r="Q2" s="7" t="n"/>
      <c r="R2" s="7">
        <f>IF($B2="","",Q2*W2/100)</f>
        <v/>
      </c>
      <c r="S2" s="7">
        <f>IF($B2="","",Q2-R2)</f>
        <v/>
      </c>
      <c r="T2" s="7">
        <f>IF($B2="","",S2-J2)</f>
        <v/>
      </c>
      <c r="W2">
        <f>IF($B2="","",IF($AI2=1,0,IF($AH2=1,Settings!$C$6,Settings!$C$7))*100)</f>
        <v/>
      </c>
      <c r="AA2" s="7" t="n"/>
      <c r="AD2" s="11" t="n"/>
      <c r="AF2">
        <f>IF($B2="","",IF(COUNTIF($B$2:$B2,$B2)=1,1,0))</f>
        <v/>
      </c>
      <c r="AG2">
        <f>IF($AF2=1,SUMPRODUCT(--($AJ$2:$AJ$1501&lt;$AJ2))+1,"")</f>
        <v/>
      </c>
      <c r="AH2">
        <f>IF($B2="","",IF(OR($M2=TRUE(),$M2="TRUE"),1,0))</f>
        <v/>
      </c>
      <c r="AI2">
        <f>IF($B2="","",IF($V2="Yes",1,0))</f>
        <v/>
      </c>
      <c r="AJ2">
        <f>IF($AF2=1,IFERROR(IF(VALUE($B2)&lt;100000000,VALUE($B2),1000000000),IFERROR(IF(VALUE(MID($B2,2,20))&lt;100000000,VALUE(MID($B2,2,20)),1000000000),1000000000))+ROW()/100000,"")</f>
        <v/>
      </c>
    </row>
    <row r="3">
      <c r="C3" s="11" t="n"/>
      <c r="J3" s="7">
        <f>IF($B3="","",I3*Q3/100)</f>
        <v/>
      </c>
      <c r="P3" s="7" t="n"/>
      <c r="Q3" s="7" t="n"/>
      <c r="R3" s="7">
        <f>IF($B3="","",Q3*W3/100)</f>
        <v/>
      </c>
      <c r="S3" s="7">
        <f>IF($B3="","",Q3-R3)</f>
        <v/>
      </c>
      <c r="T3" s="7">
        <f>IF($B3="","",S3-J3)</f>
        <v/>
      </c>
      <c r="W3">
        <f>IF($B3="","",IF($AI3=1,0,IF($AH3=1,Settings!$C$6,Settings!$C$7))*100)</f>
        <v/>
      </c>
      <c r="AA3" s="7" t="n"/>
      <c r="AD3" s="11" t="n"/>
      <c r="AF3">
        <f>IF($B3="","",IF(COUNTIF($B$2:$B3,$B3)=1,1,0))</f>
        <v/>
      </c>
      <c r="AG3">
        <f>IF($AF3=1,SUMPRODUCT(--($AJ$2:$AJ$1501&lt;$AJ3))+1,"")</f>
        <v/>
      </c>
      <c r="AH3">
        <f>IF($B3="","",IF(OR($M3=TRUE(),$M3="TRUE"),1,0))</f>
        <v/>
      </c>
      <c r="AI3">
        <f>IF($B3="","",IF($V3="Yes",1,0))</f>
        <v/>
      </c>
      <c r="AJ3">
        <f>IF($AF3=1,IFERROR(IF(VALUE($B3)&lt;100000000,VALUE($B3),1000000000),IFERROR(IF(VALUE(MID($B3,2,20))&lt;100000000,VALUE(MID($B3,2,20)),1000000000),1000000000))+ROW()/100000,"")</f>
        <v/>
      </c>
    </row>
    <row r="4">
      <c r="C4" s="11" t="n"/>
      <c r="J4" s="7">
        <f>IF($B4="","",I4*Q4/100)</f>
        <v/>
      </c>
      <c r="P4" s="7" t="n"/>
      <c r="Q4" s="7" t="n"/>
      <c r="R4" s="7">
        <f>IF($B4="","",Q4*W4/100)</f>
        <v/>
      </c>
      <c r="S4" s="7">
        <f>IF($B4="","",Q4-R4)</f>
        <v/>
      </c>
      <c r="T4" s="7">
        <f>IF($B4="","",S4-J4)</f>
        <v/>
      </c>
      <c r="W4">
        <f>IF($B4="","",IF($AI4=1,0,IF($AH4=1,Settings!$C$6,Settings!$C$7))*100)</f>
        <v/>
      </c>
      <c r="AA4" s="7" t="n"/>
      <c r="AD4" s="11" t="n"/>
      <c r="AF4">
        <f>IF($B4="","",IF(COUNTIF($B$2:$B4,$B4)=1,1,0))</f>
        <v/>
      </c>
      <c r="AG4">
        <f>IF($AF4=1,SUMPRODUCT(--($AJ$2:$AJ$1501&lt;$AJ4))+1,"")</f>
        <v/>
      </c>
      <c r="AH4">
        <f>IF($B4="","",IF(OR($M4=TRUE(),$M4="TRUE"),1,0))</f>
        <v/>
      </c>
      <c r="AI4">
        <f>IF($B4="","",IF($V4="Yes",1,0))</f>
        <v/>
      </c>
      <c r="AJ4">
        <f>IF($AF4=1,IFERROR(IF(VALUE($B4)&lt;100000000,VALUE($B4),1000000000),IFERROR(IF(VALUE(MID($B4,2,20))&lt;100000000,VALUE(MID($B4,2,20)),1000000000),1000000000))+ROW()/100000,"")</f>
        <v/>
      </c>
    </row>
    <row r="5">
      <c r="C5" s="11" t="n"/>
      <c r="J5" s="7">
        <f>IF($B5="","",I5*Q5/100)</f>
        <v/>
      </c>
      <c r="P5" s="7" t="n"/>
      <c r="Q5" s="7" t="n"/>
      <c r="R5" s="7">
        <f>IF($B5="","",Q5*W5/100)</f>
        <v/>
      </c>
      <c r="S5" s="7">
        <f>IF($B5="","",Q5-R5)</f>
        <v/>
      </c>
      <c r="T5" s="7">
        <f>IF($B5="","",S5-J5)</f>
        <v/>
      </c>
      <c r="W5">
        <f>IF($B5="","",IF($AI5=1,0,IF($AH5=1,Settings!$C$6,Settings!$C$7))*100)</f>
        <v/>
      </c>
      <c r="AA5" s="7" t="n"/>
      <c r="AD5" s="11" t="n"/>
      <c r="AF5">
        <f>IF($B5="","",IF(COUNTIF($B$2:$B5,$B5)=1,1,0))</f>
        <v/>
      </c>
      <c r="AG5">
        <f>IF($AF5=1,SUMPRODUCT(--($AJ$2:$AJ$1501&lt;$AJ5))+1,"")</f>
        <v/>
      </c>
      <c r="AH5">
        <f>IF($B5="","",IF(OR($M5=TRUE(),$M5="TRUE"),1,0))</f>
        <v/>
      </c>
      <c r="AI5">
        <f>IF($B5="","",IF($V5="Yes",1,0))</f>
        <v/>
      </c>
      <c r="AJ5">
        <f>IF($AF5=1,IFERROR(IF(VALUE($B5)&lt;100000000,VALUE($B5),1000000000),IFERROR(IF(VALUE(MID($B5,2,20))&lt;100000000,VALUE(MID($B5,2,20)),1000000000),1000000000))+ROW()/100000,"")</f>
        <v/>
      </c>
    </row>
    <row r="6">
      <c r="C6" s="11" t="n"/>
      <c r="J6" s="7">
        <f>IF($B6="","",I6*Q6/100)</f>
        <v/>
      </c>
      <c r="P6" s="7" t="n"/>
      <c r="Q6" s="7" t="n"/>
      <c r="R6" s="7">
        <f>IF($B6="","",Q6*W6/100)</f>
        <v/>
      </c>
      <c r="S6" s="7">
        <f>IF($B6="","",Q6-R6)</f>
        <v/>
      </c>
      <c r="T6" s="7">
        <f>IF($B6="","",S6-J6)</f>
        <v/>
      </c>
      <c r="W6">
        <f>IF($B6="","",IF($AI6=1,0,IF($AH6=1,Settings!$C$6,Settings!$C$7))*100)</f>
        <v/>
      </c>
      <c r="AA6" s="7" t="n"/>
      <c r="AD6" s="11" t="n"/>
      <c r="AF6">
        <f>IF($B6="","",IF(COUNTIF($B$2:$B6,$B6)=1,1,0))</f>
        <v/>
      </c>
      <c r="AG6">
        <f>IF($AF6=1,SUMPRODUCT(--($AJ$2:$AJ$1501&lt;$AJ6))+1,"")</f>
        <v/>
      </c>
      <c r="AH6">
        <f>IF($B6="","",IF(OR($M6=TRUE(),$M6="TRUE"),1,0))</f>
        <v/>
      </c>
      <c r="AI6">
        <f>IF($B6="","",IF($V6="Yes",1,0))</f>
        <v/>
      </c>
      <c r="AJ6">
        <f>IF($AF6=1,IFERROR(IF(VALUE($B6)&lt;100000000,VALUE($B6),1000000000),IFERROR(IF(VALUE(MID($B6,2,20))&lt;100000000,VALUE(MID($B6,2,20)),1000000000),1000000000))+ROW()/100000,"")</f>
        <v/>
      </c>
    </row>
    <row r="7">
      <c r="C7" s="11" t="n"/>
      <c r="J7" s="7">
        <f>IF($B7="","",I7*Q7/100)</f>
        <v/>
      </c>
      <c r="P7" s="7" t="n"/>
      <c r="Q7" s="7" t="n"/>
      <c r="R7" s="7">
        <f>IF($B7="","",Q7*W7/100)</f>
        <v/>
      </c>
      <c r="S7" s="7">
        <f>IF($B7="","",Q7-R7)</f>
        <v/>
      </c>
      <c r="T7" s="7">
        <f>IF($B7="","",S7-J7)</f>
        <v/>
      </c>
      <c r="W7">
        <f>IF($B7="","",IF($AI7=1,0,IF($AH7=1,Settings!$C$6,Settings!$C$7))*100)</f>
        <v/>
      </c>
      <c r="AA7" s="7" t="n"/>
      <c r="AD7" s="11" t="n"/>
      <c r="AF7">
        <f>IF($B7="","",IF(COUNTIF($B$2:$B7,$B7)=1,1,0))</f>
        <v/>
      </c>
      <c r="AG7">
        <f>IF($AF7=1,SUMPRODUCT(--($AJ$2:$AJ$1501&lt;$AJ7))+1,"")</f>
        <v/>
      </c>
      <c r="AH7">
        <f>IF($B7="","",IF(OR($M7=TRUE(),$M7="TRUE"),1,0))</f>
        <v/>
      </c>
      <c r="AI7">
        <f>IF($B7="","",IF($V7="Yes",1,0))</f>
        <v/>
      </c>
      <c r="AJ7">
        <f>IF($AF7=1,IFERROR(IF(VALUE($B7)&lt;100000000,VALUE($B7),1000000000),IFERROR(IF(VALUE(MID($B7,2,20))&lt;100000000,VALUE(MID($B7,2,20)),1000000000),1000000000))+ROW()/100000,"")</f>
        <v/>
      </c>
    </row>
    <row r="8">
      <c r="C8" s="11" t="n"/>
      <c r="J8" s="7">
        <f>IF($B8="","",I8*Q8/100)</f>
        <v/>
      </c>
      <c r="P8" s="7" t="n"/>
      <c r="Q8" s="7" t="n"/>
      <c r="R8" s="7">
        <f>IF($B8="","",Q8*W8/100)</f>
        <v/>
      </c>
      <c r="S8" s="7">
        <f>IF($B8="","",Q8-R8)</f>
        <v/>
      </c>
      <c r="T8" s="7">
        <f>IF($B8="","",S8-J8)</f>
        <v/>
      </c>
      <c r="W8">
        <f>IF($B8="","",IF($AI8=1,0,IF($AH8=1,Settings!$C$6,Settings!$C$7))*100)</f>
        <v/>
      </c>
      <c r="AA8" s="7" t="n"/>
      <c r="AD8" s="11" t="n"/>
      <c r="AF8">
        <f>IF($B8="","",IF(COUNTIF($B$2:$B8,$B8)=1,1,0))</f>
        <v/>
      </c>
      <c r="AG8">
        <f>IF($AF8=1,SUMPRODUCT(--($AJ$2:$AJ$1501&lt;$AJ8))+1,"")</f>
        <v/>
      </c>
      <c r="AH8">
        <f>IF($B8="","",IF(OR($M8=TRUE(),$M8="TRUE"),1,0))</f>
        <v/>
      </c>
      <c r="AI8">
        <f>IF($B8="","",IF($V8="Yes",1,0))</f>
        <v/>
      </c>
      <c r="AJ8">
        <f>IF($AF8=1,IFERROR(IF(VALUE($B8)&lt;100000000,VALUE($B8),1000000000),IFERROR(IF(VALUE(MID($B8,2,20))&lt;100000000,VALUE(MID($B8,2,20)),1000000000),1000000000))+ROW()/100000,"")</f>
        <v/>
      </c>
    </row>
    <row r="9">
      <c r="C9" s="11" t="n"/>
      <c r="J9" s="7">
        <f>IF($B9="","",I9*Q9/100)</f>
        <v/>
      </c>
      <c r="P9" s="7" t="n"/>
      <c r="Q9" s="7" t="n"/>
      <c r="R9" s="7">
        <f>IF($B9="","",Q9*W9/100)</f>
        <v/>
      </c>
      <c r="S9" s="7">
        <f>IF($B9="","",Q9-R9)</f>
        <v/>
      </c>
      <c r="T9" s="7">
        <f>IF($B9="","",S9-J9)</f>
        <v/>
      </c>
      <c r="W9">
        <f>IF($B9="","",IF($AI9=1,0,IF($AH9=1,Settings!$C$6,Settings!$C$7))*100)</f>
        <v/>
      </c>
      <c r="AA9" s="7" t="n"/>
      <c r="AD9" s="11" t="n"/>
      <c r="AF9">
        <f>IF($B9="","",IF(COUNTIF($B$2:$B9,$B9)=1,1,0))</f>
        <v/>
      </c>
      <c r="AG9">
        <f>IF($AF9=1,SUMPRODUCT(--($AJ$2:$AJ$1501&lt;$AJ9))+1,"")</f>
        <v/>
      </c>
      <c r="AH9">
        <f>IF($B9="","",IF(OR($M9=TRUE(),$M9="TRUE"),1,0))</f>
        <v/>
      </c>
      <c r="AI9">
        <f>IF($B9="","",IF($V9="Yes",1,0))</f>
        <v/>
      </c>
      <c r="AJ9">
        <f>IF($AF9=1,IFERROR(IF(VALUE($B9)&lt;100000000,VALUE($B9),1000000000),IFERROR(IF(VALUE(MID($B9,2,20))&lt;100000000,VALUE(MID($B9,2,20)),1000000000),1000000000))+ROW()/100000,"")</f>
        <v/>
      </c>
    </row>
    <row r="10">
      <c r="C10" s="11" t="n"/>
      <c r="J10" s="7">
        <f>IF($B10="","",I10*Q10/100)</f>
        <v/>
      </c>
      <c r="P10" s="7" t="n"/>
      <c r="Q10" s="7" t="n"/>
      <c r="R10" s="7">
        <f>IF($B10="","",Q10*W10/100)</f>
        <v/>
      </c>
      <c r="S10" s="7">
        <f>IF($B10="","",Q10-R10)</f>
        <v/>
      </c>
      <c r="T10" s="7">
        <f>IF($B10="","",S10-J10)</f>
        <v/>
      </c>
      <c r="W10">
        <f>IF($B10="","",IF($AI10=1,0,IF($AH10=1,Settings!$C$6,Settings!$C$7))*100)</f>
        <v/>
      </c>
      <c r="AA10" s="7" t="n"/>
      <c r="AD10" s="11" t="n"/>
      <c r="AF10">
        <f>IF($B10="","",IF(COUNTIF($B$2:$B10,$B10)=1,1,0))</f>
        <v/>
      </c>
      <c r="AG10">
        <f>IF($AF10=1,SUMPRODUCT(--($AJ$2:$AJ$1501&lt;$AJ10))+1,"")</f>
        <v/>
      </c>
      <c r="AH10">
        <f>IF($B10="","",IF(OR($M10=TRUE(),$M10="TRUE"),1,0))</f>
        <v/>
      </c>
      <c r="AI10">
        <f>IF($B10="","",IF($V10="Yes",1,0))</f>
        <v/>
      </c>
      <c r="AJ10">
        <f>IF($AF10=1,IFERROR(IF(VALUE($B10)&lt;100000000,VALUE($B10),1000000000),IFERROR(IF(VALUE(MID($B10,2,20))&lt;100000000,VALUE(MID($B10,2,20)),1000000000),1000000000))+ROW()/100000,"")</f>
        <v/>
      </c>
    </row>
    <row r="11">
      <c r="C11" s="11" t="n"/>
      <c r="J11" s="7">
        <f>IF($B11="","",I11*Q11/100)</f>
        <v/>
      </c>
      <c r="P11" s="7" t="n"/>
      <c r="Q11" s="7" t="n"/>
      <c r="R11" s="7">
        <f>IF($B11="","",Q11*W11/100)</f>
        <v/>
      </c>
      <c r="S11" s="7">
        <f>IF($B11="","",Q11-R11)</f>
        <v/>
      </c>
      <c r="T11" s="7">
        <f>IF($B11="","",S11-J11)</f>
        <v/>
      </c>
      <c r="W11">
        <f>IF($B11="","",IF($AI11=1,0,IF($AH11=1,Settings!$C$6,Settings!$C$7))*100)</f>
        <v/>
      </c>
      <c r="AA11" s="7" t="n"/>
      <c r="AD11" s="11" t="n"/>
      <c r="AF11">
        <f>IF($B11="","",IF(COUNTIF($B$2:$B11,$B11)=1,1,0))</f>
        <v/>
      </c>
      <c r="AG11">
        <f>IF($AF11=1,SUMPRODUCT(--($AJ$2:$AJ$1501&lt;$AJ11))+1,"")</f>
        <v/>
      </c>
      <c r="AH11">
        <f>IF($B11="","",IF(OR($M11=TRUE(),$M11="TRUE"),1,0))</f>
        <v/>
      </c>
      <c r="AI11">
        <f>IF($B11="","",IF($V11="Yes",1,0))</f>
        <v/>
      </c>
      <c r="AJ11">
        <f>IF($AF11=1,IFERROR(IF(VALUE($B11)&lt;100000000,VALUE($B11),1000000000),IFERROR(IF(VALUE(MID($B11,2,20))&lt;100000000,VALUE(MID($B11,2,20)),1000000000),1000000000))+ROW()/100000,"")</f>
        <v/>
      </c>
    </row>
    <row r="12">
      <c r="C12" s="11" t="n"/>
      <c r="J12" s="7">
        <f>IF($B12="","",I12*Q12/100)</f>
        <v/>
      </c>
      <c r="P12" s="7" t="n"/>
      <c r="Q12" s="7" t="n"/>
      <c r="R12" s="7">
        <f>IF($B12="","",Q12*W12/100)</f>
        <v/>
      </c>
      <c r="S12" s="7">
        <f>IF($B12="","",Q12-R12)</f>
        <v/>
      </c>
      <c r="T12" s="7">
        <f>IF($B12="","",S12-J12)</f>
        <v/>
      </c>
      <c r="W12">
        <f>IF($B12="","",IF($AI12=1,0,IF($AH12=1,Settings!$C$6,Settings!$C$7))*100)</f>
        <v/>
      </c>
      <c r="AA12" s="7" t="n"/>
      <c r="AD12" s="11" t="n"/>
      <c r="AF12">
        <f>IF($B12="","",IF(COUNTIF($B$2:$B12,$B12)=1,1,0))</f>
        <v/>
      </c>
      <c r="AG12">
        <f>IF($AF12=1,SUMPRODUCT(--($AJ$2:$AJ$1501&lt;$AJ12))+1,"")</f>
        <v/>
      </c>
      <c r="AH12">
        <f>IF($B12="","",IF(OR($M12=TRUE(),$M12="TRUE"),1,0))</f>
        <v/>
      </c>
      <c r="AI12">
        <f>IF($B12="","",IF($V12="Yes",1,0))</f>
        <v/>
      </c>
      <c r="AJ12">
        <f>IF($AF12=1,IFERROR(IF(VALUE($B12)&lt;100000000,VALUE($B12),1000000000),IFERROR(IF(VALUE(MID($B12,2,20))&lt;100000000,VALUE(MID($B12,2,20)),1000000000),1000000000))+ROW()/100000,"")</f>
        <v/>
      </c>
    </row>
    <row r="13">
      <c r="C13" s="11" t="n"/>
      <c r="J13" s="7">
        <f>IF($B13="","",I13*Q13/100)</f>
        <v/>
      </c>
      <c r="P13" s="7" t="n"/>
      <c r="Q13" s="7" t="n"/>
      <c r="R13" s="7">
        <f>IF($B13="","",Q13*W13/100)</f>
        <v/>
      </c>
      <c r="S13" s="7">
        <f>IF($B13="","",Q13-R13)</f>
        <v/>
      </c>
      <c r="T13" s="7">
        <f>IF($B13="","",S13-J13)</f>
        <v/>
      </c>
      <c r="W13">
        <f>IF($B13="","",IF($AI13=1,0,IF($AH13=1,Settings!$C$6,Settings!$C$7))*100)</f>
        <v/>
      </c>
      <c r="AA13" s="7" t="n"/>
      <c r="AD13" s="11" t="n"/>
      <c r="AF13">
        <f>IF($B13="","",IF(COUNTIF($B$2:$B13,$B13)=1,1,0))</f>
        <v/>
      </c>
      <c r="AG13">
        <f>IF($AF13=1,SUMPRODUCT(--($AJ$2:$AJ$1501&lt;$AJ13))+1,"")</f>
        <v/>
      </c>
      <c r="AH13">
        <f>IF($B13="","",IF(OR($M13=TRUE(),$M13="TRUE"),1,0))</f>
        <v/>
      </c>
      <c r="AI13">
        <f>IF($B13="","",IF($V13="Yes",1,0))</f>
        <v/>
      </c>
      <c r="AJ13">
        <f>IF($AF13=1,IFERROR(IF(VALUE($B13)&lt;100000000,VALUE($B13),1000000000),IFERROR(IF(VALUE(MID($B13,2,20))&lt;100000000,VALUE(MID($B13,2,20)),1000000000),1000000000))+ROW()/100000,"")</f>
        <v/>
      </c>
    </row>
    <row r="14">
      <c r="C14" s="11" t="n"/>
      <c r="J14" s="7">
        <f>IF($B14="","",I14*Q14/100)</f>
        <v/>
      </c>
      <c r="P14" s="7" t="n"/>
      <c r="Q14" s="7" t="n"/>
      <c r="R14" s="7">
        <f>IF($B14="","",Q14*W14/100)</f>
        <v/>
      </c>
      <c r="S14" s="7">
        <f>IF($B14="","",Q14-R14)</f>
        <v/>
      </c>
      <c r="T14" s="7">
        <f>IF($B14="","",S14-J14)</f>
        <v/>
      </c>
      <c r="W14">
        <f>IF($B14="","",IF($AI14=1,0,IF($AH14=1,Settings!$C$6,Settings!$C$7))*100)</f>
        <v/>
      </c>
      <c r="AA14" s="7" t="n"/>
      <c r="AD14" s="11" t="n"/>
      <c r="AF14">
        <f>IF($B14="","",IF(COUNTIF($B$2:$B14,$B14)=1,1,0))</f>
        <v/>
      </c>
      <c r="AG14">
        <f>IF($AF14=1,SUMPRODUCT(--($AJ$2:$AJ$1501&lt;$AJ14))+1,"")</f>
        <v/>
      </c>
      <c r="AH14">
        <f>IF($B14="","",IF(OR($M14=TRUE(),$M14="TRUE"),1,0))</f>
        <v/>
      </c>
      <c r="AI14">
        <f>IF($B14="","",IF($V14="Yes",1,0))</f>
        <v/>
      </c>
      <c r="AJ14">
        <f>IF($AF14=1,IFERROR(IF(VALUE($B14)&lt;100000000,VALUE($B14),1000000000),IFERROR(IF(VALUE(MID($B14,2,20))&lt;100000000,VALUE(MID($B14,2,20)),1000000000),1000000000))+ROW()/100000,"")</f>
        <v/>
      </c>
    </row>
    <row r="15">
      <c r="C15" s="11" t="n"/>
      <c r="J15" s="7">
        <f>IF($B15="","",I15*Q15/100)</f>
        <v/>
      </c>
      <c r="P15" s="7" t="n"/>
      <c r="Q15" s="7" t="n"/>
      <c r="R15" s="7">
        <f>IF($B15="","",Q15*W15/100)</f>
        <v/>
      </c>
      <c r="S15" s="7">
        <f>IF($B15="","",Q15-R15)</f>
        <v/>
      </c>
      <c r="T15" s="7">
        <f>IF($B15="","",S15-J15)</f>
        <v/>
      </c>
      <c r="W15">
        <f>IF($B15="","",IF($AI15=1,0,IF($AH15=1,Settings!$C$6,Settings!$C$7))*100)</f>
        <v/>
      </c>
      <c r="AA15" s="7" t="n"/>
      <c r="AD15" s="11" t="n"/>
      <c r="AF15">
        <f>IF($B15="","",IF(COUNTIF($B$2:$B15,$B15)=1,1,0))</f>
        <v/>
      </c>
      <c r="AG15">
        <f>IF($AF15=1,SUMPRODUCT(--($AJ$2:$AJ$1501&lt;$AJ15))+1,"")</f>
        <v/>
      </c>
      <c r="AH15">
        <f>IF($B15="","",IF(OR($M15=TRUE(),$M15="TRUE"),1,0))</f>
        <v/>
      </c>
      <c r="AI15">
        <f>IF($B15="","",IF($V15="Yes",1,0))</f>
        <v/>
      </c>
      <c r="AJ15">
        <f>IF($AF15=1,IFERROR(IF(VALUE($B15)&lt;100000000,VALUE($B15),1000000000),IFERROR(IF(VALUE(MID($B15,2,20))&lt;100000000,VALUE(MID($B15,2,20)),1000000000),1000000000))+ROW()/100000,"")</f>
        <v/>
      </c>
    </row>
    <row r="16">
      <c r="C16" s="11" t="n"/>
      <c r="J16" s="7">
        <f>IF($B16="","",I16*Q16/100)</f>
        <v/>
      </c>
      <c r="P16" s="7" t="n"/>
      <c r="Q16" s="7" t="n"/>
      <c r="R16" s="7">
        <f>IF($B16="","",Q16*W16/100)</f>
        <v/>
      </c>
      <c r="S16" s="7">
        <f>IF($B16="","",Q16-R16)</f>
        <v/>
      </c>
      <c r="T16" s="7">
        <f>IF($B16="","",S16-J16)</f>
        <v/>
      </c>
      <c r="W16">
        <f>IF($B16="","",IF($AI16=1,0,IF($AH16=1,Settings!$C$6,Settings!$C$7))*100)</f>
        <v/>
      </c>
      <c r="AA16" s="7" t="n"/>
      <c r="AD16" s="11" t="n"/>
      <c r="AF16">
        <f>IF($B16="","",IF(COUNTIF($B$2:$B16,$B16)=1,1,0))</f>
        <v/>
      </c>
      <c r="AG16">
        <f>IF($AF16=1,SUMPRODUCT(--($AJ$2:$AJ$1501&lt;$AJ16))+1,"")</f>
        <v/>
      </c>
      <c r="AH16">
        <f>IF($B16="","",IF(OR($M16=TRUE(),$M16="TRUE"),1,0))</f>
        <v/>
      </c>
      <c r="AI16">
        <f>IF($B16="","",IF($V16="Yes",1,0))</f>
        <v/>
      </c>
      <c r="AJ16">
        <f>IF($AF16=1,IFERROR(IF(VALUE($B16)&lt;100000000,VALUE($B16),1000000000),IFERROR(IF(VALUE(MID($B16,2,20))&lt;100000000,VALUE(MID($B16,2,20)),1000000000),1000000000))+ROW()/100000,"")</f>
        <v/>
      </c>
    </row>
    <row r="17">
      <c r="C17" s="11" t="n"/>
      <c r="J17" s="7">
        <f>IF($B17="","",I17*Q17/100)</f>
        <v/>
      </c>
      <c r="P17" s="7" t="n"/>
      <c r="Q17" s="7" t="n"/>
      <c r="R17" s="7">
        <f>IF($B17="","",Q17*W17/100)</f>
        <v/>
      </c>
      <c r="S17" s="7">
        <f>IF($B17="","",Q17-R17)</f>
        <v/>
      </c>
      <c r="T17" s="7">
        <f>IF($B17="","",S17-J17)</f>
        <v/>
      </c>
      <c r="W17">
        <f>IF($B17="","",IF($AI17=1,0,IF($AH17=1,Settings!$C$6,Settings!$C$7))*100)</f>
        <v/>
      </c>
      <c r="AA17" s="7" t="n"/>
      <c r="AD17" s="11" t="n"/>
      <c r="AF17">
        <f>IF($B17="","",IF(COUNTIF($B$2:$B17,$B17)=1,1,0))</f>
        <v/>
      </c>
      <c r="AG17">
        <f>IF($AF17=1,SUMPRODUCT(--($AJ$2:$AJ$1501&lt;$AJ17))+1,"")</f>
        <v/>
      </c>
      <c r="AH17">
        <f>IF($B17="","",IF(OR($M17=TRUE(),$M17="TRUE"),1,0))</f>
        <v/>
      </c>
      <c r="AI17">
        <f>IF($B17="","",IF($V17="Yes",1,0))</f>
        <v/>
      </c>
      <c r="AJ17">
        <f>IF($AF17=1,IFERROR(IF(VALUE($B17)&lt;100000000,VALUE($B17),1000000000),IFERROR(IF(VALUE(MID($B17,2,20))&lt;100000000,VALUE(MID($B17,2,20)),1000000000),1000000000))+ROW()/100000,"")</f>
        <v/>
      </c>
    </row>
    <row r="18">
      <c r="C18" s="11" t="n"/>
      <c r="J18" s="7">
        <f>IF($B18="","",I18*Q18/100)</f>
        <v/>
      </c>
      <c r="P18" s="7" t="n"/>
      <c r="Q18" s="7" t="n"/>
      <c r="R18" s="7">
        <f>IF($B18="","",Q18*W18/100)</f>
        <v/>
      </c>
      <c r="S18" s="7">
        <f>IF($B18="","",Q18-R18)</f>
        <v/>
      </c>
      <c r="T18" s="7">
        <f>IF($B18="","",S18-J18)</f>
        <v/>
      </c>
      <c r="W18">
        <f>IF($B18="","",IF($AI18=1,0,IF($AH18=1,Settings!$C$6,Settings!$C$7))*100)</f>
        <v/>
      </c>
      <c r="AA18" s="7" t="n"/>
      <c r="AD18" s="11" t="n"/>
      <c r="AF18">
        <f>IF($B18="","",IF(COUNTIF($B$2:$B18,$B18)=1,1,0))</f>
        <v/>
      </c>
      <c r="AG18">
        <f>IF($AF18=1,SUMPRODUCT(--($AJ$2:$AJ$1501&lt;$AJ18))+1,"")</f>
        <v/>
      </c>
      <c r="AH18">
        <f>IF($B18="","",IF(OR($M18=TRUE(),$M18="TRUE"),1,0))</f>
        <v/>
      </c>
      <c r="AI18">
        <f>IF($B18="","",IF($V18="Yes",1,0))</f>
        <v/>
      </c>
      <c r="AJ18">
        <f>IF($AF18=1,IFERROR(IF(VALUE($B18)&lt;100000000,VALUE($B18),1000000000),IFERROR(IF(VALUE(MID($B18,2,20))&lt;100000000,VALUE(MID($B18,2,20)),1000000000),1000000000))+ROW()/100000,"")</f>
        <v/>
      </c>
    </row>
    <row r="19">
      <c r="C19" s="11" t="n"/>
      <c r="J19" s="7">
        <f>IF($B19="","",I19*Q19/100)</f>
        <v/>
      </c>
      <c r="P19" s="7" t="n"/>
      <c r="Q19" s="7" t="n"/>
      <c r="R19" s="7">
        <f>IF($B19="","",Q19*W19/100)</f>
        <v/>
      </c>
      <c r="S19" s="7">
        <f>IF($B19="","",Q19-R19)</f>
        <v/>
      </c>
      <c r="T19" s="7">
        <f>IF($B19="","",S19-J19)</f>
        <v/>
      </c>
      <c r="W19">
        <f>IF($B19="","",IF($AI19=1,0,IF($AH19=1,Settings!$C$6,Settings!$C$7))*100)</f>
        <v/>
      </c>
      <c r="AA19" s="7" t="n"/>
      <c r="AD19" s="11" t="n"/>
      <c r="AF19">
        <f>IF($B19="","",IF(COUNTIF($B$2:$B19,$B19)=1,1,0))</f>
        <v/>
      </c>
      <c r="AG19">
        <f>IF($AF19=1,SUMPRODUCT(--($AJ$2:$AJ$1501&lt;$AJ19))+1,"")</f>
        <v/>
      </c>
      <c r="AH19">
        <f>IF($B19="","",IF(OR($M19=TRUE(),$M19="TRUE"),1,0))</f>
        <v/>
      </c>
      <c r="AI19">
        <f>IF($B19="","",IF($V19="Yes",1,0))</f>
        <v/>
      </c>
      <c r="AJ19">
        <f>IF($AF19=1,IFERROR(IF(VALUE($B19)&lt;100000000,VALUE($B19),1000000000),IFERROR(IF(VALUE(MID($B19,2,20))&lt;100000000,VALUE(MID($B19,2,20)),1000000000),1000000000))+ROW()/100000,"")</f>
        <v/>
      </c>
    </row>
    <row r="20">
      <c r="C20" s="11" t="n"/>
      <c r="J20" s="7">
        <f>IF($B20="","",I20*Q20/100)</f>
        <v/>
      </c>
      <c r="P20" s="7" t="n"/>
      <c r="Q20" s="7" t="n"/>
      <c r="R20" s="7">
        <f>IF($B20="","",Q20*W20/100)</f>
        <v/>
      </c>
      <c r="S20" s="7">
        <f>IF($B20="","",Q20-R20)</f>
        <v/>
      </c>
      <c r="T20" s="7">
        <f>IF($B20="","",S20-J20)</f>
        <v/>
      </c>
      <c r="W20">
        <f>IF($B20="","",IF($AI20=1,0,IF($AH20=1,Settings!$C$6,Settings!$C$7))*100)</f>
        <v/>
      </c>
      <c r="AA20" s="7" t="n"/>
      <c r="AD20" s="11" t="n"/>
      <c r="AF20">
        <f>IF($B20="","",IF(COUNTIF($B$2:$B20,$B20)=1,1,0))</f>
        <v/>
      </c>
      <c r="AG20">
        <f>IF($AF20=1,SUMPRODUCT(--($AJ$2:$AJ$1501&lt;$AJ20))+1,"")</f>
        <v/>
      </c>
      <c r="AH20">
        <f>IF($B20="","",IF(OR($M20=TRUE(),$M20="TRUE"),1,0))</f>
        <v/>
      </c>
      <c r="AI20">
        <f>IF($B20="","",IF($V20="Yes",1,0))</f>
        <v/>
      </c>
      <c r="AJ20">
        <f>IF($AF20=1,IFERROR(IF(VALUE($B20)&lt;100000000,VALUE($B20),1000000000),IFERROR(IF(VALUE(MID($B20,2,20))&lt;100000000,VALUE(MID($B20,2,20)),1000000000),1000000000))+ROW()/100000,"")</f>
        <v/>
      </c>
    </row>
    <row r="21">
      <c r="C21" s="11" t="n"/>
      <c r="J21" s="7">
        <f>IF($B21="","",I21*Q21/100)</f>
        <v/>
      </c>
      <c r="P21" s="7" t="n"/>
      <c r="Q21" s="7" t="n"/>
      <c r="R21" s="7">
        <f>IF($B21="","",Q21*W21/100)</f>
        <v/>
      </c>
      <c r="S21" s="7">
        <f>IF($B21="","",Q21-R21)</f>
        <v/>
      </c>
      <c r="T21" s="7">
        <f>IF($B21="","",S21-J21)</f>
        <v/>
      </c>
      <c r="W21">
        <f>IF($B21="","",IF($AI21=1,0,IF($AH21=1,Settings!$C$6,Settings!$C$7))*100)</f>
        <v/>
      </c>
      <c r="AA21" s="7" t="n"/>
      <c r="AD21" s="11" t="n"/>
      <c r="AF21">
        <f>IF($B21="","",IF(COUNTIF($B$2:$B21,$B21)=1,1,0))</f>
        <v/>
      </c>
      <c r="AG21">
        <f>IF($AF21=1,SUMPRODUCT(--($AJ$2:$AJ$1501&lt;$AJ21))+1,"")</f>
        <v/>
      </c>
      <c r="AH21">
        <f>IF($B21="","",IF(OR($M21=TRUE(),$M21="TRUE"),1,0))</f>
        <v/>
      </c>
      <c r="AI21">
        <f>IF($B21="","",IF($V21="Yes",1,0))</f>
        <v/>
      </c>
      <c r="AJ21">
        <f>IF($AF21=1,IFERROR(IF(VALUE($B21)&lt;100000000,VALUE($B21),1000000000),IFERROR(IF(VALUE(MID($B21,2,20))&lt;100000000,VALUE(MID($B21,2,20)),1000000000),1000000000))+ROW()/100000,"")</f>
        <v/>
      </c>
    </row>
    <row r="22">
      <c r="C22" s="11" t="n"/>
      <c r="J22" s="7">
        <f>IF($B22="","",I22*Q22/100)</f>
        <v/>
      </c>
      <c r="P22" s="7" t="n"/>
      <c r="Q22" s="7" t="n"/>
      <c r="R22" s="7">
        <f>IF($B22="","",Q22*W22/100)</f>
        <v/>
      </c>
      <c r="S22" s="7">
        <f>IF($B22="","",Q22-R22)</f>
        <v/>
      </c>
      <c r="T22" s="7">
        <f>IF($B22="","",S22-J22)</f>
        <v/>
      </c>
      <c r="W22">
        <f>IF($B22="","",IF($AI22=1,0,IF($AH22=1,Settings!$C$6,Settings!$C$7))*100)</f>
        <v/>
      </c>
      <c r="AA22" s="7" t="n"/>
      <c r="AD22" s="11" t="n"/>
      <c r="AF22">
        <f>IF($B22="","",IF(COUNTIF($B$2:$B22,$B22)=1,1,0))</f>
        <v/>
      </c>
      <c r="AG22">
        <f>IF($AF22=1,SUMPRODUCT(--($AJ$2:$AJ$1501&lt;$AJ22))+1,"")</f>
        <v/>
      </c>
      <c r="AH22">
        <f>IF($B22="","",IF(OR($M22=TRUE(),$M22="TRUE"),1,0))</f>
        <v/>
      </c>
      <c r="AI22">
        <f>IF($B22="","",IF($V22="Yes",1,0))</f>
        <v/>
      </c>
      <c r="AJ22">
        <f>IF($AF22=1,IFERROR(IF(VALUE($B22)&lt;100000000,VALUE($B22),1000000000),IFERROR(IF(VALUE(MID($B22,2,20))&lt;100000000,VALUE(MID($B22,2,20)),1000000000),1000000000))+ROW()/100000,"")</f>
        <v/>
      </c>
    </row>
    <row r="23">
      <c r="C23" s="11" t="n"/>
      <c r="J23" s="7">
        <f>IF($B23="","",I23*Q23/100)</f>
        <v/>
      </c>
      <c r="P23" s="7" t="n"/>
      <c r="Q23" s="7" t="n"/>
      <c r="R23" s="7">
        <f>IF($B23="","",Q23*W23/100)</f>
        <v/>
      </c>
      <c r="S23" s="7">
        <f>IF($B23="","",Q23-R23)</f>
        <v/>
      </c>
      <c r="T23" s="7">
        <f>IF($B23="","",S23-J23)</f>
        <v/>
      </c>
      <c r="W23">
        <f>IF($B23="","",IF($AI23=1,0,IF($AH23=1,Settings!$C$6,Settings!$C$7))*100)</f>
        <v/>
      </c>
      <c r="AA23" s="7" t="n"/>
      <c r="AD23" s="11" t="n"/>
      <c r="AF23">
        <f>IF($B23="","",IF(COUNTIF($B$2:$B23,$B23)=1,1,0))</f>
        <v/>
      </c>
      <c r="AG23">
        <f>IF($AF23=1,SUMPRODUCT(--($AJ$2:$AJ$1501&lt;$AJ23))+1,"")</f>
        <v/>
      </c>
      <c r="AH23">
        <f>IF($B23="","",IF(OR($M23=TRUE(),$M23="TRUE"),1,0))</f>
        <v/>
      </c>
      <c r="AI23">
        <f>IF($B23="","",IF($V23="Yes",1,0))</f>
        <v/>
      </c>
      <c r="AJ23">
        <f>IF($AF23=1,IFERROR(IF(VALUE($B23)&lt;100000000,VALUE($B23),1000000000),IFERROR(IF(VALUE(MID($B23,2,20))&lt;100000000,VALUE(MID($B23,2,20)),1000000000),1000000000))+ROW()/100000,"")</f>
        <v/>
      </c>
    </row>
    <row r="24">
      <c r="C24" s="11" t="n"/>
      <c r="J24" s="7">
        <f>IF($B24="","",I24*Q24/100)</f>
        <v/>
      </c>
      <c r="P24" s="7" t="n"/>
      <c r="Q24" s="7" t="n"/>
      <c r="R24" s="7">
        <f>IF($B24="","",Q24*W24/100)</f>
        <v/>
      </c>
      <c r="S24" s="7">
        <f>IF($B24="","",Q24-R24)</f>
        <v/>
      </c>
      <c r="T24" s="7">
        <f>IF($B24="","",S24-J24)</f>
        <v/>
      </c>
      <c r="W24">
        <f>IF($B24="","",IF($AI24=1,0,IF($AH24=1,Settings!$C$6,Settings!$C$7))*100)</f>
        <v/>
      </c>
      <c r="AA24" s="7" t="n"/>
      <c r="AD24" s="11" t="n"/>
      <c r="AF24">
        <f>IF($B24="","",IF(COUNTIF($B$2:$B24,$B24)=1,1,0))</f>
        <v/>
      </c>
      <c r="AG24">
        <f>IF($AF24=1,SUMPRODUCT(--($AJ$2:$AJ$1501&lt;$AJ24))+1,"")</f>
        <v/>
      </c>
      <c r="AH24">
        <f>IF($B24="","",IF(OR($M24=TRUE(),$M24="TRUE"),1,0))</f>
        <v/>
      </c>
      <c r="AI24">
        <f>IF($B24="","",IF($V24="Yes",1,0))</f>
        <v/>
      </c>
      <c r="AJ24">
        <f>IF($AF24=1,IFERROR(IF(VALUE($B24)&lt;100000000,VALUE($B24),1000000000),IFERROR(IF(VALUE(MID($B24,2,20))&lt;100000000,VALUE(MID($B24,2,20)),1000000000),1000000000))+ROW()/100000,"")</f>
        <v/>
      </c>
    </row>
    <row r="25">
      <c r="C25" s="11" t="n"/>
      <c r="J25" s="7">
        <f>IF($B25="","",I25*Q25/100)</f>
        <v/>
      </c>
      <c r="P25" s="7" t="n"/>
      <c r="Q25" s="7" t="n"/>
      <c r="R25" s="7">
        <f>IF($B25="","",Q25*W25/100)</f>
        <v/>
      </c>
      <c r="S25" s="7">
        <f>IF($B25="","",Q25-R25)</f>
        <v/>
      </c>
      <c r="T25" s="7">
        <f>IF($B25="","",S25-J25)</f>
        <v/>
      </c>
      <c r="W25">
        <f>IF($B25="","",IF($AI25=1,0,IF($AH25=1,Settings!$C$6,Settings!$C$7))*100)</f>
        <v/>
      </c>
      <c r="AA25" s="7" t="n"/>
      <c r="AD25" s="11" t="n"/>
      <c r="AF25">
        <f>IF($B25="","",IF(COUNTIF($B$2:$B25,$B25)=1,1,0))</f>
        <v/>
      </c>
      <c r="AG25">
        <f>IF($AF25=1,SUMPRODUCT(--($AJ$2:$AJ$1501&lt;$AJ25))+1,"")</f>
        <v/>
      </c>
      <c r="AH25">
        <f>IF($B25="","",IF(OR($M25=TRUE(),$M25="TRUE"),1,0))</f>
        <v/>
      </c>
      <c r="AI25">
        <f>IF($B25="","",IF($V25="Yes",1,0))</f>
        <v/>
      </c>
      <c r="AJ25">
        <f>IF($AF25=1,IFERROR(IF(VALUE($B25)&lt;100000000,VALUE($B25),1000000000),IFERROR(IF(VALUE(MID($B25,2,20))&lt;100000000,VALUE(MID($B25,2,20)),1000000000),1000000000))+ROW()/100000,"")</f>
        <v/>
      </c>
    </row>
    <row r="26">
      <c r="C26" s="11" t="n"/>
      <c r="J26" s="7">
        <f>IF($B26="","",I26*Q26/100)</f>
        <v/>
      </c>
      <c r="P26" s="7" t="n"/>
      <c r="Q26" s="7" t="n"/>
      <c r="R26" s="7">
        <f>IF($B26="","",Q26*W26/100)</f>
        <v/>
      </c>
      <c r="S26" s="7">
        <f>IF($B26="","",Q26-R26)</f>
        <v/>
      </c>
      <c r="T26" s="7">
        <f>IF($B26="","",S26-J26)</f>
        <v/>
      </c>
      <c r="W26">
        <f>IF($B26="","",IF($AI26=1,0,IF($AH26=1,Settings!$C$6,Settings!$C$7))*100)</f>
        <v/>
      </c>
      <c r="AA26" s="7" t="n"/>
      <c r="AD26" s="11" t="n"/>
      <c r="AF26">
        <f>IF($B26="","",IF(COUNTIF($B$2:$B26,$B26)=1,1,0))</f>
        <v/>
      </c>
      <c r="AG26">
        <f>IF($AF26=1,SUMPRODUCT(--($AJ$2:$AJ$1501&lt;$AJ26))+1,"")</f>
        <v/>
      </c>
      <c r="AH26">
        <f>IF($B26="","",IF(OR($M26=TRUE(),$M26="TRUE"),1,0))</f>
        <v/>
      </c>
      <c r="AI26">
        <f>IF($B26="","",IF($V26="Yes",1,0))</f>
        <v/>
      </c>
      <c r="AJ26">
        <f>IF($AF26=1,IFERROR(IF(VALUE($B26)&lt;100000000,VALUE($B26),1000000000),IFERROR(IF(VALUE(MID($B26,2,20))&lt;100000000,VALUE(MID($B26,2,20)),1000000000),1000000000))+ROW()/100000,"")</f>
        <v/>
      </c>
    </row>
    <row r="27">
      <c r="C27" s="11" t="n"/>
      <c r="J27" s="7">
        <f>IF($B27="","",I27*Q27/100)</f>
        <v/>
      </c>
      <c r="P27" s="7" t="n"/>
      <c r="Q27" s="7" t="n"/>
      <c r="R27" s="7">
        <f>IF($B27="","",Q27*W27/100)</f>
        <v/>
      </c>
      <c r="S27" s="7">
        <f>IF($B27="","",Q27-R27)</f>
        <v/>
      </c>
      <c r="T27" s="7">
        <f>IF($B27="","",S27-J27)</f>
        <v/>
      </c>
      <c r="W27">
        <f>IF($B27="","",IF($AI27=1,0,IF($AH27=1,Settings!$C$6,Settings!$C$7))*100)</f>
        <v/>
      </c>
      <c r="AA27" s="7" t="n"/>
      <c r="AD27" s="11" t="n"/>
      <c r="AF27">
        <f>IF($B27="","",IF(COUNTIF($B$2:$B27,$B27)=1,1,0))</f>
        <v/>
      </c>
      <c r="AG27">
        <f>IF($AF27=1,SUMPRODUCT(--($AJ$2:$AJ$1501&lt;$AJ27))+1,"")</f>
        <v/>
      </c>
      <c r="AH27">
        <f>IF($B27="","",IF(OR($M27=TRUE(),$M27="TRUE"),1,0))</f>
        <v/>
      </c>
      <c r="AI27">
        <f>IF($B27="","",IF($V27="Yes",1,0))</f>
        <v/>
      </c>
      <c r="AJ27">
        <f>IF($AF27=1,IFERROR(IF(VALUE($B27)&lt;100000000,VALUE($B27),1000000000),IFERROR(IF(VALUE(MID($B27,2,20))&lt;100000000,VALUE(MID($B27,2,20)),1000000000),1000000000))+ROW()/100000,"")</f>
        <v/>
      </c>
    </row>
    <row r="28">
      <c r="C28" s="11" t="n"/>
      <c r="J28" s="7">
        <f>IF($B28="","",I28*Q28/100)</f>
        <v/>
      </c>
      <c r="P28" s="7" t="n"/>
      <c r="Q28" s="7" t="n"/>
      <c r="R28" s="7">
        <f>IF($B28="","",Q28*W28/100)</f>
        <v/>
      </c>
      <c r="S28" s="7">
        <f>IF($B28="","",Q28-R28)</f>
        <v/>
      </c>
      <c r="T28" s="7">
        <f>IF($B28="","",S28-J28)</f>
        <v/>
      </c>
      <c r="W28">
        <f>IF($B28="","",IF($AI28=1,0,IF($AH28=1,Settings!$C$6,Settings!$C$7))*100)</f>
        <v/>
      </c>
      <c r="AA28" s="7" t="n"/>
      <c r="AD28" s="11" t="n"/>
      <c r="AF28">
        <f>IF($B28="","",IF(COUNTIF($B$2:$B28,$B28)=1,1,0))</f>
        <v/>
      </c>
      <c r="AG28">
        <f>IF($AF28=1,SUMPRODUCT(--($AJ$2:$AJ$1501&lt;$AJ28))+1,"")</f>
        <v/>
      </c>
      <c r="AH28">
        <f>IF($B28="","",IF(OR($M28=TRUE(),$M28="TRUE"),1,0))</f>
        <v/>
      </c>
      <c r="AI28">
        <f>IF($B28="","",IF($V28="Yes",1,0))</f>
        <v/>
      </c>
      <c r="AJ28">
        <f>IF($AF28=1,IFERROR(IF(VALUE($B28)&lt;100000000,VALUE($B28),1000000000),IFERROR(IF(VALUE(MID($B28,2,20))&lt;100000000,VALUE(MID($B28,2,20)),1000000000),1000000000))+ROW()/100000,"")</f>
        <v/>
      </c>
    </row>
    <row r="29">
      <c r="C29" s="11" t="n"/>
      <c r="J29" s="7">
        <f>IF($B29="","",I29*Q29/100)</f>
        <v/>
      </c>
      <c r="P29" s="7" t="n"/>
      <c r="Q29" s="7" t="n"/>
      <c r="R29" s="7">
        <f>IF($B29="","",Q29*W29/100)</f>
        <v/>
      </c>
      <c r="S29" s="7">
        <f>IF($B29="","",Q29-R29)</f>
        <v/>
      </c>
      <c r="T29" s="7">
        <f>IF($B29="","",S29-J29)</f>
        <v/>
      </c>
      <c r="W29">
        <f>IF($B29="","",IF($AI29=1,0,IF($AH29=1,Settings!$C$6,Settings!$C$7))*100)</f>
        <v/>
      </c>
      <c r="AA29" s="7" t="n"/>
      <c r="AD29" s="11" t="n"/>
      <c r="AF29">
        <f>IF($B29="","",IF(COUNTIF($B$2:$B29,$B29)=1,1,0))</f>
        <v/>
      </c>
      <c r="AG29">
        <f>IF($AF29=1,SUMPRODUCT(--($AJ$2:$AJ$1501&lt;$AJ29))+1,"")</f>
        <v/>
      </c>
      <c r="AH29">
        <f>IF($B29="","",IF(OR($M29=TRUE(),$M29="TRUE"),1,0))</f>
        <v/>
      </c>
      <c r="AI29">
        <f>IF($B29="","",IF($V29="Yes",1,0))</f>
        <v/>
      </c>
      <c r="AJ29">
        <f>IF($AF29=1,IFERROR(IF(VALUE($B29)&lt;100000000,VALUE($B29),1000000000),IFERROR(IF(VALUE(MID($B29,2,20))&lt;100000000,VALUE(MID($B29,2,20)),1000000000),1000000000))+ROW()/100000,"")</f>
        <v/>
      </c>
    </row>
    <row r="30">
      <c r="C30" s="11" t="n"/>
      <c r="J30" s="7">
        <f>IF($B30="","",I30*Q30/100)</f>
        <v/>
      </c>
      <c r="P30" s="7" t="n"/>
      <c r="Q30" s="7" t="n"/>
      <c r="R30" s="7">
        <f>IF($B30="","",Q30*W30/100)</f>
        <v/>
      </c>
      <c r="S30" s="7">
        <f>IF($B30="","",Q30-R30)</f>
        <v/>
      </c>
      <c r="T30" s="7">
        <f>IF($B30="","",S30-J30)</f>
        <v/>
      </c>
      <c r="W30">
        <f>IF($B30="","",IF($AI30=1,0,IF($AH30=1,Settings!$C$6,Settings!$C$7))*100)</f>
        <v/>
      </c>
      <c r="AA30" s="7" t="n"/>
      <c r="AD30" s="11" t="n"/>
      <c r="AF30">
        <f>IF($B30="","",IF(COUNTIF($B$2:$B30,$B30)=1,1,0))</f>
        <v/>
      </c>
      <c r="AG30">
        <f>IF($AF30=1,SUMPRODUCT(--($AJ$2:$AJ$1501&lt;$AJ30))+1,"")</f>
        <v/>
      </c>
      <c r="AH30">
        <f>IF($B30="","",IF(OR($M30=TRUE(),$M30="TRUE"),1,0))</f>
        <v/>
      </c>
      <c r="AI30">
        <f>IF($B30="","",IF($V30="Yes",1,0))</f>
        <v/>
      </c>
      <c r="AJ30">
        <f>IF($AF30=1,IFERROR(IF(VALUE($B30)&lt;100000000,VALUE($B30),1000000000),IFERROR(IF(VALUE(MID($B30,2,20))&lt;100000000,VALUE(MID($B30,2,20)),1000000000),1000000000))+ROW()/100000,"")</f>
        <v/>
      </c>
    </row>
    <row r="31">
      <c r="C31" s="11" t="n"/>
      <c r="J31" s="7">
        <f>IF($B31="","",I31*Q31/100)</f>
        <v/>
      </c>
      <c r="P31" s="7" t="n"/>
      <c r="Q31" s="7" t="n"/>
      <c r="R31" s="7">
        <f>IF($B31="","",Q31*W31/100)</f>
        <v/>
      </c>
      <c r="S31" s="7">
        <f>IF($B31="","",Q31-R31)</f>
        <v/>
      </c>
      <c r="T31" s="7">
        <f>IF($B31="","",S31-J31)</f>
        <v/>
      </c>
      <c r="W31">
        <f>IF($B31="","",IF($AI31=1,0,IF($AH31=1,Settings!$C$6,Settings!$C$7))*100)</f>
        <v/>
      </c>
      <c r="AA31" s="7" t="n"/>
      <c r="AD31" s="11" t="n"/>
      <c r="AF31">
        <f>IF($B31="","",IF(COUNTIF($B$2:$B31,$B31)=1,1,0))</f>
        <v/>
      </c>
      <c r="AG31">
        <f>IF($AF31=1,SUMPRODUCT(--($AJ$2:$AJ$1501&lt;$AJ31))+1,"")</f>
        <v/>
      </c>
      <c r="AH31">
        <f>IF($B31="","",IF(OR($M31=TRUE(),$M31="TRUE"),1,0))</f>
        <v/>
      </c>
      <c r="AI31">
        <f>IF($B31="","",IF($V31="Yes",1,0))</f>
        <v/>
      </c>
      <c r="AJ31">
        <f>IF($AF31=1,IFERROR(IF(VALUE($B31)&lt;100000000,VALUE($B31),1000000000),IFERROR(IF(VALUE(MID($B31,2,20))&lt;100000000,VALUE(MID($B31,2,20)),1000000000),1000000000))+ROW()/100000,"")</f>
        <v/>
      </c>
    </row>
    <row r="32">
      <c r="C32" s="11" t="n"/>
      <c r="J32" s="7">
        <f>IF($B32="","",I32*Q32/100)</f>
        <v/>
      </c>
      <c r="P32" s="7" t="n"/>
      <c r="Q32" s="7" t="n"/>
      <c r="R32" s="7">
        <f>IF($B32="","",Q32*W32/100)</f>
        <v/>
      </c>
      <c r="S32" s="7">
        <f>IF($B32="","",Q32-R32)</f>
        <v/>
      </c>
      <c r="T32" s="7">
        <f>IF($B32="","",S32-J32)</f>
        <v/>
      </c>
      <c r="W32">
        <f>IF($B32="","",IF($AI32=1,0,IF($AH32=1,Settings!$C$6,Settings!$C$7))*100)</f>
        <v/>
      </c>
      <c r="AA32" s="7" t="n"/>
      <c r="AD32" s="11" t="n"/>
      <c r="AF32">
        <f>IF($B32="","",IF(COUNTIF($B$2:$B32,$B32)=1,1,0))</f>
        <v/>
      </c>
      <c r="AG32">
        <f>IF($AF32=1,SUMPRODUCT(--($AJ$2:$AJ$1501&lt;$AJ32))+1,"")</f>
        <v/>
      </c>
      <c r="AH32">
        <f>IF($B32="","",IF(OR($M32=TRUE(),$M32="TRUE"),1,0))</f>
        <v/>
      </c>
      <c r="AI32">
        <f>IF($B32="","",IF($V32="Yes",1,0))</f>
        <v/>
      </c>
      <c r="AJ32">
        <f>IF($AF32=1,IFERROR(IF(VALUE($B32)&lt;100000000,VALUE($B32),1000000000),IFERROR(IF(VALUE(MID($B32,2,20))&lt;100000000,VALUE(MID($B32,2,20)),1000000000),1000000000))+ROW()/100000,"")</f>
        <v/>
      </c>
    </row>
    <row r="33">
      <c r="C33" s="11" t="n"/>
      <c r="J33" s="7">
        <f>IF($B33="","",I33*Q33/100)</f>
        <v/>
      </c>
      <c r="P33" s="7" t="n"/>
      <c r="Q33" s="7" t="n"/>
      <c r="R33" s="7">
        <f>IF($B33="","",Q33*W33/100)</f>
        <v/>
      </c>
      <c r="S33" s="7">
        <f>IF($B33="","",Q33-R33)</f>
        <v/>
      </c>
      <c r="T33" s="7">
        <f>IF($B33="","",S33-J33)</f>
        <v/>
      </c>
      <c r="W33">
        <f>IF($B33="","",IF($AI33=1,0,IF($AH33=1,Settings!$C$6,Settings!$C$7))*100)</f>
        <v/>
      </c>
      <c r="AA33" s="7" t="n"/>
      <c r="AD33" s="11" t="n"/>
      <c r="AF33">
        <f>IF($B33="","",IF(COUNTIF($B$2:$B33,$B33)=1,1,0))</f>
        <v/>
      </c>
      <c r="AG33">
        <f>IF($AF33=1,SUMPRODUCT(--($AJ$2:$AJ$1501&lt;$AJ33))+1,"")</f>
        <v/>
      </c>
      <c r="AH33">
        <f>IF($B33="","",IF(OR($M33=TRUE(),$M33="TRUE"),1,0))</f>
        <v/>
      </c>
      <c r="AI33">
        <f>IF($B33="","",IF($V33="Yes",1,0))</f>
        <v/>
      </c>
      <c r="AJ33">
        <f>IF($AF33=1,IFERROR(IF(VALUE($B33)&lt;100000000,VALUE($B33),1000000000),IFERROR(IF(VALUE(MID($B33,2,20))&lt;100000000,VALUE(MID($B33,2,20)),1000000000),1000000000))+ROW()/100000,"")</f>
        <v/>
      </c>
    </row>
    <row r="34">
      <c r="C34" s="11" t="n"/>
      <c r="J34" s="7">
        <f>IF($B34="","",I34*Q34/100)</f>
        <v/>
      </c>
      <c r="P34" s="7" t="n"/>
      <c r="Q34" s="7" t="n"/>
      <c r="R34" s="7">
        <f>IF($B34="","",Q34*W34/100)</f>
        <v/>
      </c>
      <c r="S34" s="7">
        <f>IF($B34="","",Q34-R34)</f>
        <v/>
      </c>
      <c r="T34" s="7">
        <f>IF($B34="","",S34-J34)</f>
        <v/>
      </c>
      <c r="W34">
        <f>IF($B34="","",IF($AI34=1,0,IF($AH34=1,Settings!$C$6,Settings!$C$7))*100)</f>
        <v/>
      </c>
      <c r="AA34" s="7" t="n"/>
      <c r="AD34" s="11" t="n"/>
      <c r="AF34">
        <f>IF($B34="","",IF(COUNTIF($B$2:$B34,$B34)=1,1,0))</f>
        <v/>
      </c>
      <c r="AG34">
        <f>IF($AF34=1,SUMPRODUCT(--($AJ$2:$AJ$1501&lt;$AJ34))+1,"")</f>
        <v/>
      </c>
      <c r="AH34">
        <f>IF($B34="","",IF(OR($M34=TRUE(),$M34="TRUE"),1,0))</f>
        <v/>
      </c>
      <c r="AI34">
        <f>IF($B34="","",IF($V34="Yes",1,0))</f>
        <v/>
      </c>
      <c r="AJ34">
        <f>IF($AF34=1,IFERROR(IF(VALUE($B34)&lt;100000000,VALUE($B34),1000000000),IFERROR(IF(VALUE(MID($B34,2,20))&lt;100000000,VALUE(MID($B34,2,20)),1000000000),1000000000))+ROW()/100000,"")</f>
        <v/>
      </c>
    </row>
    <row r="35">
      <c r="C35" s="11" t="n"/>
      <c r="J35" s="7">
        <f>IF($B35="","",I35*Q35/100)</f>
        <v/>
      </c>
      <c r="P35" s="7" t="n"/>
      <c r="Q35" s="7" t="n"/>
      <c r="R35" s="7">
        <f>IF($B35="","",Q35*W35/100)</f>
        <v/>
      </c>
      <c r="S35" s="7">
        <f>IF($B35="","",Q35-R35)</f>
        <v/>
      </c>
      <c r="T35" s="7">
        <f>IF($B35="","",S35-J35)</f>
        <v/>
      </c>
      <c r="W35">
        <f>IF($B35="","",IF($AI35=1,0,IF($AH35=1,Settings!$C$6,Settings!$C$7))*100)</f>
        <v/>
      </c>
      <c r="AA35" s="7" t="n"/>
      <c r="AD35" s="11" t="n"/>
      <c r="AF35">
        <f>IF($B35="","",IF(COUNTIF($B$2:$B35,$B35)=1,1,0))</f>
        <v/>
      </c>
      <c r="AG35">
        <f>IF($AF35=1,SUMPRODUCT(--($AJ$2:$AJ$1501&lt;$AJ35))+1,"")</f>
        <v/>
      </c>
      <c r="AH35">
        <f>IF($B35="","",IF(OR($M35=TRUE(),$M35="TRUE"),1,0))</f>
        <v/>
      </c>
      <c r="AI35">
        <f>IF($B35="","",IF($V35="Yes",1,0))</f>
        <v/>
      </c>
      <c r="AJ35">
        <f>IF($AF35=1,IFERROR(IF(VALUE($B35)&lt;100000000,VALUE($B35),1000000000),IFERROR(IF(VALUE(MID($B35,2,20))&lt;100000000,VALUE(MID($B35,2,20)),1000000000),1000000000))+ROW()/100000,"")</f>
        <v/>
      </c>
    </row>
    <row r="36">
      <c r="C36" s="11" t="n"/>
      <c r="J36" s="7">
        <f>IF($B36="","",I36*Q36/100)</f>
        <v/>
      </c>
      <c r="P36" s="7" t="n"/>
      <c r="Q36" s="7" t="n"/>
      <c r="R36" s="7">
        <f>IF($B36="","",Q36*W36/100)</f>
        <v/>
      </c>
      <c r="S36" s="7">
        <f>IF($B36="","",Q36-R36)</f>
        <v/>
      </c>
      <c r="T36" s="7">
        <f>IF($B36="","",S36-J36)</f>
        <v/>
      </c>
      <c r="W36">
        <f>IF($B36="","",IF($AI36=1,0,IF($AH36=1,Settings!$C$6,Settings!$C$7))*100)</f>
        <v/>
      </c>
      <c r="AA36" s="7" t="n"/>
      <c r="AD36" s="11" t="n"/>
      <c r="AF36">
        <f>IF($B36="","",IF(COUNTIF($B$2:$B36,$B36)=1,1,0))</f>
        <v/>
      </c>
      <c r="AG36">
        <f>IF($AF36=1,SUMPRODUCT(--($AJ$2:$AJ$1501&lt;$AJ36))+1,"")</f>
        <v/>
      </c>
      <c r="AH36">
        <f>IF($B36="","",IF(OR($M36=TRUE(),$M36="TRUE"),1,0))</f>
        <v/>
      </c>
      <c r="AI36">
        <f>IF($B36="","",IF($V36="Yes",1,0))</f>
        <v/>
      </c>
      <c r="AJ36">
        <f>IF($AF36=1,IFERROR(IF(VALUE($B36)&lt;100000000,VALUE($B36),1000000000),IFERROR(IF(VALUE(MID($B36,2,20))&lt;100000000,VALUE(MID($B36,2,20)),1000000000),1000000000))+ROW()/100000,"")</f>
        <v/>
      </c>
    </row>
    <row r="37">
      <c r="C37" s="11" t="n"/>
      <c r="J37" s="7">
        <f>IF($B37="","",I37*Q37/100)</f>
        <v/>
      </c>
      <c r="P37" s="7" t="n"/>
      <c r="Q37" s="7" t="n"/>
      <c r="R37" s="7">
        <f>IF($B37="","",Q37*W37/100)</f>
        <v/>
      </c>
      <c r="S37" s="7">
        <f>IF($B37="","",Q37-R37)</f>
        <v/>
      </c>
      <c r="T37" s="7">
        <f>IF($B37="","",S37-J37)</f>
        <v/>
      </c>
      <c r="W37">
        <f>IF($B37="","",IF($AI37=1,0,IF($AH37=1,Settings!$C$6,Settings!$C$7))*100)</f>
        <v/>
      </c>
      <c r="AA37" s="7" t="n"/>
      <c r="AD37" s="11" t="n"/>
      <c r="AF37">
        <f>IF($B37="","",IF(COUNTIF($B$2:$B37,$B37)=1,1,0))</f>
        <v/>
      </c>
      <c r="AG37">
        <f>IF($AF37=1,SUMPRODUCT(--($AJ$2:$AJ$1501&lt;$AJ37))+1,"")</f>
        <v/>
      </c>
      <c r="AH37">
        <f>IF($B37="","",IF(OR($M37=TRUE(),$M37="TRUE"),1,0))</f>
        <v/>
      </c>
      <c r="AI37">
        <f>IF($B37="","",IF($V37="Yes",1,0))</f>
        <v/>
      </c>
      <c r="AJ37">
        <f>IF($AF37=1,IFERROR(IF(VALUE($B37)&lt;100000000,VALUE($B37),1000000000),IFERROR(IF(VALUE(MID($B37,2,20))&lt;100000000,VALUE(MID($B37,2,20)),1000000000),1000000000))+ROW()/100000,"")</f>
        <v/>
      </c>
    </row>
    <row r="38">
      <c r="C38" s="11" t="n"/>
      <c r="J38" s="7">
        <f>IF($B38="","",I38*Q38/100)</f>
        <v/>
      </c>
      <c r="P38" s="7" t="n"/>
      <c r="Q38" s="7" t="n"/>
      <c r="R38" s="7">
        <f>IF($B38="","",Q38*W38/100)</f>
        <v/>
      </c>
      <c r="S38" s="7">
        <f>IF($B38="","",Q38-R38)</f>
        <v/>
      </c>
      <c r="T38" s="7">
        <f>IF($B38="","",S38-J38)</f>
        <v/>
      </c>
      <c r="W38">
        <f>IF($B38="","",IF($AI38=1,0,IF($AH38=1,Settings!$C$6,Settings!$C$7))*100)</f>
        <v/>
      </c>
      <c r="AA38" s="7" t="n"/>
      <c r="AD38" s="11" t="n"/>
      <c r="AF38">
        <f>IF($B38="","",IF(COUNTIF($B$2:$B38,$B38)=1,1,0))</f>
        <v/>
      </c>
      <c r="AG38">
        <f>IF($AF38=1,SUMPRODUCT(--($AJ$2:$AJ$1501&lt;$AJ38))+1,"")</f>
        <v/>
      </c>
      <c r="AH38">
        <f>IF($B38="","",IF(OR($M38=TRUE(),$M38="TRUE"),1,0))</f>
        <v/>
      </c>
      <c r="AI38">
        <f>IF($B38="","",IF($V38="Yes",1,0))</f>
        <v/>
      </c>
      <c r="AJ38">
        <f>IF($AF38=1,IFERROR(IF(VALUE($B38)&lt;100000000,VALUE($B38),1000000000),IFERROR(IF(VALUE(MID($B38,2,20))&lt;100000000,VALUE(MID($B38,2,20)),1000000000),1000000000))+ROW()/100000,"")</f>
        <v/>
      </c>
    </row>
    <row r="39">
      <c r="C39" s="11" t="n"/>
      <c r="J39" s="7">
        <f>IF($B39="","",I39*Q39/100)</f>
        <v/>
      </c>
      <c r="P39" s="7" t="n"/>
      <c r="Q39" s="7" t="n"/>
      <c r="R39" s="7">
        <f>IF($B39="","",Q39*W39/100)</f>
        <v/>
      </c>
      <c r="S39" s="7">
        <f>IF($B39="","",Q39-R39)</f>
        <v/>
      </c>
      <c r="T39" s="7">
        <f>IF($B39="","",S39-J39)</f>
        <v/>
      </c>
      <c r="W39">
        <f>IF($B39="","",IF($AI39=1,0,IF($AH39=1,Settings!$C$6,Settings!$C$7))*100)</f>
        <v/>
      </c>
      <c r="AA39" s="7" t="n"/>
      <c r="AD39" s="11" t="n"/>
      <c r="AF39">
        <f>IF($B39="","",IF(COUNTIF($B$2:$B39,$B39)=1,1,0))</f>
        <v/>
      </c>
      <c r="AG39">
        <f>IF($AF39=1,SUMPRODUCT(--($AJ$2:$AJ$1501&lt;$AJ39))+1,"")</f>
        <v/>
      </c>
      <c r="AH39">
        <f>IF($B39="","",IF(OR($M39=TRUE(),$M39="TRUE"),1,0))</f>
        <v/>
      </c>
      <c r="AI39">
        <f>IF($B39="","",IF($V39="Yes",1,0))</f>
        <v/>
      </c>
      <c r="AJ39">
        <f>IF($AF39=1,IFERROR(IF(VALUE($B39)&lt;100000000,VALUE($B39),1000000000),IFERROR(IF(VALUE(MID($B39,2,20))&lt;100000000,VALUE(MID($B39,2,20)),1000000000),1000000000))+ROW()/100000,"")</f>
        <v/>
      </c>
    </row>
    <row r="40">
      <c r="C40" s="11" t="n"/>
      <c r="J40" s="7">
        <f>IF($B40="","",I40*Q40/100)</f>
        <v/>
      </c>
      <c r="P40" s="7" t="n"/>
      <c r="Q40" s="7" t="n"/>
      <c r="R40" s="7">
        <f>IF($B40="","",Q40*W40/100)</f>
        <v/>
      </c>
      <c r="S40" s="7">
        <f>IF($B40="","",Q40-R40)</f>
        <v/>
      </c>
      <c r="T40" s="7">
        <f>IF($B40="","",S40-J40)</f>
        <v/>
      </c>
      <c r="W40">
        <f>IF($B40="","",IF($AI40=1,0,IF($AH40=1,Settings!$C$6,Settings!$C$7))*100)</f>
        <v/>
      </c>
      <c r="AA40" s="7" t="n"/>
      <c r="AD40" s="11" t="n"/>
      <c r="AF40">
        <f>IF($B40="","",IF(COUNTIF($B$2:$B40,$B40)=1,1,0))</f>
        <v/>
      </c>
      <c r="AG40">
        <f>IF($AF40=1,SUMPRODUCT(--($AJ$2:$AJ$1501&lt;$AJ40))+1,"")</f>
        <v/>
      </c>
      <c r="AH40">
        <f>IF($B40="","",IF(OR($M40=TRUE(),$M40="TRUE"),1,0))</f>
        <v/>
      </c>
      <c r="AI40">
        <f>IF($B40="","",IF($V40="Yes",1,0))</f>
        <v/>
      </c>
      <c r="AJ40">
        <f>IF($AF40=1,IFERROR(IF(VALUE($B40)&lt;100000000,VALUE($B40),1000000000),IFERROR(IF(VALUE(MID($B40,2,20))&lt;100000000,VALUE(MID($B40,2,20)),1000000000),1000000000))+ROW()/100000,"")</f>
        <v/>
      </c>
    </row>
    <row r="41">
      <c r="C41" s="11" t="n"/>
      <c r="J41" s="7">
        <f>IF($B41="","",I41*Q41/100)</f>
        <v/>
      </c>
      <c r="P41" s="7" t="n"/>
      <c r="Q41" s="7" t="n"/>
      <c r="R41" s="7">
        <f>IF($B41="","",Q41*W41/100)</f>
        <v/>
      </c>
      <c r="S41" s="7">
        <f>IF($B41="","",Q41-R41)</f>
        <v/>
      </c>
      <c r="T41" s="7">
        <f>IF($B41="","",S41-J41)</f>
        <v/>
      </c>
      <c r="W41">
        <f>IF($B41="","",IF($AI41=1,0,IF($AH41=1,Settings!$C$6,Settings!$C$7))*100)</f>
        <v/>
      </c>
      <c r="AA41" s="7" t="n"/>
      <c r="AD41" s="11" t="n"/>
      <c r="AF41">
        <f>IF($B41="","",IF(COUNTIF($B$2:$B41,$B41)=1,1,0))</f>
        <v/>
      </c>
      <c r="AG41">
        <f>IF($AF41=1,SUMPRODUCT(--($AJ$2:$AJ$1501&lt;$AJ41))+1,"")</f>
        <v/>
      </c>
      <c r="AH41">
        <f>IF($B41="","",IF(OR($M41=TRUE(),$M41="TRUE"),1,0))</f>
        <v/>
      </c>
      <c r="AI41">
        <f>IF($B41="","",IF($V41="Yes",1,0))</f>
        <v/>
      </c>
      <c r="AJ41">
        <f>IF($AF41=1,IFERROR(IF(VALUE($B41)&lt;100000000,VALUE($B41),1000000000),IFERROR(IF(VALUE(MID($B41,2,20))&lt;100000000,VALUE(MID($B41,2,20)),1000000000),1000000000))+ROW()/100000,"")</f>
        <v/>
      </c>
    </row>
    <row r="42">
      <c r="C42" s="11" t="n"/>
      <c r="J42" s="7">
        <f>IF($B42="","",I42*Q42/100)</f>
        <v/>
      </c>
      <c r="P42" s="7" t="n"/>
      <c r="Q42" s="7" t="n"/>
      <c r="R42" s="7">
        <f>IF($B42="","",Q42*W42/100)</f>
        <v/>
      </c>
      <c r="S42" s="7">
        <f>IF($B42="","",Q42-R42)</f>
        <v/>
      </c>
      <c r="T42" s="7">
        <f>IF($B42="","",S42-J42)</f>
        <v/>
      </c>
      <c r="W42">
        <f>IF($B42="","",IF($AI42=1,0,IF($AH42=1,Settings!$C$6,Settings!$C$7))*100)</f>
        <v/>
      </c>
      <c r="AA42" s="7" t="n"/>
      <c r="AD42" s="11" t="n"/>
      <c r="AF42">
        <f>IF($B42="","",IF(COUNTIF($B$2:$B42,$B42)=1,1,0))</f>
        <v/>
      </c>
      <c r="AG42">
        <f>IF($AF42=1,SUMPRODUCT(--($AJ$2:$AJ$1501&lt;$AJ42))+1,"")</f>
        <v/>
      </c>
      <c r="AH42">
        <f>IF($B42="","",IF(OR($M42=TRUE(),$M42="TRUE"),1,0))</f>
        <v/>
      </c>
      <c r="AI42">
        <f>IF($B42="","",IF($V42="Yes",1,0))</f>
        <v/>
      </c>
      <c r="AJ42">
        <f>IF($AF42=1,IFERROR(IF(VALUE($B42)&lt;100000000,VALUE($B42),1000000000),IFERROR(IF(VALUE(MID($B42,2,20))&lt;100000000,VALUE(MID($B42,2,20)),1000000000),1000000000))+ROW()/100000,"")</f>
        <v/>
      </c>
    </row>
    <row r="43">
      <c r="C43" s="11" t="n"/>
      <c r="J43" s="7">
        <f>IF($B43="","",I43*Q43/100)</f>
        <v/>
      </c>
      <c r="P43" s="7" t="n"/>
      <c r="Q43" s="7" t="n"/>
      <c r="R43" s="7">
        <f>IF($B43="","",Q43*W43/100)</f>
        <v/>
      </c>
      <c r="S43" s="7">
        <f>IF($B43="","",Q43-R43)</f>
        <v/>
      </c>
      <c r="T43" s="7">
        <f>IF($B43="","",S43-J43)</f>
        <v/>
      </c>
      <c r="W43">
        <f>IF($B43="","",IF($AI43=1,0,IF($AH43=1,Settings!$C$6,Settings!$C$7))*100)</f>
        <v/>
      </c>
      <c r="AA43" s="7" t="n"/>
      <c r="AD43" s="11" t="n"/>
      <c r="AF43">
        <f>IF($B43="","",IF(COUNTIF($B$2:$B43,$B43)=1,1,0))</f>
        <v/>
      </c>
      <c r="AG43">
        <f>IF($AF43=1,SUMPRODUCT(--($AJ$2:$AJ$1501&lt;$AJ43))+1,"")</f>
        <v/>
      </c>
      <c r="AH43">
        <f>IF($B43="","",IF(OR($M43=TRUE(),$M43="TRUE"),1,0))</f>
        <v/>
      </c>
      <c r="AI43">
        <f>IF($B43="","",IF($V43="Yes",1,0))</f>
        <v/>
      </c>
      <c r="AJ43">
        <f>IF($AF43=1,IFERROR(IF(VALUE($B43)&lt;100000000,VALUE($B43),1000000000),IFERROR(IF(VALUE(MID($B43,2,20))&lt;100000000,VALUE(MID($B43,2,20)),1000000000),1000000000))+ROW()/100000,"")</f>
        <v/>
      </c>
    </row>
    <row r="44">
      <c r="C44" s="11" t="n"/>
      <c r="J44" s="7">
        <f>IF($B44="","",I44*Q44/100)</f>
        <v/>
      </c>
      <c r="P44" s="7" t="n"/>
      <c r="Q44" s="7" t="n"/>
      <c r="R44" s="7">
        <f>IF($B44="","",Q44*W44/100)</f>
        <v/>
      </c>
      <c r="S44" s="7">
        <f>IF($B44="","",Q44-R44)</f>
        <v/>
      </c>
      <c r="T44" s="7">
        <f>IF($B44="","",S44-J44)</f>
        <v/>
      </c>
      <c r="W44">
        <f>IF($B44="","",IF($AI44=1,0,IF($AH44=1,Settings!$C$6,Settings!$C$7))*100)</f>
        <v/>
      </c>
      <c r="AA44" s="7" t="n"/>
      <c r="AD44" s="11" t="n"/>
      <c r="AF44">
        <f>IF($B44="","",IF(COUNTIF($B$2:$B44,$B44)=1,1,0))</f>
        <v/>
      </c>
      <c r="AG44">
        <f>IF($AF44=1,SUMPRODUCT(--($AJ$2:$AJ$1501&lt;$AJ44))+1,"")</f>
        <v/>
      </c>
      <c r="AH44">
        <f>IF($B44="","",IF(OR($M44=TRUE(),$M44="TRUE"),1,0))</f>
        <v/>
      </c>
      <c r="AI44">
        <f>IF($B44="","",IF($V44="Yes",1,0))</f>
        <v/>
      </c>
      <c r="AJ44">
        <f>IF($AF44=1,IFERROR(IF(VALUE($B44)&lt;100000000,VALUE($B44),1000000000),IFERROR(IF(VALUE(MID($B44,2,20))&lt;100000000,VALUE(MID($B44,2,20)),1000000000),1000000000))+ROW()/100000,"")</f>
        <v/>
      </c>
    </row>
    <row r="45">
      <c r="C45" s="11" t="n"/>
      <c r="J45" s="7">
        <f>IF($B45="","",I45*Q45/100)</f>
        <v/>
      </c>
      <c r="P45" s="7" t="n"/>
      <c r="Q45" s="7" t="n"/>
      <c r="R45" s="7">
        <f>IF($B45="","",Q45*W45/100)</f>
        <v/>
      </c>
      <c r="S45" s="7">
        <f>IF($B45="","",Q45-R45)</f>
        <v/>
      </c>
      <c r="T45" s="7">
        <f>IF($B45="","",S45-J45)</f>
        <v/>
      </c>
      <c r="W45">
        <f>IF($B45="","",IF($AI45=1,0,IF($AH45=1,Settings!$C$6,Settings!$C$7))*100)</f>
        <v/>
      </c>
      <c r="AA45" s="7" t="n"/>
      <c r="AD45" s="11" t="n"/>
      <c r="AF45">
        <f>IF($B45="","",IF(COUNTIF($B$2:$B45,$B45)=1,1,0))</f>
        <v/>
      </c>
      <c r="AG45">
        <f>IF($AF45=1,SUMPRODUCT(--($AJ$2:$AJ$1501&lt;$AJ45))+1,"")</f>
        <v/>
      </c>
      <c r="AH45">
        <f>IF($B45="","",IF(OR($M45=TRUE(),$M45="TRUE"),1,0))</f>
        <v/>
      </c>
      <c r="AI45">
        <f>IF($B45="","",IF($V45="Yes",1,0))</f>
        <v/>
      </c>
      <c r="AJ45">
        <f>IF($AF45=1,IFERROR(IF(VALUE($B45)&lt;100000000,VALUE($B45),1000000000),IFERROR(IF(VALUE(MID($B45,2,20))&lt;100000000,VALUE(MID($B45,2,20)),1000000000),1000000000))+ROW()/100000,"")</f>
        <v/>
      </c>
    </row>
    <row r="46">
      <c r="C46" s="11" t="n"/>
      <c r="J46" s="7">
        <f>IF($B46="","",I46*Q46/100)</f>
        <v/>
      </c>
      <c r="P46" s="7" t="n"/>
      <c r="Q46" s="7" t="n"/>
      <c r="R46" s="7">
        <f>IF($B46="","",Q46*W46/100)</f>
        <v/>
      </c>
      <c r="S46" s="7">
        <f>IF($B46="","",Q46-R46)</f>
        <v/>
      </c>
      <c r="T46" s="7">
        <f>IF($B46="","",S46-J46)</f>
        <v/>
      </c>
      <c r="W46">
        <f>IF($B46="","",IF($AI46=1,0,IF($AH46=1,Settings!$C$6,Settings!$C$7))*100)</f>
        <v/>
      </c>
      <c r="AA46" s="7" t="n"/>
      <c r="AD46" s="11" t="n"/>
      <c r="AF46">
        <f>IF($B46="","",IF(COUNTIF($B$2:$B46,$B46)=1,1,0))</f>
        <v/>
      </c>
      <c r="AG46">
        <f>IF($AF46=1,SUMPRODUCT(--($AJ$2:$AJ$1501&lt;$AJ46))+1,"")</f>
        <v/>
      </c>
      <c r="AH46">
        <f>IF($B46="","",IF(OR($M46=TRUE(),$M46="TRUE"),1,0))</f>
        <v/>
      </c>
      <c r="AI46">
        <f>IF($B46="","",IF($V46="Yes",1,0))</f>
        <v/>
      </c>
      <c r="AJ46">
        <f>IF($AF46=1,IFERROR(IF(VALUE($B46)&lt;100000000,VALUE($B46),1000000000),IFERROR(IF(VALUE(MID($B46,2,20))&lt;100000000,VALUE(MID($B46,2,20)),1000000000),1000000000))+ROW()/100000,"")</f>
        <v/>
      </c>
    </row>
    <row r="47">
      <c r="C47" s="11" t="n"/>
      <c r="J47" s="7">
        <f>IF($B47="","",I47*Q47/100)</f>
        <v/>
      </c>
      <c r="P47" s="7" t="n"/>
      <c r="Q47" s="7" t="n"/>
      <c r="R47" s="7">
        <f>IF($B47="","",Q47*W47/100)</f>
        <v/>
      </c>
      <c r="S47" s="7">
        <f>IF($B47="","",Q47-R47)</f>
        <v/>
      </c>
      <c r="T47" s="7">
        <f>IF($B47="","",S47-J47)</f>
        <v/>
      </c>
      <c r="W47">
        <f>IF($B47="","",IF($AI47=1,0,IF($AH47=1,Settings!$C$6,Settings!$C$7))*100)</f>
        <v/>
      </c>
      <c r="AA47" s="7" t="n"/>
      <c r="AD47" s="11" t="n"/>
      <c r="AF47">
        <f>IF($B47="","",IF(COUNTIF($B$2:$B47,$B47)=1,1,0))</f>
        <v/>
      </c>
      <c r="AG47">
        <f>IF($AF47=1,SUMPRODUCT(--($AJ$2:$AJ$1501&lt;$AJ47))+1,"")</f>
        <v/>
      </c>
      <c r="AH47">
        <f>IF($B47="","",IF(OR($M47=TRUE(),$M47="TRUE"),1,0))</f>
        <v/>
      </c>
      <c r="AI47">
        <f>IF($B47="","",IF($V47="Yes",1,0))</f>
        <v/>
      </c>
      <c r="AJ47">
        <f>IF($AF47=1,IFERROR(IF(VALUE($B47)&lt;100000000,VALUE($B47),1000000000),IFERROR(IF(VALUE(MID($B47,2,20))&lt;100000000,VALUE(MID($B47,2,20)),1000000000),1000000000))+ROW()/100000,"")</f>
        <v/>
      </c>
    </row>
    <row r="48">
      <c r="C48" s="11" t="n"/>
      <c r="J48" s="7">
        <f>IF($B48="","",I48*Q48/100)</f>
        <v/>
      </c>
      <c r="P48" s="7" t="n"/>
      <c r="Q48" s="7" t="n"/>
      <c r="R48" s="7">
        <f>IF($B48="","",Q48*W48/100)</f>
        <v/>
      </c>
      <c r="S48" s="7">
        <f>IF($B48="","",Q48-R48)</f>
        <v/>
      </c>
      <c r="T48" s="7">
        <f>IF($B48="","",S48-J48)</f>
        <v/>
      </c>
      <c r="W48">
        <f>IF($B48="","",IF($AI48=1,0,IF($AH48=1,Settings!$C$6,Settings!$C$7))*100)</f>
        <v/>
      </c>
      <c r="AA48" s="7" t="n"/>
      <c r="AD48" s="11" t="n"/>
      <c r="AF48">
        <f>IF($B48="","",IF(COUNTIF($B$2:$B48,$B48)=1,1,0))</f>
        <v/>
      </c>
      <c r="AG48">
        <f>IF($AF48=1,SUMPRODUCT(--($AJ$2:$AJ$1501&lt;$AJ48))+1,"")</f>
        <v/>
      </c>
      <c r="AH48">
        <f>IF($B48="","",IF(OR($M48=TRUE(),$M48="TRUE"),1,0))</f>
        <v/>
      </c>
      <c r="AI48">
        <f>IF($B48="","",IF($V48="Yes",1,0))</f>
        <v/>
      </c>
      <c r="AJ48">
        <f>IF($AF48=1,IFERROR(IF(VALUE($B48)&lt;100000000,VALUE($B48),1000000000),IFERROR(IF(VALUE(MID($B48,2,20))&lt;100000000,VALUE(MID($B48,2,20)),1000000000),1000000000))+ROW()/100000,"")</f>
        <v/>
      </c>
    </row>
    <row r="49">
      <c r="C49" s="11" t="n"/>
      <c r="J49" s="7">
        <f>IF($B49="","",I49*Q49/100)</f>
        <v/>
      </c>
      <c r="P49" s="7" t="n"/>
      <c r="Q49" s="7" t="n"/>
      <c r="R49" s="7">
        <f>IF($B49="","",Q49*W49/100)</f>
        <v/>
      </c>
      <c r="S49" s="7">
        <f>IF($B49="","",Q49-R49)</f>
        <v/>
      </c>
      <c r="T49" s="7">
        <f>IF($B49="","",S49-J49)</f>
        <v/>
      </c>
      <c r="W49">
        <f>IF($B49="","",IF($AI49=1,0,IF($AH49=1,Settings!$C$6,Settings!$C$7))*100)</f>
        <v/>
      </c>
      <c r="AA49" s="7" t="n"/>
      <c r="AD49" s="11" t="n"/>
      <c r="AF49">
        <f>IF($B49="","",IF(COUNTIF($B$2:$B49,$B49)=1,1,0))</f>
        <v/>
      </c>
      <c r="AG49">
        <f>IF($AF49=1,SUMPRODUCT(--($AJ$2:$AJ$1501&lt;$AJ49))+1,"")</f>
        <v/>
      </c>
      <c r="AH49">
        <f>IF($B49="","",IF(OR($M49=TRUE(),$M49="TRUE"),1,0))</f>
        <v/>
      </c>
      <c r="AI49">
        <f>IF($B49="","",IF($V49="Yes",1,0))</f>
        <v/>
      </c>
      <c r="AJ49">
        <f>IF($AF49=1,IFERROR(IF(VALUE($B49)&lt;100000000,VALUE($B49),1000000000),IFERROR(IF(VALUE(MID($B49,2,20))&lt;100000000,VALUE(MID($B49,2,20)),1000000000),1000000000))+ROW()/100000,"")</f>
        <v/>
      </c>
    </row>
    <row r="50">
      <c r="C50" s="11" t="n"/>
      <c r="J50" s="7">
        <f>IF($B50="","",I50*Q50/100)</f>
        <v/>
      </c>
      <c r="P50" s="7" t="n"/>
      <c r="Q50" s="7" t="n"/>
      <c r="R50" s="7">
        <f>IF($B50="","",Q50*W50/100)</f>
        <v/>
      </c>
      <c r="S50" s="7">
        <f>IF($B50="","",Q50-R50)</f>
        <v/>
      </c>
      <c r="T50" s="7">
        <f>IF($B50="","",S50-J50)</f>
        <v/>
      </c>
      <c r="W50">
        <f>IF($B50="","",IF($AI50=1,0,IF($AH50=1,Settings!$C$6,Settings!$C$7))*100)</f>
        <v/>
      </c>
      <c r="AA50" s="7" t="n"/>
      <c r="AD50" s="11" t="n"/>
      <c r="AF50">
        <f>IF($B50="","",IF(COUNTIF($B$2:$B50,$B50)=1,1,0))</f>
        <v/>
      </c>
      <c r="AG50">
        <f>IF($AF50=1,SUMPRODUCT(--($AJ$2:$AJ$1501&lt;$AJ50))+1,"")</f>
        <v/>
      </c>
      <c r="AH50">
        <f>IF($B50="","",IF(OR($M50=TRUE(),$M50="TRUE"),1,0))</f>
        <v/>
      </c>
      <c r="AI50">
        <f>IF($B50="","",IF($V50="Yes",1,0))</f>
        <v/>
      </c>
      <c r="AJ50">
        <f>IF($AF50=1,IFERROR(IF(VALUE($B50)&lt;100000000,VALUE($B50),1000000000),IFERROR(IF(VALUE(MID($B50,2,20))&lt;100000000,VALUE(MID($B50,2,20)),1000000000),1000000000))+ROW()/100000,"")</f>
        <v/>
      </c>
    </row>
    <row r="51">
      <c r="C51" s="11" t="n"/>
      <c r="J51" s="7">
        <f>IF($B51="","",I51*Q51/100)</f>
        <v/>
      </c>
      <c r="P51" s="7" t="n"/>
      <c r="Q51" s="7" t="n"/>
      <c r="R51" s="7">
        <f>IF($B51="","",Q51*W51/100)</f>
        <v/>
      </c>
      <c r="S51" s="7">
        <f>IF($B51="","",Q51-R51)</f>
        <v/>
      </c>
      <c r="T51" s="7">
        <f>IF($B51="","",S51-J51)</f>
        <v/>
      </c>
      <c r="W51">
        <f>IF($B51="","",IF($AI51=1,0,IF($AH51=1,Settings!$C$6,Settings!$C$7))*100)</f>
        <v/>
      </c>
      <c r="AA51" s="7" t="n"/>
      <c r="AD51" s="11" t="n"/>
      <c r="AF51">
        <f>IF($B51="","",IF(COUNTIF($B$2:$B51,$B51)=1,1,0))</f>
        <v/>
      </c>
      <c r="AG51">
        <f>IF($AF51=1,SUMPRODUCT(--($AJ$2:$AJ$1501&lt;$AJ51))+1,"")</f>
        <v/>
      </c>
      <c r="AH51">
        <f>IF($B51="","",IF(OR($M51=TRUE(),$M51="TRUE"),1,0))</f>
        <v/>
      </c>
      <c r="AI51">
        <f>IF($B51="","",IF($V51="Yes",1,0))</f>
        <v/>
      </c>
      <c r="AJ51">
        <f>IF($AF51=1,IFERROR(IF(VALUE($B51)&lt;100000000,VALUE($B51),1000000000),IFERROR(IF(VALUE(MID($B51,2,20))&lt;100000000,VALUE(MID($B51,2,20)),1000000000),1000000000))+ROW()/100000,"")</f>
        <v/>
      </c>
    </row>
    <row r="52">
      <c r="C52" s="11" t="n"/>
      <c r="J52" s="7">
        <f>IF($B52="","",I52*Q52/100)</f>
        <v/>
      </c>
      <c r="P52" s="7" t="n"/>
      <c r="Q52" s="7" t="n"/>
      <c r="R52" s="7">
        <f>IF($B52="","",Q52*W52/100)</f>
        <v/>
      </c>
      <c r="S52" s="7">
        <f>IF($B52="","",Q52-R52)</f>
        <v/>
      </c>
      <c r="T52" s="7">
        <f>IF($B52="","",S52-J52)</f>
        <v/>
      </c>
      <c r="W52">
        <f>IF($B52="","",IF($AI52=1,0,IF($AH52=1,Settings!$C$6,Settings!$C$7))*100)</f>
        <v/>
      </c>
      <c r="AA52" s="7" t="n"/>
      <c r="AD52" s="11" t="n"/>
      <c r="AF52">
        <f>IF($B52="","",IF(COUNTIF($B$2:$B52,$B52)=1,1,0))</f>
        <v/>
      </c>
      <c r="AG52">
        <f>IF($AF52=1,SUMPRODUCT(--($AJ$2:$AJ$1501&lt;$AJ52))+1,"")</f>
        <v/>
      </c>
      <c r="AH52">
        <f>IF($B52="","",IF(OR($M52=TRUE(),$M52="TRUE"),1,0))</f>
        <v/>
      </c>
      <c r="AI52">
        <f>IF($B52="","",IF($V52="Yes",1,0))</f>
        <v/>
      </c>
      <c r="AJ52">
        <f>IF($AF52=1,IFERROR(IF(VALUE($B52)&lt;100000000,VALUE($B52),1000000000),IFERROR(IF(VALUE(MID($B52,2,20))&lt;100000000,VALUE(MID($B52,2,20)),1000000000),1000000000))+ROW()/100000,"")</f>
        <v/>
      </c>
    </row>
    <row r="53">
      <c r="C53" s="11" t="n"/>
      <c r="J53" s="7">
        <f>IF($B53="","",I53*Q53/100)</f>
        <v/>
      </c>
      <c r="P53" s="7" t="n"/>
      <c r="Q53" s="7" t="n"/>
      <c r="R53" s="7">
        <f>IF($B53="","",Q53*W53/100)</f>
        <v/>
      </c>
      <c r="S53" s="7">
        <f>IF($B53="","",Q53-R53)</f>
        <v/>
      </c>
      <c r="T53" s="7">
        <f>IF($B53="","",S53-J53)</f>
        <v/>
      </c>
      <c r="W53">
        <f>IF($B53="","",IF($AI53=1,0,IF($AH53=1,Settings!$C$6,Settings!$C$7))*100)</f>
        <v/>
      </c>
      <c r="AA53" s="7" t="n"/>
      <c r="AD53" s="11" t="n"/>
      <c r="AF53">
        <f>IF($B53="","",IF(COUNTIF($B$2:$B53,$B53)=1,1,0))</f>
        <v/>
      </c>
      <c r="AG53">
        <f>IF($AF53=1,SUMPRODUCT(--($AJ$2:$AJ$1501&lt;$AJ53))+1,"")</f>
        <v/>
      </c>
      <c r="AH53">
        <f>IF($B53="","",IF(OR($M53=TRUE(),$M53="TRUE"),1,0))</f>
        <v/>
      </c>
      <c r="AI53">
        <f>IF($B53="","",IF($V53="Yes",1,0))</f>
        <v/>
      </c>
      <c r="AJ53">
        <f>IF($AF53=1,IFERROR(IF(VALUE($B53)&lt;100000000,VALUE($B53),1000000000),IFERROR(IF(VALUE(MID($B53,2,20))&lt;100000000,VALUE(MID($B53,2,20)),1000000000),1000000000))+ROW()/100000,"")</f>
        <v/>
      </c>
    </row>
    <row r="54">
      <c r="C54" s="11" t="n"/>
      <c r="J54" s="7">
        <f>IF($B54="","",I54*Q54/100)</f>
        <v/>
      </c>
      <c r="P54" s="7" t="n"/>
      <c r="Q54" s="7" t="n"/>
      <c r="R54" s="7">
        <f>IF($B54="","",Q54*W54/100)</f>
        <v/>
      </c>
      <c r="S54" s="7">
        <f>IF($B54="","",Q54-R54)</f>
        <v/>
      </c>
      <c r="T54" s="7">
        <f>IF($B54="","",S54-J54)</f>
        <v/>
      </c>
      <c r="W54">
        <f>IF($B54="","",IF($AI54=1,0,IF($AH54=1,Settings!$C$6,Settings!$C$7))*100)</f>
        <v/>
      </c>
      <c r="AA54" s="7" t="n"/>
      <c r="AD54" s="11" t="n"/>
      <c r="AF54">
        <f>IF($B54="","",IF(COUNTIF($B$2:$B54,$B54)=1,1,0))</f>
        <v/>
      </c>
      <c r="AG54">
        <f>IF($AF54=1,SUMPRODUCT(--($AJ$2:$AJ$1501&lt;$AJ54))+1,"")</f>
        <v/>
      </c>
      <c r="AH54">
        <f>IF($B54="","",IF(OR($M54=TRUE(),$M54="TRUE"),1,0))</f>
        <v/>
      </c>
      <c r="AI54">
        <f>IF($B54="","",IF($V54="Yes",1,0))</f>
        <v/>
      </c>
      <c r="AJ54">
        <f>IF($AF54=1,IFERROR(IF(VALUE($B54)&lt;100000000,VALUE($B54),1000000000),IFERROR(IF(VALUE(MID($B54,2,20))&lt;100000000,VALUE(MID($B54,2,20)),1000000000),1000000000))+ROW()/100000,"")</f>
        <v/>
      </c>
    </row>
    <row r="55">
      <c r="C55" s="11" t="n"/>
      <c r="J55" s="7">
        <f>IF($B55="","",I55*Q55/100)</f>
        <v/>
      </c>
      <c r="P55" s="7" t="n"/>
      <c r="Q55" s="7" t="n"/>
      <c r="R55" s="7">
        <f>IF($B55="","",Q55*W55/100)</f>
        <v/>
      </c>
      <c r="S55" s="7">
        <f>IF($B55="","",Q55-R55)</f>
        <v/>
      </c>
      <c r="T55" s="7">
        <f>IF($B55="","",S55-J55)</f>
        <v/>
      </c>
      <c r="W55">
        <f>IF($B55="","",IF($AI55=1,0,IF($AH55=1,Settings!$C$6,Settings!$C$7))*100)</f>
        <v/>
      </c>
      <c r="AA55" s="7" t="n"/>
      <c r="AD55" s="11" t="n"/>
      <c r="AF55">
        <f>IF($B55="","",IF(COUNTIF($B$2:$B55,$B55)=1,1,0))</f>
        <v/>
      </c>
      <c r="AG55">
        <f>IF($AF55=1,SUMPRODUCT(--($AJ$2:$AJ$1501&lt;$AJ55))+1,"")</f>
        <v/>
      </c>
      <c r="AH55">
        <f>IF($B55="","",IF(OR($M55=TRUE(),$M55="TRUE"),1,0))</f>
        <v/>
      </c>
      <c r="AI55">
        <f>IF($B55="","",IF($V55="Yes",1,0))</f>
        <v/>
      </c>
      <c r="AJ55">
        <f>IF($AF55=1,IFERROR(IF(VALUE($B55)&lt;100000000,VALUE($B55),1000000000),IFERROR(IF(VALUE(MID($B55,2,20))&lt;100000000,VALUE(MID($B55,2,20)),1000000000),1000000000))+ROW()/100000,"")</f>
        <v/>
      </c>
    </row>
    <row r="56">
      <c r="C56" s="11" t="n"/>
      <c r="J56" s="7">
        <f>IF($B56="","",I56*Q56/100)</f>
        <v/>
      </c>
      <c r="P56" s="7" t="n"/>
      <c r="Q56" s="7" t="n"/>
      <c r="R56" s="7">
        <f>IF($B56="","",Q56*W56/100)</f>
        <v/>
      </c>
      <c r="S56" s="7">
        <f>IF($B56="","",Q56-R56)</f>
        <v/>
      </c>
      <c r="T56" s="7">
        <f>IF($B56="","",S56-J56)</f>
        <v/>
      </c>
      <c r="W56">
        <f>IF($B56="","",IF($AI56=1,0,IF($AH56=1,Settings!$C$6,Settings!$C$7))*100)</f>
        <v/>
      </c>
      <c r="AA56" s="7" t="n"/>
      <c r="AD56" s="11" t="n"/>
      <c r="AF56">
        <f>IF($B56="","",IF(COUNTIF($B$2:$B56,$B56)=1,1,0))</f>
        <v/>
      </c>
      <c r="AG56">
        <f>IF($AF56=1,SUMPRODUCT(--($AJ$2:$AJ$1501&lt;$AJ56))+1,"")</f>
        <v/>
      </c>
      <c r="AH56">
        <f>IF($B56="","",IF(OR($M56=TRUE(),$M56="TRUE"),1,0))</f>
        <v/>
      </c>
      <c r="AI56">
        <f>IF($B56="","",IF($V56="Yes",1,0))</f>
        <v/>
      </c>
      <c r="AJ56">
        <f>IF($AF56=1,IFERROR(IF(VALUE($B56)&lt;100000000,VALUE($B56),1000000000),IFERROR(IF(VALUE(MID($B56,2,20))&lt;100000000,VALUE(MID($B56,2,20)),1000000000),1000000000))+ROW()/100000,"")</f>
        <v/>
      </c>
    </row>
    <row r="57">
      <c r="C57" s="11" t="n"/>
      <c r="J57" s="7">
        <f>IF($B57="","",I57*Q57/100)</f>
        <v/>
      </c>
      <c r="P57" s="7" t="n"/>
      <c r="Q57" s="7" t="n"/>
      <c r="R57" s="7">
        <f>IF($B57="","",Q57*W57/100)</f>
        <v/>
      </c>
      <c r="S57" s="7">
        <f>IF($B57="","",Q57-R57)</f>
        <v/>
      </c>
      <c r="T57" s="7">
        <f>IF($B57="","",S57-J57)</f>
        <v/>
      </c>
      <c r="W57">
        <f>IF($B57="","",IF($AI57=1,0,IF($AH57=1,Settings!$C$6,Settings!$C$7))*100)</f>
        <v/>
      </c>
      <c r="AA57" s="7" t="n"/>
      <c r="AD57" s="11" t="n"/>
      <c r="AF57">
        <f>IF($B57="","",IF(COUNTIF($B$2:$B57,$B57)=1,1,0))</f>
        <v/>
      </c>
      <c r="AG57">
        <f>IF($AF57=1,SUMPRODUCT(--($AJ$2:$AJ$1501&lt;$AJ57))+1,"")</f>
        <v/>
      </c>
      <c r="AH57">
        <f>IF($B57="","",IF(OR($M57=TRUE(),$M57="TRUE"),1,0))</f>
        <v/>
      </c>
      <c r="AI57">
        <f>IF($B57="","",IF($V57="Yes",1,0))</f>
        <v/>
      </c>
      <c r="AJ57">
        <f>IF($AF57=1,IFERROR(IF(VALUE($B57)&lt;100000000,VALUE($B57),1000000000),IFERROR(IF(VALUE(MID($B57,2,20))&lt;100000000,VALUE(MID($B57,2,20)),1000000000),1000000000))+ROW()/100000,"")</f>
        <v/>
      </c>
    </row>
    <row r="58">
      <c r="C58" s="11" t="n"/>
      <c r="J58" s="7">
        <f>IF($B58="","",I58*Q58/100)</f>
        <v/>
      </c>
      <c r="P58" s="7" t="n"/>
      <c r="Q58" s="7" t="n"/>
      <c r="R58" s="7">
        <f>IF($B58="","",Q58*W58/100)</f>
        <v/>
      </c>
      <c r="S58" s="7">
        <f>IF($B58="","",Q58-R58)</f>
        <v/>
      </c>
      <c r="T58" s="7">
        <f>IF($B58="","",S58-J58)</f>
        <v/>
      </c>
      <c r="W58">
        <f>IF($B58="","",IF($AI58=1,0,IF($AH58=1,Settings!$C$6,Settings!$C$7))*100)</f>
        <v/>
      </c>
      <c r="AA58" s="7" t="n"/>
      <c r="AD58" s="11" t="n"/>
      <c r="AF58">
        <f>IF($B58="","",IF(COUNTIF($B$2:$B58,$B58)=1,1,0))</f>
        <v/>
      </c>
      <c r="AG58">
        <f>IF($AF58=1,SUMPRODUCT(--($AJ$2:$AJ$1501&lt;$AJ58))+1,"")</f>
        <v/>
      </c>
      <c r="AH58">
        <f>IF($B58="","",IF(OR($M58=TRUE(),$M58="TRUE"),1,0))</f>
        <v/>
      </c>
      <c r="AI58">
        <f>IF($B58="","",IF($V58="Yes",1,0))</f>
        <v/>
      </c>
      <c r="AJ58">
        <f>IF($AF58=1,IFERROR(IF(VALUE($B58)&lt;100000000,VALUE($B58),1000000000),IFERROR(IF(VALUE(MID($B58,2,20))&lt;100000000,VALUE(MID($B58,2,20)),1000000000),1000000000))+ROW()/100000,"")</f>
        <v/>
      </c>
    </row>
    <row r="59">
      <c r="C59" s="11" t="n"/>
      <c r="J59" s="7">
        <f>IF($B59="","",I59*Q59/100)</f>
        <v/>
      </c>
      <c r="P59" s="7" t="n"/>
      <c r="Q59" s="7" t="n"/>
      <c r="R59" s="7">
        <f>IF($B59="","",Q59*W59/100)</f>
        <v/>
      </c>
      <c r="S59" s="7">
        <f>IF($B59="","",Q59-R59)</f>
        <v/>
      </c>
      <c r="T59" s="7">
        <f>IF($B59="","",S59-J59)</f>
        <v/>
      </c>
      <c r="W59">
        <f>IF($B59="","",IF($AI59=1,0,IF($AH59=1,Settings!$C$6,Settings!$C$7))*100)</f>
        <v/>
      </c>
      <c r="AA59" s="7" t="n"/>
      <c r="AD59" s="11" t="n"/>
      <c r="AF59">
        <f>IF($B59="","",IF(COUNTIF($B$2:$B59,$B59)=1,1,0))</f>
        <v/>
      </c>
      <c r="AG59">
        <f>IF($AF59=1,SUMPRODUCT(--($AJ$2:$AJ$1501&lt;$AJ59))+1,"")</f>
        <v/>
      </c>
      <c r="AH59">
        <f>IF($B59="","",IF(OR($M59=TRUE(),$M59="TRUE"),1,0))</f>
        <v/>
      </c>
      <c r="AI59">
        <f>IF($B59="","",IF($V59="Yes",1,0))</f>
        <v/>
      </c>
      <c r="AJ59">
        <f>IF($AF59=1,IFERROR(IF(VALUE($B59)&lt;100000000,VALUE($B59),1000000000),IFERROR(IF(VALUE(MID($B59,2,20))&lt;100000000,VALUE(MID($B59,2,20)),1000000000),1000000000))+ROW()/100000,"")</f>
        <v/>
      </c>
    </row>
    <row r="60">
      <c r="C60" s="11" t="n"/>
      <c r="J60" s="7">
        <f>IF($B60="","",I60*Q60/100)</f>
        <v/>
      </c>
      <c r="P60" s="7" t="n"/>
      <c r="Q60" s="7" t="n"/>
      <c r="R60" s="7">
        <f>IF($B60="","",Q60*W60/100)</f>
        <v/>
      </c>
      <c r="S60" s="7">
        <f>IF($B60="","",Q60-R60)</f>
        <v/>
      </c>
      <c r="T60" s="7">
        <f>IF($B60="","",S60-J60)</f>
        <v/>
      </c>
      <c r="W60">
        <f>IF($B60="","",IF($AI60=1,0,IF($AH60=1,Settings!$C$6,Settings!$C$7))*100)</f>
        <v/>
      </c>
      <c r="AA60" s="7" t="n"/>
      <c r="AD60" s="11" t="n"/>
      <c r="AF60">
        <f>IF($B60="","",IF(COUNTIF($B$2:$B60,$B60)=1,1,0))</f>
        <v/>
      </c>
      <c r="AG60">
        <f>IF($AF60=1,SUMPRODUCT(--($AJ$2:$AJ$1501&lt;$AJ60))+1,"")</f>
        <v/>
      </c>
      <c r="AH60">
        <f>IF($B60="","",IF(OR($M60=TRUE(),$M60="TRUE"),1,0))</f>
        <v/>
      </c>
      <c r="AI60">
        <f>IF($B60="","",IF($V60="Yes",1,0))</f>
        <v/>
      </c>
      <c r="AJ60">
        <f>IF($AF60=1,IFERROR(IF(VALUE($B60)&lt;100000000,VALUE($B60),1000000000),IFERROR(IF(VALUE(MID($B60,2,20))&lt;100000000,VALUE(MID($B60,2,20)),1000000000),1000000000))+ROW()/100000,"")</f>
        <v/>
      </c>
    </row>
    <row r="61">
      <c r="C61" s="11" t="n"/>
      <c r="J61" s="7">
        <f>IF($B61="","",I61*Q61/100)</f>
        <v/>
      </c>
      <c r="P61" s="7" t="n"/>
      <c r="Q61" s="7" t="n"/>
      <c r="R61" s="7">
        <f>IF($B61="","",Q61*W61/100)</f>
        <v/>
      </c>
      <c r="S61" s="7">
        <f>IF($B61="","",Q61-R61)</f>
        <v/>
      </c>
      <c r="T61" s="7">
        <f>IF($B61="","",S61-J61)</f>
        <v/>
      </c>
      <c r="W61">
        <f>IF($B61="","",IF($AI61=1,0,IF($AH61=1,Settings!$C$6,Settings!$C$7))*100)</f>
        <v/>
      </c>
      <c r="AA61" s="7" t="n"/>
      <c r="AD61" s="11" t="n"/>
      <c r="AF61">
        <f>IF($B61="","",IF(COUNTIF($B$2:$B61,$B61)=1,1,0))</f>
        <v/>
      </c>
      <c r="AG61">
        <f>IF($AF61=1,SUMPRODUCT(--($AJ$2:$AJ$1501&lt;$AJ61))+1,"")</f>
        <v/>
      </c>
      <c r="AH61">
        <f>IF($B61="","",IF(OR($M61=TRUE(),$M61="TRUE"),1,0))</f>
        <v/>
      </c>
      <c r="AI61">
        <f>IF($B61="","",IF($V61="Yes",1,0))</f>
        <v/>
      </c>
      <c r="AJ61">
        <f>IF($AF61=1,IFERROR(IF(VALUE($B61)&lt;100000000,VALUE($B61),1000000000),IFERROR(IF(VALUE(MID($B61,2,20))&lt;100000000,VALUE(MID($B61,2,20)),1000000000),1000000000))+ROW()/100000,"")</f>
        <v/>
      </c>
    </row>
    <row r="62">
      <c r="C62" s="11" t="n"/>
      <c r="J62" s="7">
        <f>IF($B62="","",I62*Q62/100)</f>
        <v/>
      </c>
      <c r="P62" s="7" t="n"/>
      <c r="Q62" s="7" t="n"/>
      <c r="R62" s="7">
        <f>IF($B62="","",Q62*W62/100)</f>
        <v/>
      </c>
      <c r="S62" s="7">
        <f>IF($B62="","",Q62-R62)</f>
        <v/>
      </c>
      <c r="T62" s="7">
        <f>IF($B62="","",S62-J62)</f>
        <v/>
      </c>
      <c r="W62">
        <f>IF($B62="","",IF($AI62=1,0,IF($AH62=1,Settings!$C$6,Settings!$C$7))*100)</f>
        <v/>
      </c>
      <c r="AA62" s="7" t="n"/>
      <c r="AD62" s="11" t="n"/>
      <c r="AF62">
        <f>IF($B62="","",IF(COUNTIF($B$2:$B62,$B62)=1,1,0))</f>
        <v/>
      </c>
      <c r="AG62">
        <f>IF($AF62=1,SUMPRODUCT(--($AJ$2:$AJ$1501&lt;$AJ62))+1,"")</f>
        <v/>
      </c>
      <c r="AH62">
        <f>IF($B62="","",IF(OR($M62=TRUE(),$M62="TRUE"),1,0))</f>
        <v/>
      </c>
      <c r="AI62">
        <f>IF($B62="","",IF($V62="Yes",1,0))</f>
        <v/>
      </c>
      <c r="AJ62">
        <f>IF($AF62=1,IFERROR(IF(VALUE($B62)&lt;100000000,VALUE($B62),1000000000),IFERROR(IF(VALUE(MID($B62,2,20))&lt;100000000,VALUE(MID($B62,2,20)),1000000000),1000000000))+ROW()/100000,"")</f>
        <v/>
      </c>
    </row>
    <row r="63">
      <c r="C63" s="11" t="n"/>
      <c r="J63" s="7">
        <f>IF($B63="","",I63*Q63/100)</f>
        <v/>
      </c>
      <c r="P63" s="7" t="n"/>
      <c r="Q63" s="7" t="n"/>
      <c r="R63" s="7">
        <f>IF($B63="","",Q63*W63/100)</f>
        <v/>
      </c>
      <c r="S63" s="7">
        <f>IF($B63="","",Q63-R63)</f>
        <v/>
      </c>
      <c r="T63" s="7">
        <f>IF($B63="","",S63-J63)</f>
        <v/>
      </c>
      <c r="W63">
        <f>IF($B63="","",IF($AI63=1,0,IF($AH63=1,Settings!$C$6,Settings!$C$7))*100)</f>
        <v/>
      </c>
      <c r="AA63" s="7" t="n"/>
      <c r="AD63" s="11" t="n"/>
      <c r="AF63">
        <f>IF($B63="","",IF(COUNTIF($B$2:$B63,$B63)=1,1,0))</f>
        <v/>
      </c>
      <c r="AG63">
        <f>IF($AF63=1,SUMPRODUCT(--($AJ$2:$AJ$1501&lt;$AJ63))+1,"")</f>
        <v/>
      </c>
      <c r="AH63">
        <f>IF($B63="","",IF(OR($M63=TRUE(),$M63="TRUE"),1,0))</f>
        <v/>
      </c>
      <c r="AI63">
        <f>IF($B63="","",IF($V63="Yes",1,0))</f>
        <v/>
      </c>
      <c r="AJ63">
        <f>IF($AF63=1,IFERROR(IF(VALUE($B63)&lt;100000000,VALUE($B63),1000000000),IFERROR(IF(VALUE(MID($B63,2,20))&lt;100000000,VALUE(MID($B63,2,20)),1000000000),1000000000))+ROW()/100000,"")</f>
        <v/>
      </c>
    </row>
    <row r="64">
      <c r="C64" s="11" t="n"/>
      <c r="J64" s="7">
        <f>IF($B64="","",I64*Q64/100)</f>
        <v/>
      </c>
      <c r="P64" s="7" t="n"/>
      <c r="Q64" s="7" t="n"/>
      <c r="R64" s="7">
        <f>IF($B64="","",Q64*W64/100)</f>
        <v/>
      </c>
      <c r="S64" s="7">
        <f>IF($B64="","",Q64-R64)</f>
        <v/>
      </c>
      <c r="T64" s="7">
        <f>IF($B64="","",S64-J64)</f>
        <v/>
      </c>
      <c r="W64">
        <f>IF($B64="","",IF($AI64=1,0,IF($AH64=1,Settings!$C$6,Settings!$C$7))*100)</f>
        <v/>
      </c>
      <c r="AA64" s="7" t="n"/>
      <c r="AD64" s="11" t="n"/>
      <c r="AF64">
        <f>IF($B64="","",IF(COUNTIF($B$2:$B64,$B64)=1,1,0))</f>
        <v/>
      </c>
      <c r="AG64">
        <f>IF($AF64=1,SUMPRODUCT(--($AJ$2:$AJ$1501&lt;$AJ64))+1,"")</f>
        <v/>
      </c>
      <c r="AH64">
        <f>IF($B64="","",IF(OR($M64=TRUE(),$M64="TRUE"),1,0))</f>
        <v/>
      </c>
      <c r="AI64">
        <f>IF($B64="","",IF($V64="Yes",1,0))</f>
        <v/>
      </c>
      <c r="AJ64">
        <f>IF($AF64=1,IFERROR(IF(VALUE($B64)&lt;100000000,VALUE($B64),1000000000),IFERROR(IF(VALUE(MID($B64,2,20))&lt;100000000,VALUE(MID($B64,2,20)),1000000000),1000000000))+ROW()/100000,"")</f>
        <v/>
      </c>
    </row>
    <row r="65">
      <c r="C65" s="11" t="n"/>
      <c r="J65" s="7">
        <f>IF($B65="","",I65*Q65/100)</f>
        <v/>
      </c>
      <c r="P65" s="7" t="n"/>
      <c r="Q65" s="7" t="n"/>
      <c r="R65" s="7">
        <f>IF($B65="","",Q65*W65/100)</f>
        <v/>
      </c>
      <c r="S65" s="7">
        <f>IF($B65="","",Q65-R65)</f>
        <v/>
      </c>
      <c r="T65" s="7">
        <f>IF($B65="","",S65-J65)</f>
        <v/>
      </c>
      <c r="W65">
        <f>IF($B65="","",IF($AI65=1,0,IF($AH65=1,Settings!$C$6,Settings!$C$7))*100)</f>
        <v/>
      </c>
      <c r="AA65" s="7" t="n"/>
      <c r="AD65" s="11" t="n"/>
      <c r="AF65">
        <f>IF($B65="","",IF(COUNTIF($B$2:$B65,$B65)=1,1,0))</f>
        <v/>
      </c>
      <c r="AG65">
        <f>IF($AF65=1,SUMPRODUCT(--($AJ$2:$AJ$1501&lt;$AJ65))+1,"")</f>
        <v/>
      </c>
      <c r="AH65">
        <f>IF($B65="","",IF(OR($M65=TRUE(),$M65="TRUE"),1,0))</f>
        <v/>
      </c>
      <c r="AI65">
        <f>IF($B65="","",IF($V65="Yes",1,0))</f>
        <v/>
      </c>
      <c r="AJ65">
        <f>IF($AF65=1,IFERROR(IF(VALUE($B65)&lt;100000000,VALUE($B65),1000000000),IFERROR(IF(VALUE(MID($B65,2,20))&lt;100000000,VALUE(MID($B65,2,20)),1000000000),1000000000))+ROW()/100000,"")</f>
        <v/>
      </c>
    </row>
    <row r="66">
      <c r="C66" s="11" t="n"/>
      <c r="J66" s="7">
        <f>IF($B66="","",I66*Q66/100)</f>
        <v/>
      </c>
      <c r="P66" s="7" t="n"/>
      <c r="Q66" s="7" t="n"/>
      <c r="R66" s="7">
        <f>IF($B66="","",Q66*W66/100)</f>
        <v/>
      </c>
      <c r="S66" s="7">
        <f>IF($B66="","",Q66-R66)</f>
        <v/>
      </c>
      <c r="T66" s="7">
        <f>IF($B66="","",S66-J66)</f>
        <v/>
      </c>
      <c r="W66">
        <f>IF($B66="","",IF($AI66=1,0,IF($AH66=1,Settings!$C$6,Settings!$C$7))*100)</f>
        <v/>
      </c>
      <c r="AA66" s="7" t="n"/>
      <c r="AD66" s="11" t="n"/>
      <c r="AF66">
        <f>IF($B66="","",IF(COUNTIF($B$2:$B66,$B66)=1,1,0))</f>
        <v/>
      </c>
      <c r="AG66">
        <f>IF($AF66=1,SUMPRODUCT(--($AJ$2:$AJ$1501&lt;$AJ66))+1,"")</f>
        <v/>
      </c>
      <c r="AH66">
        <f>IF($B66="","",IF(OR($M66=TRUE(),$M66="TRUE"),1,0))</f>
        <v/>
      </c>
      <c r="AI66">
        <f>IF($B66="","",IF($V66="Yes",1,0))</f>
        <v/>
      </c>
      <c r="AJ66">
        <f>IF($AF66=1,IFERROR(IF(VALUE($B66)&lt;100000000,VALUE($B66),1000000000),IFERROR(IF(VALUE(MID($B66,2,20))&lt;100000000,VALUE(MID($B66,2,20)),1000000000),1000000000))+ROW()/100000,"")</f>
        <v/>
      </c>
    </row>
    <row r="67">
      <c r="C67" s="11" t="n"/>
      <c r="J67" s="7">
        <f>IF($B67="","",I67*Q67/100)</f>
        <v/>
      </c>
      <c r="P67" s="7" t="n"/>
      <c r="Q67" s="7" t="n"/>
      <c r="R67" s="7">
        <f>IF($B67="","",Q67*W67/100)</f>
        <v/>
      </c>
      <c r="S67" s="7">
        <f>IF($B67="","",Q67-R67)</f>
        <v/>
      </c>
      <c r="T67" s="7">
        <f>IF($B67="","",S67-J67)</f>
        <v/>
      </c>
      <c r="W67">
        <f>IF($B67="","",IF($AI67=1,0,IF($AH67=1,Settings!$C$6,Settings!$C$7))*100)</f>
        <v/>
      </c>
      <c r="AA67" s="7" t="n"/>
      <c r="AD67" s="11" t="n"/>
      <c r="AF67">
        <f>IF($B67="","",IF(COUNTIF($B$2:$B67,$B67)=1,1,0))</f>
        <v/>
      </c>
      <c r="AG67">
        <f>IF($AF67=1,SUMPRODUCT(--($AJ$2:$AJ$1501&lt;$AJ67))+1,"")</f>
        <v/>
      </c>
      <c r="AH67">
        <f>IF($B67="","",IF(OR($M67=TRUE(),$M67="TRUE"),1,0))</f>
        <v/>
      </c>
      <c r="AI67">
        <f>IF($B67="","",IF($V67="Yes",1,0))</f>
        <v/>
      </c>
      <c r="AJ67">
        <f>IF($AF67=1,IFERROR(IF(VALUE($B67)&lt;100000000,VALUE($B67),1000000000),IFERROR(IF(VALUE(MID($B67,2,20))&lt;100000000,VALUE(MID($B67,2,20)),1000000000),1000000000))+ROW()/100000,"")</f>
        <v/>
      </c>
    </row>
    <row r="68">
      <c r="C68" s="11" t="n"/>
      <c r="J68" s="7">
        <f>IF($B68="","",I68*Q68/100)</f>
        <v/>
      </c>
      <c r="P68" s="7" t="n"/>
      <c r="Q68" s="7" t="n"/>
      <c r="R68" s="7">
        <f>IF($B68="","",Q68*W68/100)</f>
        <v/>
      </c>
      <c r="S68" s="7">
        <f>IF($B68="","",Q68-R68)</f>
        <v/>
      </c>
      <c r="T68" s="7">
        <f>IF($B68="","",S68-J68)</f>
        <v/>
      </c>
      <c r="W68">
        <f>IF($B68="","",IF($AI68=1,0,IF($AH68=1,Settings!$C$6,Settings!$C$7))*100)</f>
        <v/>
      </c>
      <c r="AA68" s="7" t="n"/>
      <c r="AD68" s="11" t="n"/>
      <c r="AF68">
        <f>IF($B68="","",IF(COUNTIF($B$2:$B68,$B68)=1,1,0))</f>
        <v/>
      </c>
      <c r="AG68">
        <f>IF($AF68=1,SUMPRODUCT(--($AJ$2:$AJ$1501&lt;$AJ68))+1,"")</f>
        <v/>
      </c>
      <c r="AH68">
        <f>IF($B68="","",IF(OR($M68=TRUE(),$M68="TRUE"),1,0))</f>
        <v/>
      </c>
      <c r="AI68">
        <f>IF($B68="","",IF($V68="Yes",1,0))</f>
        <v/>
      </c>
      <c r="AJ68">
        <f>IF($AF68=1,IFERROR(IF(VALUE($B68)&lt;100000000,VALUE($B68),1000000000),IFERROR(IF(VALUE(MID($B68,2,20))&lt;100000000,VALUE(MID($B68,2,20)),1000000000),1000000000))+ROW()/100000,"")</f>
        <v/>
      </c>
    </row>
    <row r="69">
      <c r="C69" s="11" t="n"/>
      <c r="J69" s="7">
        <f>IF($B69="","",I69*Q69/100)</f>
        <v/>
      </c>
      <c r="P69" s="7" t="n"/>
      <c r="Q69" s="7" t="n"/>
      <c r="R69" s="7">
        <f>IF($B69="","",Q69*W69/100)</f>
        <v/>
      </c>
      <c r="S69" s="7">
        <f>IF($B69="","",Q69-R69)</f>
        <v/>
      </c>
      <c r="T69" s="7">
        <f>IF($B69="","",S69-J69)</f>
        <v/>
      </c>
      <c r="W69">
        <f>IF($B69="","",IF($AI69=1,0,IF($AH69=1,Settings!$C$6,Settings!$C$7))*100)</f>
        <v/>
      </c>
      <c r="AA69" s="7" t="n"/>
      <c r="AD69" s="11" t="n"/>
      <c r="AF69">
        <f>IF($B69="","",IF(COUNTIF($B$2:$B69,$B69)=1,1,0))</f>
        <v/>
      </c>
      <c r="AG69">
        <f>IF($AF69=1,SUMPRODUCT(--($AJ$2:$AJ$1501&lt;$AJ69))+1,"")</f>
        <v/>
      </c>
      <c r="AH69">
        <f>IF($B69="","",IF(OR($M69=TRUE(),$M69="TRUE"),1,0))</f>
        <v/>
      </c>
      <c r="AI69">
        <f>IF($B69="","",IF($V69="Yes",1,0))</f>
        <v/>
      </c>
      <c r="AJ69">
        <f>IF($AF69=1,IFERROR(IF(VALUE($B69)&lt;100000000,VALUE($B69),1000000000),IFERROR(IF(VALUE(MID($B69,2,20))&lt;100000000,VALUE(MID($B69,2,20)),1000000000),1000000000))+ROW()/100000,"")</f>
        <v/>
      </c>
    </row>
    <row r="70">
      <c r="C70" s="11" t="n"/>
      <c r="J70" s="7">
        <f>IF($B70="","",I70*Q70/100)</f>
        <v/>
      </c>
      <c r="P70" s="7" t="n"/>
      <c r="Q70" s="7" t="n"/>
      <c r="R70" s="7">
        <f>IF($B70="","",Q70*W70/100)</f>
        <v/>
      </c>
      <c r="S70" s="7">
        <f>IF($B70="","",Q70-R70)</f>
        <v/>
      </c>
      <c r="T70" s="7">
        <f>IF($B70="","",S70-J70)</f>
        <v/>
      </c>
      <c r="W70">
        <f>IF($B70="","",IF($AI70=1,0,IF($AH70=1,Settings!$C$6,Settings!$C$7))*100)</f>
        <v/>
      </c>
      <c r="AA70" s="7" t="n"/>
      <c r="AD70" s="11" t="n"/>
      <c r="AF70">
        <f>IF($B70="","",IF(COUNTIF($B$2:$B70,$B70)=1,1,0))</f>
        <v/>
      </c>
      <c r="AG70">
        <f>IF($AF70=1,SUMPRODUCT(--($AJ$2:$AJ$1501&lt;$AJ70))+1,"")</f>
        <v/>
      </c>
      <c r="AH70">
        <f>IF($B70="","",IF(OR($M70=TRUE(),$M70="TRUE"),1,0))</f>
        <v/>
      </c>
      <c r="AI70">
        <f>IF($B70="","",IF($V70="Yes",1,0))</f>
        <v/>
      </c>
      <c r="AJ70">
        <f>IF($AF70=1,IFERROR(IF(VALUE($B70)&lt;100000000,VALUE($B70),1000000000),IFERROR(IF(VALUE(MID($B70,2,20))&lt;100000000,VALUE(MID($B70,2,20)),1000000000),1000000000))+ROW()/100000,"")</f>
        <v/>
      </c>
    </row>
    <row r="71">
      <c r="C71" s="11" t="n"/>
      <c r="J71" s="7">
        <f>IF($B71="","",I71*Q71/100)</f>
        <v/>
      </c>
      <c r="P71" s="7" t="n"/>
      <c r="Q71" s="7" t="n"/>
      <c r="R71" s="7">
        <f>IF($B71="","",Q71*W71/100)</f>
        <v/>
      </c>
      <c r="S71" s="7">
        <f>IF($B71="","",Q71-R71)</f>
        <v/>
      </c>
      <c r="T71" s="7">
        <f>IF($B71="","",S71-J71)</f>
        <v/>
      </c>
      <c r="W71">
        <f>IF($B71="","",IF($AI71=1,0,IF($AH71=1,Settings!$C$6,Settings!$C$7))*100)</f>
        <v/>
      </c>
      <c r="AA71" s="7" t="n"/>
      <c r="AD71" s="11" t="n"/>
      <c r="AF71">
        <f>IF($B71="","",IF(COUNTIF($B$2:$B71,$B71)=1,1,0))</f>
        <v/>
      </c>
      <c r="AG71">
        <f>IF($AF71=1,SUMPRODUCT(--($AJ$2:$AJ$1501&lt;$AJ71))+1,"")</f>
        <v/>
      </c>
      <c r="AH71">
        <f>IF($B71="","",IF(OR($M71=TRUE(),$M71="TRUE"),1,0))</f>
        <v/>
      </c>
      <c r="AI71">
        <f>IF($B71="","",IF($V71="Yes",1,0))</f>
        <v/>
      </c>
      <c r="AJ71">
        <f>IF($AF71=1,IFERROR(IF(VALUE($B71)&lt;100000000,VALUE($B71),1000000000),IFERROR(IF(VALUE(MID($B71,2,20))&lt;100000000,VALUE(MID($B71,2,20)),1000000000),1000000000))+ROW()/100000,"")</f>
        <v/>
      </c>
    </row>
    <row r="72">
      <c r="C72" s="11" t="n"/>
      <c r="J72" s="7">
        <f>IF($B72="","",I72*Q72/100)</f>
        <v/>
      </c>
      <c r="P72" s="7" t="n"/>
      <c r="Q72" s="7" t="n"/>
      <c r="R72" s="7">
        <f>IF($B72="","",Q72*W72/100)</f>
        <v/>
      </c>
      <c r="S72" s="7">
        <f>IF($B72="","",Q72-R72)</f>
        <v/>
      </c>
      <c r="T72" s="7">
        <f>IF($B72="","",S72-J72)</f>
        <v/>
      </c>
      <c r="W72">
        <f>IF($B72="","",IF($AI72=1,0,IF($AH72=1,Settings!$C$6,Settings!$C$7))*100)</f>
        <v/>
      </c>
      <c r="AA72" s="7" t="n"/>
      <c r="AD72" s="11" t="n"/>
      <c r="AF72">
        <f>IF($B72="","",IF(COUNTIF($B$2:$B72,$B72)=1,1,0))</f>
        <v/>
      </c>
      <c r="AG72">
        <f>IF($AF72=1,SUMPRODUCT(--($AJ$2:$AJ$1501&lt;$AJ72))+1,"")</f>
        <v/>
      </c>
      <c r="AH72">
        <f>IF($B72="","",IF(OR($M72=TRUE(),$M72="TRUE"),1,0))</f>
        <v/>
      </c>
      <c r="AI72">
        <f>IF($B72="","",IF($V72="Yes",1,0))</f>
        <v/>
      </c>
      <c r="AJ72">
        <f>IF($AF72=1,IFERROR(IF(VALUE($B72)&lt;100000000,VALUE($B72),1000000000),IFERROR(IF(VALUE(MID($B72,2,20))&lt;100000000,VALUE(MID($B72,2,20)),1000000000),1000000000))+ROW()/100000,"")</f>
        <v/>
      </c>
    </row>
    <row r="73">
      <c r="C73" s="11" t="n"/>
      <c r="J73" s="7">
        <f>IF($B73="","",I73*Q73/100)</f>
        <v/>
      </c>
      <c r="P73" s="7" t="n"/>
      <c r="Q73" s="7" t="n"/>
      <c r="R73" s="7">
        <f>IF($B73="","",Q73*W73/100)</f>
        <v/>
      </c>
      <c r="S73" s="7">
        <f>IF($B73="","",Q73-R73)</f>
        <v/>
      </c>
      <c r="T73" s="7">
        <f>IF($B73="","",S73-J73)</f>
        <v/>
      </c>
      <c r="W73">
        <f>IF($B73="","",IF($AI73=1,0,IF($AH73=1,Settings!$C$6,Settings!$C$7))*100)</f>
        <v/>
      </c>
      <c r="AA73" s="7" t="n"/>
      <c r="AD73" s="11" t="n"/>
      <c r="AF73">
        <f>IF($B73="","",IF(COUNTIF($B$2:$B73,$B73)=1,1,0))</f>
        <v/>
      </c>
      <c r="AG73">
        <f>IF($AF73=1,SUMPRODUCT(--($AJ$2:$AJ$1501&lt;$AJ73))+1,"")</f>
        <v/>
      </c>
      <c r="AH73">
        <f>IF($B73="","",IF(OR($M73=TRUE(),$M73="TRUE"),1,0))</f>
        <v/>
      </c>
      <c r="AI73">
        <f>IF($B73="","",IF($V73="Yes",1,0))</f>
        <v/>
      </c>
      <c r="AJ73">
        <f>IF($AF73=1,IFERROR(IF(VALUE($B73)&lt;100000000,VALUE($B73),1000000000),IFERROR(IF(VALUE(MID($B73,2,20))&lt;100000000,VALUE(MID($B73,2,20)),1000000000),1000000000))+ROW()/100000,"")</f>
        <v/>
      </c>
    </row>
    <row r="74">
      <c r="C74" s="11" t="n"/>
      <c r="J74" s="7">
        <f>IF($B74="","",I74*Q74/100)</f>
        <v/>
      </c>
      <c r="P74" s="7" t="n"/>
      <c r="Q74" s="7" t="n"/>
      <c r="R74" s="7">
        <f>IF($B74="","",Q74*W74/100)</f>
        <v/>
      </c>
      <c r="S74" s="7">
        <f>IF($B74="","",Q74-R74)</f>
        <v/>
      </c>
      <c r="T74" s="7">
        <f>IF($B74="","",S74-J74)</f>
        <v/>
      </c>
      <c r="W74">
        <f>IF($B74="","",IF($AI74=1,0,IF($AH74=1,Settings!$C$6,Settings!$C$7))*100)</f>
        <v/>
      </c>
      <c r="AA74" s="7" t="n"/>
      <c r="AD74" s="11" t="n"/>
      <c r="AF74">
        <f>IF($B74="","",IF(COUNTIF($B$2:$B74,$B74)=1,1,0))</f>
        <v/>
      </c>
      <c r="AG74">
        <f>IF($AF74=1,SUMPRODUCT(--($AJ$2:$AJ$1501&lt;$AJ74))+1,"")</f>
        <v/>
      </c>
      <c r="AH74">
        <f>IF($B74="","",IF(OR($M74=TRUE(),$M74="TRUE"),1,0))</f>
        <v/>
      </c>
      <c r="AI74">
        <f>IF($B74="","",IF($V74="Yes",1,0))</f>
        <v/>
      </c>
      <c r="AJ74">
        <f>IF($AF74=1,IFERROR(IF(VALUE($B74)&lt;100000000,VALUE($B74),1000000000),IFERROR(IF(VALUE(MID($B74,2,20))&lt;100000000,VALUE(MID($B74,2,20)),1000000000),1000000000))+ROW()/100000,"")</f>
        <v/>
      </c>
    </row>
    <row r="75">
      <c r="C75" s="11" t="n"/>
      <c r="J75" s="7">
        <f>IF($B75="","",I75*Q75/100)</f>
        <v/>
      </c>
      <c r="P75" s="7" t="n"/>
      <c r="Q75" s="7" t="n"/>
      <c r="R75" s="7">
        <f>IF($B75="","",Q75*W75/100)</f>
        <v/>
      </c>
      <c r="S75" s="7">
        <f>IF($B75="","",Q75-R75)</f>
        <v/>
      </c>
      <c r="T75" s="7">
        <f>IF($B75="","",S75-J75)</f>
        <v/>
      </c>
      <c r="W75">
        <f>IF($B75="","",IF($AI75=1,0,IF($AH75=1,Settings!$C$6,Settings!$C$7))*100)</f>
        <v/>
      </c>
      <c r="AA75" s="7" t="n"/>
      <c r="AD75" s="11" t="n"/>
      <c r="AF75">
        <f>IF($B75="","",IF(COUNTIF($B$2:$B75,$B75)=1,1,0))</f>
        <v/>
      </c>
      <c r="AG75">
        <f>IF($AF75=1,SUMPRODUCT(--($AJ$2:$AJ$1501&lt;$AJ75))+1,"")</f>
        <v/>
      </c>
      <c r="AH75">
        <f>IF($B75="","",IF(OR($M75=TRUE(),$M75="TRUE"),1,0))</f>
        <v/>
      </c>
      <c r="AI75">
        <f>IF($B75="","",IF($V75="Yes",1,0))</f>
        <v/>
      </c>
      <c r="AJ75">
        <f>IF($AF75=1,IFERROR(IF(VALUE($B75)&lt;100000000,VALUE($B75),1000000000),IFERROR(IF(VALUE(MID($B75,2,20))&lt;100000000,VALUE(MID($B75,2,20)),1000000000),1000000000))+ROW()/100000,"")</f>
        <v/>
      </c>
    </row>
    <row r="76">
      <c r="C76" s="11" t="n"/>
      <c r="J76" s="7">
        <f>IF($B76="","",I76*Q76/100)</f>
        <v/>
      </c>
      <c r="P76" s="7" t="n"/>
      <c r="Q76" s="7" t="n"/>
      <c r="R76" s="7">
        <f>IF($B76="","",Q76*W76/100)</f>
        <v/>
      </c>
      <c r="S76" s="7">
        <f>IF($B76="","",Q76-R76)</f>
        <v/>
      </c>
      <c r="T76" s="7">
        <f>IF($B76="","",S76-J76)</f>
        <v/>
      </c>
      <c r="W76">
        <f>IF($B76="","",IF($AI76=1,0,IF($AH76=1,Settings!$C$6,Settings!$C$7))*100)</f>
        <v/>
      </c>
      <c r="AA76" s="7" t="n"/>
      <c r="AD76" s="11" t="n"/>
      <c r="AF76">
        <f>IF($B76="","",IF(COUNTIF($B$2:$B76,$B76)=1,1,0))</f>
        <v/>
      </c>
      <c r="AG76">
        <f>IF($AF76=1,SUMPRODUCT(--($AJ$2:$AJ$1501&lt;$AJ76))+1,"")</f>
        <v/>
      </c>
      <c r="AH76">
        <f>IF($B76="","",IF(OR($M76=TRUE(),$M76="TRUE"),1,0))</f>
        <v/>
      </c>
      <c r="AI76">
        <f>IF($B76="","",IF($V76="Yes",1,0))</f>
        <v/>
      </c>
      <c r="AJ76">
        <f>IF($AF76=1,IFERROR(IF(VALUE($B76)&lt;100000000,VALUE($B76),1000000000),IFERROR(IF(VALUE(MID($B76,2,20))&lt;100000000,VALUE(MID($B76,2,20)),1000000000),1000000000))+ROW()/100000,"")</f>
        <v/>
      </c>
    </row>
    <row r="77">
      <c r="C77" s="11" t="n"/>
      <c r="J77" s="7">
        <f>IF($B77="","",I77*Q77/100)</f>
        <v/>
      </c>
      <c r="P77" s="7" t="n"/>
      <c r="Q77" s="7" t="n"/>
      <c r="R77" s="7">
        <f>IF($B77="","",Q77*W77/100)</f>
        <v/>
      </c>
      <c r="S77" s="7">
        <f>IF($B77="","",Q77-R77)</f>
        <v/>
      </c>
      <c r="T77" s="7">
        <f>IF($B77="","",S77-J77)</f>
        <v/>
      </c>
      <c r="W77">
        <f>IF($B77="","",IF($AI77=1,0,IF($AH77=1,Settings!$C$6,Settings!$C$7))*100)</f>
        <v/>
      </c>
      <c r="AA77" s="7" t="n"/>
      <c r="AD77" s="11" t="n"/>
      <c r="AF77">
        <f>IF($B77="","",IF(COUNTIF($B$2:$B77,$B77)=1,1,0))</f>
        <v/>
      </c>
      <c r="AG77">
        <f>IF($AF77=1,SUMPRODUCT(--($AJ$2:$AJ$1501&lt;$AJ77))+1,"")</f>
        <v/>
      </c>
      <c r="AH77">
        <f>IF($B77="","",IF(OR($M77=TRUE(),$M77="TRUE"),1,0))</f>
        <v/>
      </c>
      <c r="AI77">
        <f>IF($B77="","",IF($V77="Yes",1,0))</f>
        <v/>
      </c>
      <c r="AJ77">
        <f>IF($AF77=1,IFERROR(IF(VALUE($B77)&lt;100000000,VALUE($B77),1000000000),IFERROR(IF(VALUE(MID($B77,2,20))&lt;100000000,VALUE(MID($B77,2,20)),1000000000),1000000000))+ROW()/100000,"")</f>
        <v/>
      </c>
    </row>
    <row r="78">
      <c r="C78" s="11" t="n"/>
      <c r="J78" s="7">
        <f>IF($B78="","",I78*Q78/100)</f>
        <v/>
      </c>
      <c r="P78" s="7" t="n"/>
      <c r="Q78" s="7" t="n"/>
      <c r="R78" s="7">
        <f>IF($B78="","",Q78*W78/100)</f>
        <v/>
      </c>
      <c r="S78" s="7">
        <f>IF($B78="","",Q78-R78)</f>
        <v/>
      </c>
      <c r="T78" s="7">
        <f>IF($B78="","",S78-J78)</f>
        <v/>
      </c>
      <c r="W78">
        <f>IF($B78="","",IF($AI78=1,0,IF($AH78=1,Settings!$C$6,Settings!$C$7))*100)</f>
        <v/>
      </c>
      <c r="AA78" s="7" t="n"/>
      <c r="AD78" s="11" t="n"/>
      <c r="AF78">
        <f>IF($B78="","",IF(COUNTIF($B$2:$B78,$B78)=1,1,0))</f>
        <v/>
      </c>
      <c r="AG78">
        <f>IF($AF78=1,SUMPRODUCT(--($AJ$2:$AJ$1501&lt;$AJ78))+1,"")</f>
        <v/>
      </c>
      <c r="AH78">
        <f>IF($B78="","",IF(OR($M78=TRUE(),$M78="TRUE"),1,0))</f>
        <v/>
      </c>
      <c r="AI78">
        <f>IF($B78="","",IF($V78="Yes",1,0))</f>
        <v/>
      </c>
      <c r="AJ78">
        <f>IF($AF78=1,IFERROR(IF(VALUE($B78)&lt;100000000,VALUE($B78),1000000000),IFERROR(IF(VALUE(MID($B78,2,20))&lt;100000000,VALUE(MID($B78,2,20)),1000000000),1000000000))+ROW()/100000,"")</f>
        <v/>
      </c>
    </row>
    <row r="79">
      <c r="C79" s="11" t="n"/>
      <c r="J79" s="7">
        <f>IF($B79="","",I79*Q79/100)</f>
        <v/>
      </c>
      <c r="P79" s="7" t="n"/>
      <c r="Q79" s="7" t="n"/>
      <c r="R79" s="7">
        <f>IF($B79="","",Q79*W79/100)</f>
        <v/>
      </c>
      <c r="S79" s="7">
        <f>IF($B79="","",Q79-R79)</f>
        <v/>
      </c>
      <c r="T79" s="7">
        <f>IF($B79="","",S79-J79)</f>
        <v/>
      </c>
      <c r="W79">
        <f>IF($B79="","",IF($AI79=1,0,IF($AH79=1,Settings!$C$6,Settings!$C$7))*100)</f>
        <v/>
      </c>
      <c r="AA79" s="7" t="n"/>
      <c r="AD79" s="11" t="n"/>
      <c r="AF79">
        <f>IF($B79="","",IF(COUNTIF($B$2:$B79,$B79)=1,1,0))</f>
        <v/>
      </c>
      <c r="AG79">
        <f>IF($AF79=1,SUMPRODUCT(--($AJ$2:$AJ$1501&lt;$AJ79))+1,"")</f>
        <v/>
      </c>
      <c r="AH79">
        <f>IF($B79="","",IF(OR($M79=TRUE(),$M79="TRUE"),1,0))</f>
        <v/>
      </c>
      <c r="AI79">
        <f>IF($B79="","",IF($V79="Yes",1,0))</f>
        <v/>
      </c>
      <c r="AJ79">
        <f>IF($AF79=1,IFERROR(IF(VALUE($B79)&lt;100000000,VALUE($B79),1000000000),IFERROR(IF(VALUE(MID($B79,2,20))&lt;100000000,VALUE(MID($B79,2,20)),1000000000),1000000000))+ROW()/100000,"")</f>
        <v/>
      </c>
    </row>
    <row r="80">
      <c r="C80" s="11" t="n"/>
      <c r="J80" s="7">
        <f>IF($B80="","",I80*Q80/100)</f>
        <v/>
      </c>
      <c r="P80" s="7" t="n"/>
      <c r="Q80" s="7" t="n"/>
      <c r="R80" s="7">
        <f>IF($B80="","",Q80*W80/100)</f>
        <v/>
      </c>
      <c r="S80" s="7">
        <f>IF($B80="","",Q80-R80)</f>
        <v/>
      </c>
      <c r="T80" s="7">
        <f>IF($B80="","",S80-J80)</f>
        <v/>
      </c>
      <c r="W80">
        <f>IF($B80="","",IF($AI80=1,0,IF($AH80=1,Settings!$C$6,Settings!$C$7))*100)</f>
        <v/>
      </c>
      <c r="AA80" s="7" t="n"/>
      <c r="AD80" s="11" t="n"/>
      <c r="AF80">
        <f>IF($B80="","",IF(COUNTIF($B$2:$B80,$B80)=1,1,0))</f>
        <v/>
      </c>
      <c r="AG80">
        <f>IF($AF80=1,SUMPRODUCT(--($AJ$2:$AJ$1501&lt;$AJ80))+1,"")</f>
        <v/>
      </c>
      <c r="AH80">
        <f>IF($B80="","",IF(OR($M80=TRUE(),$M80="TRUE"),1,0))</f>
        <v/>
      </c>
      <c r="AI80">
        <f>IF($B80="","",IF($V80="Yes",1,0))</f>
        <v/>
      </c>
      <c r="AJ80">
        <f>IF($AF80=1,IFERROR(IF(VALUE($B80)&lt;100000000,VALUE($B80),1000000000),IFERROR(IF(VALUE(MID($B80,2,20))&lt;100000000,VALUE(MID($B80,2,20)),1000000000),1000000000))+ROW()/100000,"")</f>
        <v/>
      </c>
    </row>
    <row r="81">
      <c r="C81" s="11" t="n"/>
      <c r="J81" s="7">
        <f>IF($B81="","",I81*Q81/100)</f>
        <v/>
      </c>
      <c r="P81" s="7" t="n"/>
      <c r="Q81" s="7" t="n"/>
      <c r="R81" s="7">
        <f>IF($B81="","",Q81*W81/100)</f>
        <v/>
      </c>
      <c r="S81" s="7">
        <f>IF($B81="","",Q81-R81)</f>
        <v/>
      </c>
      <c r="T81" s="7">
        <f>IF($B81="","",S81-J81)</f>
        <v/>
      </c>
      <c r="W81">
        <f>IF($B81="","",IF($AI81=1,0,IF($AH81=1,Settings!$C$6,Settings!$C$7))*100)</f>
        <v/>
      </c>
      <c r="AA81" s="7" t="n"/>
      <c r="AD81" s="11" t="n"/>
      <c r="AF81">
        <f>IF($B81="","",IF(COUNTIF($B$2:$B81,$B81)=1,1,0))</f>
        <v/>
      </c>
      <c r="AG81">
        <f>IF($AF81=1,SUMPRODUCT(--($AJ$2:$AJ$1501&lt;$AJ81))+1,"")</f>
        <v/>
      </c>
      <c r="AH81">
        <f>IF($B81="","",IF(OR($M81=TRUE(),$M81="TRUE"),1,0))</f>
        <v/>
      </c>
      <c r="AI81">
        <f>IF($B81="","",IF($V81="Yes",1,0))</f>
        <v/>
      </c>
      <c r="AJ81">
        <f>IF($AF81=1,IFERROR(IF(VALUE($B81)&lt;100000000,VALUE($B81),1000000000),IFERROR(IF(VALUE(MID($B81,2,20))&lt;100000000,VALUE(MID($B81,2,20)),1000000000),1000000000))+ROW()/100000,"")</f>
        <v/>
      </c>
    </row>
    <row r="82">
      <c r="C82" s="11" t="n"/>
      <c r="J82" s="7">
        <f>IF($B82="","",I82*Q82/100)</f>
        <v/>
      </c>
      <c r="P82" s="7" t="n"/>
      <c r="Q82" s="7" t="n"/>
      <c r="R82" s="7">
        <f>IF($B82="","",Q82*W82/100)</f>
        <v/>
      </c>
      <c r="S82" s="7">
        <f>IF($B82="","",Q82-R82)</f>
        <v/>
      </c>
      <c r="T82" s="7">
        <f>IF($B82="","",S82-J82)</f>
        <v/>
      </c>
      <c r="W82">
        <f>IF($B82="","",IF($AI82=1,0,IF($AH82=1,Settings!$C$6,Settings!$C$7))*100)</f>
        <v/>
      </c>
      <c r="AA82" s="7" t="n"/>
      <c r="AD82" s="11" t="n"/>
      <c r="AF82">
        <f>IF($B82="","",IF(COUNTIF($B$2:$B82,$B82)=1,1,0))</f>
        <v/>
      </c>
      <c r="AG82">
        <f>IF($AF82=1,SUMPRODUCT(--($AJ$2:$AJ$1501&lt;$AJ82))+1,"")</f>
        <v/>
      </c>
      <c r="AH82">
        <f>IF($B82="","",IF(OR($M82=TRUE(),$M82="TRUE"),1,0))</f>
        <v/>
      </c>
      <c r="AI82">
        <f>IF($B82="","",IF($V82="Yes",1,0))</f>
        <v/>
      </c>
      <c r="AJ82">
        <f>IF($AF82=1,IFERROR(IF(VALUE($B82)&lt;100000000,VALUE($B82),1000000000),IFERROR(IF(VALUE(MID($B82,2,20))&lt;100000000,VALUE(MID($B82,2,20)),1000000000),1000000000))+ROW()/100000,"")</f>
        <v/>
      </c>
    </row>
    <row r="83">
      <c r="C83" s="11" t="n"/>
      <c r="J83" s="7">
        <f>IF($B83="","",I83*Q83/100)</f>
        <v/>
      </c>
      <c r="P83" s="7" t="n"/>
      <c r="Q83" s="7" t="n"/>
      <c r="R83" s="7">
        <f>IF($B83="","",Q83*W83/100)</f>
        <v/>
      </c>
      <c r="S83" s="7">
        <f>IF($B83="","",Q83-R83)</f>
        <v/>
      </c>
      <c r="T83" s="7">
        <f>IF($B83="","",S83-J83)</f>
        <v/>
      </c>
      <c r="W83">
        <f>IF($B83="","",IF($AI83=1,0,IF($AH83=1,Settings!$C$6,Settings!$C$7))*100)</f>
        <v/>
      </c>
      <c r="AA83" s="7" t="n"/>
      <c r="AD83" s="11" t="n"/>
      <c r="AF83">
        <f>IF($B83="","",IF(COUNTIF($B$2:$B83,$B83)=1,1,0))</f>
        <v/>
      </c>
      <c r="AG83">
        <f>IF($AF83=1,SUMPRODUCT(--($AJ$2:$AJ$1501&lt;$AJ83))+1,"")</f>
        <v/>
      </c>
      <c r="AH83">
        <f>IF($B83="","",IF(OR($M83=TRUE(),$M83="TRUE"),1,0))</f>
        <v/>
      </c>
      <c r="AI83">
        <f>IF($B83="","",IF($V83="Yes",1,0))</f>
        <v/>
      </c>
      <c r="AJ83">
        <f>IF($AF83=1,IFERROR(IF(VALUE($B83)&lt;100000000,VALUE($B83),1000000000),IFERROR(IF(VALUE(MID($B83,2,20))&lt;100000000,VALUE(MID($B83,2,20)),1000000000),1000000000))+ROW()/100000,"")</f>
        <v/>
      </c>
    </row>
    <row r="84">
      <c r="C84" s="11" t="n"/>
      <c r="J84" s="7">
        <f>IF($B84="","",I84*Q84/100)</f>
        <v/>
      </c>
      <c r="P84" s="7" t="n"/>
      <c r="Q84" s="7" t="n"/>
      <c r="R84" s="7">
        <f>IF($B84="","",Q84*W84/100)</f>
        <v/>
      </c>
      <c r="S84" s="7">
        <f>IF($B84="","",Q84-R84)</f>
        <v/>
      </c>
      <c r="T84" s="7">
        <f>IF($B84="","",S84-J84)</f>
        <v/>
      </c>
      <c r="W84">
        <f>IF($B84="","",IF($AI84=1,0,IF($AH84=1,Settings!$C$6,Settings!$C$7))*100)</f>
        <v/>
      </c>
      <c r="AA84" s="7" t="n"/>
      <c r="AD84" s="11" t="n"/>
      <c r="AF84">
        <f>IF($B84="","",IF(COUNTIF($B$2:$B84,$B84)=1,1,0))</f>
        <v/>
      </c>
      <c r="AG84">
        <f>IF($AF84=1,SUMPRODUCT(--($AJ$2:$AJ$1501&lt;$AJ84))+1,"")</f>
        <v/>
      </c>
      <c r="AH84">
        <f>IF($B84="","",IF(OR($M84=TRUE(),$M84="TRUE"),1,0))</f>
        <v/>
      </c>
      <c r="AI84">
        <f>IF($B84="","",IF($V84="Yes",1,0))</f>
        <v/>
      </c>
      <c r="AJ84">
        <f>IF($AF84=1,IFERROR(IF(VALUE($B84)&lt;100000000,VALUE($B84),1000000000),IFERROR(IF(VALUE(MID($B84,2,20))&lt;100000000,VALUE(MID($B84,2,20)),1000000000),1000000000))+ROW()/100000,"")</f>
        <v/>
      </c>
    </row>
    <row r="85">
      <c r="C85" s="11" t="n"/>
      <c r="J85" s="7">
        <f>IF($B85="","",I85*Q85/100)</f>
        <v/>
      </c>
      <c r="P85" s="7" t="n"/>
      <c r="Q85" s="7" t="n"/>
      <c r="R85" s="7">
        <f>IF($B85="","",Q85*W85/100)</f>
        <v/>
      </c>
      <c r="S85" s="7">
        <f>IF($B85="","",Q85-R85)</f>
        <v/>
      </c>
      <c r="T85" s="7">
        <f>IF($B85="","",S85-J85)</f>
        <v/>
      </c>
      <c r="W85">
        <f>IF($B85="","",IF($AI85=1,0,IF($AH85=1,Settings!$C$6,Settings!$C$7))*100)</f>
        <v/>
      </c>
      <c r="AA85" s="7" t="n"/>
      <c r="AD85" s="11" t="n"/>
      <c r="AF85">
        <f>IF($B85="","",IF(COUNTIF($B$2:$B85,$B85)=1,1,0))</f>
        <v/>
      </c>
      <c r="AG85">
        <f>IF($AF85=1,SUMPRODUCT(--($AJ$2:$AJ$1501&lt;$AJ85))+1,"")</f>
        <v/>
      </c>
      <c r="AH85">
        <f>IF($B85="","",IF(OR($M85=TRUE(),$M85="TRUE"),1,0))</f>
        <v/>
      </c>
      <c r="AI85">
        <f>IF($B85="","",IF($V85="Yes",1,0))</f>
        <v/>
      </c>
      <c r="AJ85">
        <f>IF($AF85=1,IFERROR(IF(VALUE($B85)&lt;100000000,VALUE($B85),1000000000),IFERROR(IF(VALUE(MID($B85,2,20))&lt;100000000,VALUE(MID($B85,2,20)),1000000000),1000000000))+ROW()/100000,"")</f>
        <v/>
      </c>
    </row>
    <row r="86">
      <c r="C86" s="11" t="n"/>
      <c r="J86" s="7">
        <f>IF($B86="","",I86*Q86/100)</f>
        <v/>
      </c>
      <c r="P86" s="7" t="n"/>
      <c r="Q86" s="7" t="n"/>
      <c r="R86" s="7">
        <f>IF($B86="","",Q86*W86/100)</f>
        <v/>
      </c>
      <c r="S86" s="7">
        <f>IF($B86="","",Q86-R86)</f>
        <v/>
      </c>
      <c r="T86" s="7">
        <f>IF($B86="","",S86-J86)</f>
        <v/>
      </c>
      <c r="W86">
        <f>IF($B86="","",IF($AI86=1,0,IF($AH86=1,Settings!$C$6,Settings!$C$7))*100)</f>
        <v/>
      </c>
      <c r="AA86" s="7" t="n"/>
      <c r="AD86" s="11" t="n"/>
      <c r="AF86">
        <f>IF($B86="","",IF(COUNTIF($B$2:$B86,$B86)=1,1,0))</f>
        <v/>
      </c>
      <c r="AG86">
        <f>IF($AF86=1,SUMPRODUCT(--($AJ$2:$AJ$1501&lt;$AJ86))+1,"")</f>
        <v/>
      </c>
      <c r="AH86">
        <f>IF($B86="","",IF(OR($M86=TRUE(),$M86="TRUE"),1,0))</f>
        <v/>
      </c>
      <c r="AI86">
        <f>IF($B86="","",IF($V86="Yes",1,0))</f>
        <v/>
      </c>
      <c r="AJ86">
        <f>IF($AF86=1,IFERROR(IF(VALUE($B86)&lt;100000000,VALUE($B86),1000000000),IFERROR(IF(VALUE(MID($B86,2,20))&lt;100000000,VALUE(MID($B86,2,20)),1000000000),1000000000))+ROW()/100000,"")</f>
        <v/>
      </c>
    </row>
    <row r="87">
      <c r="C87" s="11" t="n"/>
      <c r="J87" s="7">
        <f>IF($B87="","",I87*Q87/100)</f>
        <v/>
      </c>
      <c r="P87" s="7" t="n"/>
      <c r="Q87" s="7" t="n"/>
      <c r="R87" s="7">
        <f>IF($B87="","",Q87*W87/100)</f>
        <v/>
      </c>
      <c r="S87" s="7">
        <f>IF($B87="","",Q87-R87)</f>
        <v/>
      </c>
      <c r="T87" s="7">
        <f>IF($B87="","",S87-J87)</f>
        <v/>
      </c>
      <c r="W87">
        <f>IF($B87="","",IF($AI87=1,0,IF($AH87=1,Settings!$C$6,Settings!$C$7))*100)</f>
        <v/>
      </c>
      <c r="AA87" s="7" t="n"/>
      <c r="AD87" s="11" t="n"/>
      <c r="AF87">
        <f>IF($B87="","",IF(COUNTIF($B$2:$B87,$B87)=1,1,0))</f>
        <v/>
      </c>
      <c r="AG87">
        <f>IF($AF87=1,SUMPRODUCT(--($AJ$2:$AJ$1501&lt;$AJ87))+1,"")</f>
        <v/>
      </c>
      <c r="AH87">
        <f>IF($B87="","",IF(OR($M87=TRUE(),$M87="TRUE"),1,0))</f>
        <v/>
      </c>
      <c r="AI87">
        <f>IF($B87="","",IF($V87="Yes",1,0))</f>
        <v/>
      </c>
      <c r="AJ87">
        <f>IF($AF87=1,IFERROR(IF(VALUE($B87)&lt;100000000,VALUE($B87),1000000000),IFERROR(IF(VALUE(MID($B87,2,20))&lt;100000000,VALUE(MID($B87,2,20)),1000000000),1000000000))+ROW()/100000,"")</f>
        <v/>
      </c>
    </row>
    <row r="88">
      <c r="C88" s="11" t="n"/>
      <c r="J88" s="7">
        <f>IF($B88="","",I88*Q88/100)</f>
        <v/>
      </c>
      <c r="P88" s="7" t="n"/>
      <c r="Q88" s="7" t="n"/>
      <c r="R88" s="7">
        <f>IF($B88="","",Q88*W88/100)</f>
        <v/>
      </c>
      <c r="S88" s="7">
        <f>IF($B88="","",Q88-R88)</f>
        <v/>
      </c>
      <c r="T88" s="7">
        <f>IF($B88="","",S88-J88)</f>
        <v/>
      </c>
      <c r="W88">
        <f>IF($B88="","",IF($AI88=1,0,IF($AH88=1,Settings!$C$6,Settings!$C$7))*100)</f>
        <v/>
      </c>
      <c r="AA88" s="7" t="n"/>
      <c r="AD88" s="11" t="n"/>
      <c r="AF88">
        <f>IF($B88="","",IF(COUNTIF($B$2:$B88,$B88)=1,1,0))</f>
        <v/>
      </c>
      <c r="AG88">
        <f>IF($AF88=1,SUMPRODUCT(--($AJ$2:$AJ$1501&lt;$AJ88))+1,"")</f>
        <v/>
      </c>
      <c r="AH88">
        <f>IF($B88="","",IF(OR($M88=TRUE(),$M88="TRUE"),1,0))</f>
        <v/>
      </c>
      <c r="AI88">
        <f>IF($B88="","",IF($V88="Yes",1,0))</f>
        <v/>
      </c>
      <c r="AJ88">
        <f>IF($AF88=1,IFERROR(IF(VALUE($B88)&lt;100000000,VALUE($B88),1000000000),IFERROR(IF(VALUE(MID($B88,2,20))&lt;100000000,VALUE(MID($B88,2,20)),1000000000),1000000000))+ROW()/100000,"")</f>
        <v/>
      </c>
    </row>
    <row r="89">
      <c r="C89" s="11" t="n"/>
      <c r="J89" s="7">
        <f>IF($B89="","",I89*Q89/100)</f>
        <v/>
      </c>
      <c r="P89" s="7" t="n"/>
      <c r="Q89" s="7" t="n"/>
      <c r="R89" s="7">
        <f>IF($B89="","",Q89*W89/100)</f>
        <v/>
      </c>
      <c r="S89" s="7">
        <f>IF($B89="","",Q89-R89)</f>
        <v/>
      </c>
      <c r="T89" s="7">
        <f>IF($B89="","",S89-J89)</f>
        <v/>
      </c>
      <c r="W89">
        <f>IF($B89="","",IF($AI89=1,0,IF($AH89=1,Settings!$C$6,Settings!$C$7))*100)</f>
        <v/>
      </c>
      <c r="AA89" s="7" t="n"/>
      <c r="AD89" s="11" t="n"/>
      <c r="AF89">
        <f>IF($B89="","",IF(COUNTIF($B$2:$B89,$B89)=1,1,0))</f>
        <v/>
      </c>
      <c r="AG89">
        <f>IF($AF89=1,SUMPRODUCT(--($AJ$2:$AJ$1501&lt;$AJ89))+1,"")</f>
        <v/>
      </c>
      <c r="AH89">
        <f>IF($B89="","",IF(OR($M89=TRUE(),$M89="TRUE"),1,0))</f>
        <v/>
      </c>
      <c r="AI89">
        <f>IF($B89="","",IF($V89="Yes",1,0))</f>
        <v/>
      </c>
      <c r="AJ89">
        <f>IF($AF89=1,IFERROR(IF(VALUE($B89)&lt;100000000,VALUE($B89),1000000000),IFERROR(IF(VALUE(MID($B89,2,20))&lt;100000000,VALUE(MID($B89,2,20)),1000000000),1000000000))+ROW()/100000,"")</f>
        <v/>
      </c>
    </row>
    <row r="90">
      <c r="C90" s="11" t="n"/>
      <c r="J90" s="7">
        <f>IF($B90="","",I90*Q90/100)</f>
        <v/>
      </c>
      <c r="P90" s="7" t="n"/>
      <c r="Q90" s="7" t="n"/>
      <c r="R90" s="7">
        <f>IF($B90="","",Q90*W90/100)</f>
        <v/>
      </c>
      <c r="S90" s="7">
        <f>IF($B90="","",Q90-R90)</f>
        <v/>
      </c>
      <c r="T90" s="7">
        <f>IF($B90="","",S90-J90)</f>
        <v/>
      </c>
      <c r="W90">
        <f>IF($B90="","",IF($AI90=1,0,IF($AH90=1,Settings!$C$6,Settings!$C$7))*100)</f>
        <v/>
      </c>
      <c r="AA90" s="7" t="n"/>
      <c r="AD90" s="11" t="n"/>
      <c r="AF90">
        <f>IF($B90="","",IF(COUNTIF($B$2:$B90,$B90)=1,1,0))</f>
        <v/>
      </c>
      <c r="AG90">
        <f>IF($AF90=1,SUMPRODUCT(--($AJ$2:$AJ$1501&lt;$AJ90))+1,"")</f>
        <v/>
      </c>
      <c r="AH90">
        <f>IF($B90="","",IF(OR($M90=TRUE(),$M90="TRUE"),1,0))</f>
        <v/>
      </c>
      <c r="AI90">
        <f>IF($B90="","",IF($V90="Yes",1,0))</f>
        <v/>
      </c>
      <c r="AJ90">
        <f>IF($AF90=1,IFERROR(IF(VALUE($B90)&lt;100000000,VALUE($B90),1000000000),IFERROR(IF(VALUE(MID($B90,2,20))&lt;100000000,VALUE(MID($B90,2,20)),1000000000),1000000000))+ROW()/100000,"")</f>
        <v/>
      </c>
    </row>
    <row r="91">
      <c r="C91" s="11" t="n"/>
      <c r="J91" s="7">
        <f>IF($B91="","",I91*Q91/100)</f>
        <v/>
      </c>
      <c r="P91" s="7" t="n"/>
      <c r="Q91" s="7" t="n"/>
      <c r="R91" s="7">
        <f>IF($B91="","",Q91*W91/100)</f>
        <v/>
      </c>
      <c r="S91" s="7">
        <f>IF($B91="","",Q91-R91)</f>
        <v/>
      </c>
      <c r="T91" s="7">
        <f>IF($B91="","",S91-J91)</f>
        <v/>
      </c>
      <c r="W91">
        <f>IF($B91="","",IF($AI91=1,0,IF($AH91=1,Settings!$C$6,Settings!$C$7))*100)</f>
        <v/>
      </c>
      <c r="AA91" s="7" t="n"/>
      <c r="AD91" s="11" t="n"/>
      <c r="AF91">
        <f>IF($B91="","",IF(COUNTIF($B$2:$B91,$B91)=1,1,0))</f>
        <v/>
      </c>
      <c r="AG91">
        <f>IF($AF91=1,SUMPRODUCT(--($AJ$2:$AJ$1501&lt;$AJ91))+1,"")</f>
        <v/>
      </c>
      <c r="AH91">
        <f>IF($B91="","",IF(OR($M91=TRUE(),$M91="TRUE"),1,0))</f>
        <v/>
      </c>
      <c r="AI91">
        <f>IF($B91="","",IF($V91="Yes",1,0))</f>
        <v/>
      </c>
      <c r="AJ91">
        <f>IF($AF91=1,IFERROR(IF(VALUE($B91)&lt;100000000,VALUE($B91),1000000000),IFERROR(IF(VALUE(MID($B91,2,20))&lt;100000000,VALUE(MID($B91,2,20)),1000000000),1000000000))+ROW()/100000,"")</f>
        <v/>
      </c>
    </row>
    <row r="92">
      <c r="C92" s="11" t="n"/>
      <c r="J92" s="7">
        <f>IF($B92="","",I92*Q92/100)</f>
        <v/>
      </c>
      <c r="P92" s="7" t="n"/>
      <c r="Q92" s="7" t="n"/>
      <c r="R92" s="7">
        <f>IF($B92="","",Q92*W92/100)</f>
        <v/>
      </c>
      <c r="S92" s="7">
        <f>IF($B92="","",Q92-R92)</f>
        <v/>
      </c>
      <c r="T92" s="7">
        <f>IF($B92="","",S92-J92)</f>
        <v/>
      </c>
      <c r="W92">
        <f>IF($B92="","",IF($AI92=1,0,IF($AH92=1,Settings!$C$6,Settings!$C$7))*100)</f>
        <v/>
      </c>
      <c r="AA92" s="7" t="n"/>
      <c r="AD92" s="11" t="n"/>
      <c r="AF92">
        <f>IF($B92="","",IF(COUNTIF($B$2:$B92,$B92)=1,1,0))</f>
        <v/>
      </c>
      <c r="AG92">
        <f>IF($AF92=1,SUMPRODUCT(--($AJ$2:$AJ$1501&lt;$AJ92))+1,"")</f>
        <v/>
      </c>
      <c r="AH92">
        <f>IF($B92="","",IF(OR($M92=TRUE(),$M92="TRUE"),1,0))</f>
        <v/>
      </c>
      <c r="AI92">
        <f>IF($B92="","",IF($V92="Yes",1,0))</f>
        <v/>
      </c>
      <c r="AJ92">
        <f>IF($AF92=1,IFERROR(IF(VALUE($B92)&lt;100000000,VALUE($B92),1000000000),IFERROR(IF(VALUE(MID($B92,2,20))&lt;100000000,VALUE(MID($B92,2,20)),1000000000),1000000000))+ROW()/100000,"")</f>
        <v/>
      </c>
    </row>
    <row r="93">
      <c r="C93" s="11" t="n"/>
      <c r="J93" s="7">
        <f>IF($B93="","",I93*Q93/100)</f>
        <v/>
      </c>
      <c r="P93" s="7" t="n"/>
      <c r="Q93" s="7" t="n"/>
      <c r="R93" s="7">
        <f>IF($B93="","",Q93*W93/100)</f>
        <v/>
      </c>
      <c r="S93" s="7">
        <f>IF($B93="","",Q93-R93)</f>
        <v/>
      </c>
      <c r="T93" s="7">
        <f>IF($B93="","",S93-J93)</f>
        <v/>
      </c>
      <c r="W93">
        <f>IF($B93="","",IF($AI93=1,0,IF($AH93=1,Settings!$C$6,Settings!$C$7))*100)</f>
        <v/>
      </c>
      <c r="AA93" s="7" t="n"/>
      <c r="AD93" s="11" t="n"/>
      <c r="AF93">
        <f>IF($B93="","",IF(COUNTIF($B$2:$B93,$B93)=1,1,0))</f>
        <v/>
      </c>
      <c r="AG93">
        <f>IF($AF93=1,SUMPRODUCT(--($AJ$2:$AJ$1501&lt;$AJ93))+1,"")</f>
        <v/>
      </c>
      <c r="AH93">
        <f>IF($B93="","",IF(OR($M93=TRUE(),$M93="TRUE"),1,0))</f>
        <v/>
      </c>
      <c r="AI93">
        <f>IF($B93="","",IF($V93="Yes",1,0))</f>
        <v/>
      </c>
      <c r="AJ93">
        <f>IF($AF93=1,IFERROR(IF(VALUE($B93)&lt;100000000,VALUE($B93),1000000000),IFERROR(IF(VALUE(MID($B93,2,20))&lt;100000000,VALUE(MID($B93,2,20)),1000000000),1000000000))+ROW()/100000,"")</f>
        <v/>
      </c>
    </row>
    <row r="94">
      <c r="C94" s="11" t="n"/>
      <c r="J94" s="7">
        <f>IF($B94="","",I94*Q94/100)</f>
        <v/>
      </c>
      <c r="P94" s="7" t="n"/>
      <c r="Q94" s="7" t="n"/>
      <c r="R94" s="7">
        <f>IF($B94="","",Q94*W94/100)</f>
        <v/>
      </c>
      <c r="S94" s="7">
        <f>IF($B94="","",Q94-R94)</f>
        <v/>
      </c>
      <c r="T94" s="7">
        <f>IF($B94="","",S94-J94)</f>
        <v/>
      </c>
      <c r="W94">
        <f>IF($B94="","",IF($AI94=1,0,IF($AH94=1,Settings!$C$6,Settings!$C$7))*100)</f>
        <v/>
      </c>
      <c r="AA94" s="7" t="n"/>
      <c r="AD94" s="11" t="n"/>
      <c r="AF94">
        <f>IF($B94="","",IF(COUNTIF($B$2:$B94,$B94)=1,1,0))</f>
        <v/>
      </c>
      <c r="AG94">
        <f>IF($AF94=1,SUMPRODUCT(--($AJ$2:$AJ$1501&lt;$AJ94))+1,"")</f>
        <v/>
      </c>
      <c r="AH94">
        <f>IF($B94="","",IF(OR($M94=TRUE(),$M94="TRUE"),1,0))</f>
        <v/>
      </c>
      <c r="AI94">
        <f>IF($B94="","",IF($V94="Yes",1,0))</f>
        <v/>
      </c>
      <c r="AJ94">
        <f>IF($AF94=1,IFERROR(IF(VALUE($B94)&lt;100000000,VALUE($B94),1000000000),IFERROR(IF(VALUE(MID($B94,2,20))&lt;100000000,VALUE(MID($B94,2,20)),1000000000),1000000000))+ROW()/100000,"")</f>
        <v/>
      </c>
    </row>
    <row r="95">
      <c r="C95" s="11" t="n"/>
      <c r="J95" s="7">
        <f>IF($B95="","",I95*Q95/100)</f>
        <v/>
      </c>
      <c r="P95" s="7" t="n"/>
      <c r="Q95" s="7" t="n"/>
      <c r="R95" s="7">
        <f>IF($B95="","",Q95*W95/100)</f>
        <v/>
      </c>
      <c r="S95" s="7">
        <f>IF($B95="","",Q95-R95)</f>
        <v/>
      </c>
      <c r="T95" s="7">
        <f>IF($B95="","",S95-J95)</f>
        <v/>
      </c>
      <c r="W95">
        <f>IF($B95="","",IF($AI95=1,0,IF($AH95=1,Settings!$C$6,Settings!$C$7))*100)</f>
        <v/>
      </c>
      <c r="AA95" s="7" t="n"/>
      <c r="AD95" s="11" t="n"/>
      <c r="AF95">
        <f>IF($B95="","",IF(COUNTIF($B$2:$B95,$B95)=1,1,0))</f>
        <v/>
      </c>
      <c r="AG95">
        <f>IF($AF95=1,SUMPRODUCT(--($AJ$2:$AJ$1501&lt;$AJ95))+1,"")</f>
        <v/>
      </c>
      <c r="AH95">
        <f>IF($B95="","",IF(OR($M95=TRUE(),$M95="TRUE"),1,0))</f>
        <v/>
      </c>
      <c r="AI95">
        <f>IF($B95="","",IF($V95="Yes",1,0))</f>
        <v/>
      </c>
      <c r="AJ95">
        <f>IF($AF95=1,IFERROR(IF(VALUE($B95)&lt;100000000,VALUE($B95),1000000000),IFERROR(IF(VALUE(MID($B95,2,20))&lt;100000000,VALUE(MID($B95,2,20)),1000000000),1000000000))+ROW()/100000,"")</f>
        <v/>
      </c>
    </row>
    <row r="96">
      <c r="C96" s="11" t="n"/>
      <c r="J96" s="7">
        <f>IF($B96="","",I96*Q96/100)</f>
        <v/>
      </c>
      <c r="P96" s="7" t="n"/>
      <c r="Q96" s="7" t="n"/>
      <c r="R96" s="7">
        <f>IF($B96="","",Q96*W96/100)</f>
        <v/>
      </c>
      <c r="S96" s="7">
        <f>IF($B96="","",Q96-R96)</f>
        <v/>
      </c>
      <c r="T96" s="7">
        <f>IF($B96="","",S96-J96)</f>
        <v/>
      </c>
      <c r="W96">
        <f>IF($B96="","",IF($AI96=1,0,IF($AH96=1,Settings!$C$6,Settings!$C$7))*100)</f>
        <v/>
      </c>
      <c r="AA96" s="7" t="n"/>
      <c r="AD96" s="11" t="n"/>
      <c r="AF96">
        <f>IF($B96="","",IF(COUNTIF($B$2:$B96,$B96)=1,1,0))</f>
        <v/>
      </c>
      <c r="AG96">
        <f>IF($AF96=1,SUMPRODUCT(--($AJ$2:$AJ$1501&lt;$AJ96))+1,"")</f>
        <v/>
      </c>
      <c r="AH96">
        <f>IF($B96="","",IF(OR($M96=TRUE(),$M96="TRUE"),1,0))</f>
        <v/>
      </c>
      <c r="AI96">
        <f>IF($B96="","",IF($V96="Yes",1,0))</f>
        <v/>
      </c>
      <c r="AJ96">
        <f>IF($AF96=1,IFERROR(IF(VALUE($B96)&lt;100000000,VALUE($B96),1000000000),IFERROR(IF(VALUE(MID($B96,2,20))&lt;100000000,VALUE(MID($B96,2,20)),1000000000),1000000000))+ROW()/100000,"")</f>
        <v/>
      </c>
    </row>
    <row r="97">
      <c r="C97" s="11" t="n"/>
      <c r="J97" s="7">
        <f>IF($B97="","",I97*Q97/100)</f>
        <v/>
      </c>
      <c r="P97" s="7" t="n"/>
      <c r="Q97" s="7" t="n"/>
      <c r="R97" s="7">
        <f>IF($B97="","",Q97*W97/100)</f>
        <v/>
      </c>
      <c r="S97" s="7">
        <f>IF($B97="","",Q97-R97)</f>
        <v/>
      </c>
      <c r="T97" s="7">
        <f>IF($B97="","",S97-J97)</f>
        <v/>
      </c>
      <c r="W97">
        <f>IF($B97="","",IF($AI97=1,0,IF($AH97=1,Settings!$C$6,Settings!$C$7))*100)</f>
        <v/>
      </c>
      <c r="AA97" s="7" t="n"/>
      <c r="AD97" s="11" t="n"/>
      <c r="AF97">
        <f>IF($B97="","",IF(COUNTIF($B$2:$B97,$B97)=1,1,0))</f>
        <v/>
      </c>
      <c r="AG97">
        <f>IF($AF97=1,SUMPRODUCT(--($AJ$2:$AJ$1501&lt;$AJ97))+1,"")</f>
        <v/>
      </c>
      <c r="AH97">
        <f>IF($B97="","",IF(OR($M97=TRUE(),$M97="TRUE"),1,0))</f>
        <v/>
      </c>
      <c r="AI97">
        <f>IF($B97="","",IF($V97="Yes",1,0))</f>
        <v/>
      </c>
      <c r="AJ97">
        <f>IF($AF97=1,IFERROR(IF(VALUE($B97)&lt;100000000,VALUE($B97),1000000000),IFERROR(IF(VALUE(MID($B97,2,20))&lt;100000000,VALUE(MID($B97,2,20)),1000000000),1000000000))+ROW()/100000,"")</f>
        <v/>
      </c>
    </row>
    <row r="98">
      <c r="C98" s="11" t="n"/>
      <c r="J98" s="7">
        <f>IF($B98="","",I98*Q98/100)</f>
        <v/>
      </c>
      <c r="P98" s="7" t="n"/>
      <c r="Q98" s="7" t="n"/>
      <c r="R98" s="7">
        <f>IF($B98="","",Q98*W98/100)</f>
        <v/>
      </c>
      <c r="S98" s="7">
        <f>IF($B98="","",Q98-R98)</f>
        <v/>
      </c>
      <c r="T98" s="7">
        <f>IF($B98="","",S98-J98)</f>
        <v/>
      </c>
      <c r="W98">
        <f>IF($B98="","",IF($AI98=1,0,IF($AH98=1,Settings!$C$6,Settings!$C$7))*100)</f>
        <v/>
      </c>
      <c r="AA98" s="7" t="n"/>
      <c r="AD98" s="11" t="n"/>
      <c r="AF98">
        <f>IF($B98="","",IF(COUNTIF($B$2:$B98,$B98)=1,1,0))</f>
        <v/>
      </c>
      <c r="AG98">
        <f>IF($AF98=1,SUMPRODUCT(--($AJ$2:$AJ$1501&lt;$AJ98))+1,"")</f>
        <v/>
      </c>
      <c r="AH98">
        <f>IF($B98="","",IF(OR($M98=TRUE(),$M98="TRUE"),1,0))</f>
        <v/>
      </c>
      <c r="AI98">
        <f>IF($B98="","",IF($V98="Yes",1,0))</f>
        <v/>
      </c>
      <c r="AJ98">
        <f>IF($AF98=1,IFERROR(IF(VALUE($B98)&lt;100000000,VALUE($B98),1000000000),IFERROR(IF(VALUE(MID($B98,2,20))&lt;100000000,VALUE(MID($B98,2,20)),1000000000),1000000000))+ROW()/100000,"")</f>
        <v/>
      </c>
    </row>
    <row r="99">
      <c r="C99" s="11" t="n"/>
      <c r="J99" s="7">
        <f>IF($B99="","",I99*Q99/100)</f>
        <v/>
      </c>
      <c r="P99" s="7" t="n"/>
      <c r="Q99" s="7" t="n"/>
      <c r="R99" s="7">
        <f>IF($B99="","",Q99*W99/100)</f>
        <v/>
      </c>
      <c r="S99" s="7">
        <f>IF($B99="","",Q99-R99)</f>
        <v/>
      </c>
      <c r="T99" s="7">
        <f>IF($B99="","",S99-J99)</f>
        <v/>
      </c>
      <c r="W99">
        <f>IF($B99="","",IF($AI99=1,0,IF($AH99=1,Settings!$C$6,Settings!$C$7))*100)</f>
        <v/>
      </c>
      <c r="AA99" s="7" t="n"/>
      <c r="AD99" s="11" t="n"/>
      <c r="AF99">
        <f>IF($B99="","",IF(COUNTIF($B$2:$B99,$B99)=1,1,0))</f>
        <v/>
      </c>
      <c r="AG99">
        <f>IF($AF99=1,SUMPRODUCT(--($AJ$2:$AJ$1501&lt;$AJ99))+1,"")</f>
        <v/>
      </c>
      <c r="AH99">
        <f>IF($B99="","",IF(OR($M99=TRUE(),$M99="TRUE"),1,0))</f>
        <v/>
      </c>
      <c r="AI99">
        <f>IF($B99="","",IF($V99="Yes",1,0))</f>
        <v/>
      </c>
      <c r="AJ99">
        <f>IF($AF99=1,IFERROR(IF(VALUE($B99)&lt;100000000,VALUE($B99),1000000000),IFERROR(IF(VALUE(MID($B99,2,20))&lt;100000000,VALUE(MID($B99,2,20)),1000000000),1000000000))+ROW()/100000,"")</f>
        <v/>
      </c>
    </row>
    <row r="100">
      <c r="C100" s="11" t="n"/>
      <c r="J100" s="7">
        <f>IF($B100="","",I100*Q100/100)</f>
        <v/>
      </c>
      <c r="P100" s="7" t="n"/>
      <c r="Q100" s="7" t="n"/>
      <c r="R100" s="7">
        <f>IF($B100="","",Q100*W100/100)</f>
        <v/>
      </c>
      <c r="S100" s="7">
        <f>IF($B100="","",Q100-R100)</f>
        <v/>
      </c>
      <c r="T100" s="7">
        <f>IF($B100="","",S100-J100)</f>
        <v/>
      </c>
      <c r="W100">
        <f>IF($B100="","",IF($AI100=1,0,IF($AH100=1,Settings!$C$6,Settings!$C$7))*100)</f>
        <v/>
      </c>
      <c r="AA100" s="7" t="n"/>
      <c r="AD100" s="11" t="n"/>
      <c r="AF100">
        <f>IF($B100="","",IF(COUNTIF($B$2:$B100,$B100)=1,1,0))</f>
        <v/>
      </c>
      <c r="AG100">
        <f>IF($AF100=1,SUMPRODUCT(--($AJ$2:$AJ$1501&lt;$AJ100))+1,"")</f>
        <v/>
      </c>
      <c r="AH100">
        <f>IF($B100="","",IF(OR($M100=TRUE(),$M100="TRUE"),1,0))</f>
        <v/>
      </c>
      <c r="AI100">
        <f>IF($B100="","",IF($V100="Yes",1,0))</f>
        <v/>
      </c>
      <c r="AJ100">
        <f>IF($AF100=1,IFERROR(IF(VALUE($B100)&lt;100000000,VALUE($B100),1000000000),IFERROR(IF(VALUE(MID($B100,2,20))&lt;100000000,VALUE(MID($B100,2,20)),1000000000),1000000000))+ROW()/100000,"")</f>
        <v/>
      </c>
    </row>
    <row r="101">
      <c r="C101" s="11" t="n"/>
      <c r="J101" s="7">
        <f>IF($B101="","",I101*Q101/100)</f>
        <v/>
      </c>
      <c r="P101" s="7" t="n"/>
      <c r="Q101" s="7" t="n"/>
      <c r="R101" s="7">
        <f>IF($B101="","",Q101*W101/100)</f>
        <v/>
      </c>
      <c r="S101" s="7">
        <f>IF($B101="","",Q101-R101)</f>
        <v/>
      </c>
      <c r="T101" s="7">
        <f>IF($B101="","",S101-J101)</f>
        <v/>
      </c>
      <c r="W101">
        <f>IF($B101="","",IF($AI101=1,0,IF($AH101=1,Settings!$C$6,Settings!$C$7))*100)</f>
        <v/>
      </c>
      <c r="AA101" s="7" t="n"/>
      <c r="AD101" s="11" t="n"/>
      <c r="AF101">
        <f>IF($B101="","",IF(COUNTIF($B$2:$B101,$B101)=1,1,0))</f>
        <v/>
      </c>
      <c r="AG101">
        <f>IF($AF101=1,SUMPRODUCT(--($AJ$2:$AJ$1501&lt;$AJ101))+1,"")</f>
        <v/>
      </c>
      <c r="AH101">
        <f>IF($B101="","",IF(OR($M101=TRUE(),$M101="TRUE"),1,0))</f>
        <v/>
      </c>
      <c r="AI101">
        <f>IF($B101="","",IF($V101="Yes",1,0))</f>
        <v/>
      </c>
      <c r="AJ101">
        <f>IF($AF101=1,IFERROR(IF(VALUE($B101)&lt;100000000,VALUE($B101),1000000000),IFERROR(IF(VALUE(MID($B101,2,20))&lt;100000000,VALUE(MID($B101,2,20)),1000000000),1000000000))+ROW()/100000,"")</f>
        <v/>
      </c>
    </row>
    <row r="102">
      <c r="C102" s="11" t="n"/>
      <c r="J102" s="7">
        <f>IF($B102="","",I102*Q102/100)</f>
        <v/>
      </c>
      <c r="P102" s="7" t="n"/>
      <c r="Q102" s="7" t="n"/>
      <c r="R102" s="7">
        <f>IF($B102="","",Q102*W102/100)</f>
        <v/>
      </c>
      <c r="S102" s="7">
        <f>IF($B102="","",Q102-R102)</f>
        <v/>
      </c>
      <c r="T102" s="7">
        <f>IF($B102="","",S102-J102)</f>
        <v/>
      </c>
      <c r="W102">
        <f>IF($B102="","",IF($AI102=1,0,IF($AH102=1,Settings!$C$6,Settings!$C$7))*100)</f>
        <v/>
      </c>
      <c r="AA102" s="7" t="n"/>
      <c r="AD102" s="11" t="n"/>
      <c r="AF102">
        <f>IF($B102="","",IF(COUNTIF($B$2:$B102,$B102)=1,1,0))</f>
        <v/>
      </c>
      <c r="AG102">
        <f>IF($AF102=1,SUMPRODUCT(--($AJ$2:$AJ$1501&lt;$AJ102))+1,"")</f>
        <v/>
      </c>
      <c r="AH102">
        <f>IF($B102="","",IF(OR($M102=TRUE(),$M102="TRUE"),1,0))</f>
        <v/>
      </c>
      <c r="AI102">
        <f>IF($B102="","",IF($V102="Yes",1,0))</f>
        <v/>
      </c>
      <c r="AJ102">
        <f>IF($AF102=1,IFERROR(IF(VALUE($B102)&lt;100000000,VALUE($B102),1000000000),IFERROR(IF(VALUE(MID($B102,2,20))&lt;100000000,VALUE(MID($B102,2,20)),1000000000),1000000000))+ROW()/100000,"")</f>
        <v/>
      </c>
    </row>
    <row r="103">
      <c r="C103" s="11" t="n"/>
      <c r="J103" s="7">
        <f>IF($B103="","",I103*Q103/100)</f>
        <v/>
      </c>
      <c r="P103" s="7" t="n"/>
      <c r="Q103" s="7" t="n"/>
      <c r="R103" s="7">
        <f>IF($B103="","",Q103*W103/100)</f>
        <v/>
      </c>
      <c r="S103" s="7">
        <f>IF($B103="","",Q103-R103)</f>
        <v/>
      </c>
      <c r="T103" s="7">
        <f>IF($B103="","",S103-J103)</f>
        <v/>
      </c>
      <c r="W103">
        <f>IF($B103="","",IF($AI103=1,0,IF($AH103=1,Settings!$C$6,Settings!$C$7))*100)</f>
        <v/>
      </c>
      <c r="AA103" s="7" t="n"/>
      <c r="AD103" s="11" t="n"/>
      <c r="AF103">
        <f>IF($B103="","",IF(COUNTIF($B$2:$B103,$B103)=1,1,0))</f>
        <v/>
      </c>
      <c r="AG103">
        <f>IF($AF103=1,SUMPRODUCT(--($AJ$2:$AJ$1501&lt;$AJ103))+1,"")</f>
        <v/>
      </c>
      <c r="AH103">
        <f>IF($B103="","",IF(OR($M103=TRUE(),$M103="TRUE"),1,0))</f>
        <v/>
      </c>
      <c r="AI103">
        <f>IF($B103="","",IF($V103="Yes",1,0))</f>
        <v/>
      </c>
      <c r="AJ103">
        <f>IF($AF103=1,IFERROR(IF(VALUE($B103)&lt;100000000,VALUE($B103),1000000000),IFERROR(IF(VALUE(MID($B103,2,20))&lt;100000000,VALUE(MID($B103,2,20)),1000000000),1000000000))+ROW()/100000,"")</f>
        <v/>
      </c>
    </row>
    <row r="104">
      <c r="C104" s="11" t="n"/>
      <c r="J104" s="7">
        <f>IF($B104="","",I104*Q104/100)</f>
        <v/>
      </c>
      <c r="P104" s="7" t="n"/>
      <c r="Q104" s="7" t="n"/>
      <c r="R104" s="7">
        <f>IF($B104="","",Q104*W104/100)</f>
        <v/>
      </c>
      <c r="S104" s="7">
        <f>IF($B104="","",Q104-R104)</f>
        <v/>
      </c>
      <c r="T104" s="7">
        <f>IF($B104="","",S104-J104)</f>
        <v/>
      </c>
      <c r="W104">
        <f>IF($B104="","",IF($AI104=1,0,IF($AH104=1,Settings!$C$6,Settings!$C$7))*100)</f>
        <v/>
      </c>
      <c r="AA104" s="7" t="n"/>
      <c r="AD104" s="11" t="n"/>
      <c r="AF104">
        <f>IF($B104="","",IF(COUNTIF($B$2:$B104,$B104)=1,1,0))</f>
        <v/>
      </c>
      <c r="AG104">
        <f>IF($AF104=1,SUMPRODUCT(--($AJ$2:$AJ$1501&lt;$AJ104))+1,"")</f>
        <v/>
      </c>
      <c r="AH104">
        <f>IF($B104="","",IF(OR($M104=TRUE(),$M104="TRUE"),1,0))</f>
        <v/>
      </c>
      <c r="AI104">
        <f>IF($B104="","",IF($V104="Yes",1,0))</f>
        <v/>
      </c>
      <c r="AJ104">
        <f>IF($AF104=1,IFERROR(IF(VALUE($B104)&lt;100000000,VALUE($B104),1000000000),IFERROR(IF(VALUE(MID($B104,2,20))&lt;100000000,VALUE(MID($B104,2,20)),1000000000),1000000000))+ROW()/100000,"")</f>
        <v/>
      </c>
    </row>
    <row r="105">
      <c r="C105" s="11" t="n"/>
      <c r="J105" s="7">
        <f>IF($B105="","",I105*Q105/100)</f>
        <v/>
      </c>
      <c r="P105" s="7" t="n"/>
      <c r="Q105" s="7" t="n"/>
      <c r="R105" s="7">
        <f>IF($B105="","",Q105*W105/100)</f>
        <v/>
      </c>
      <c r="S105" s="7">
        <f>IF($B105="","",Q105-R105)</f>
        <v/>
      </c>
      <c r="T105" s="7">
        <f>IF($B105="","",S105-J105)</f>
        <v/>
      </c>
      <c r="W105">
        <f>IF($B105="","",IF($AI105=1,0,IF($AH105=1,Settings!$C$6,Settings!$C$7))*100)</f>
        <v/>
      </c>
      <c r="AA105" s="7" t="n"/>
      <c r="AD105" s="11" t="n"/>
      <c r="AF105">
        <f>IF($B105="","",IF(COUNTIF($B$2:$B105,$B105)=1,1,0))</f>
        <v/>
      </c>
      <c r="AG105">
        <f>IF($AF105=1,SUMPRODUCT(--($AJ$2:$AJ$1501&lt;$AJ105))+1,"")</f>
        <v/>
      </c>
      <c r="AH105">
        <f>IF($B105="","",IF(OR($M105=TRUE(),$M105="TRUE"),1,0))</f>
        <v/>
      </c>
      <c r="AI105">
        <f>IF($B105="","",IF($V105="Yes",1,0))</f>
        <v/>
      </c>
      <c r="AJ105">
        <f>IF($AF105=1,IFERROR(IF(VALUE($B105)&lt;100000000,VALUE($B105),1000000000),IFERROR(IF(VALUE(MID($B105,2,20))&lt;100000000,VALUE(MID($B105,2,20)),1000000000),1000000000))+ROW()/100000,"")</f>
        <v/>
      </c>
    </row>
    <row r="106">
      <c r="C106" s="11" t="n"/>
      <c r="J106" s="7">
        <f>IF($B106="","",I106*Q106/100)</f>
        <v/>
      </c>
      <c r="P106" s="7" t="n"/>
      <c r="Q106" s="7" t="n"/>
      <c r="R106" s="7">
        <f>IF($B106="","",Q106*W106/100)</f>
        <v/>
      </c>
      <c r="S106" s="7">
        <f>IF($B106="","",Q106-R106)</f>
        <v/>
      </c>
      <c r="T106" s="7">
        <f>IF($B106="","",S106-J106)</f>
        <v/>
      </c>
      <c r="W106">
        <f>IF($B106="","",IF($AI106=1,0,IF($AH106=1,Settings!$C$6,Settings!$C$7))*100)</f>
        <v/>
      </c>
      <c r="AA106" s="7" t="n"/>
      <c r="AD106" s="11" t="n"/>
      <c r="AF106">
        <f>IF($B106="","",IF(COUNTIF($B$2:$B106,$B106)=1,1,0))</f>
        <v/>
      </c>
      <c r="AG106">
        <f>IF($AF106=1,SUMPRODUCT(--($AJ$2:$AJ$1501&lt;$AJ106))+1,"")</f>
        <v/>
      </c>
      <c r="AH106">
        <f>IF($B106="","",IF(OR($M106=TRUE(),$M106="TRUE"),1,0))</f>
        <v/>
      </c>
      <c r="AI106">
        <f>IF($B106="","",IF($V106="Yes",1,0))</f>
        <v/>
      </c>
      <c r="AJ106">
        <f>IF($AF106=1,IFERROR(IF(VALUE($B106)&lt;100000000,VALUE($B106),1000000000),IFERROR(IF(VALUE(MID($B106,2,20))&lt;100000000,VALUE(MID($B106,2,20)),1000000000),1000000000))+ROW()/100000,"")</f>
        <v/>
      </c>
    </row>
    <row r="107">
      <c r="C107" s="11" t="n"/>
      <c r="J107" s="7">
        <f>IF($B107="","",I107*Q107/100)</f>
        <v/>
      </c>
      <c r="P107" s="7" t="n"/>
      <c r="Q107" s="7" t="n"/>
      <c r="R107" s="7">
        <f>IF($B107="","",Q107*W107/100)</f>
        <v/>
      </c>
      <c r="S107" s="7">
        <f>IF($B107="","",Q107-R107)</f>
        <v/>
      </c>
      <c r="T107" s="7">
        <f>IF($B107="","",S107-J107)</f>
        <v/>
      </c>
      <c r="W107">
        <f>IF($B107="","",IF($AI107=1,0,IF($AH107=1,Settings!$C$6,Settings!$C$7))*100)</f>
        <v/>
      </c>
      <c r="AA107" s="7" t="n"/>
      <c r="AD107" s="11" t="n"/>
      <c r="AF107">
        <f>IF($B107="","",IF(COUNTIF($B$2:$B107,$B107)=1,1,0))</f>
        <v/>
      </c>
      <c r="AG107">
        <f>IF($AF107=1,SUMPRODUCT(--($AJ$2:$AJ$1501&lt;$AJ107))+1,"")</f>
        <v/>
      </c>
      <c r="AH107">
        <f>IF($B107="","",IF(OR($M107=TRUE(),$M107="TRUE"),1,0))</f>
        <v/>
      </c>
      <c r="AI107">
        <f>IF($B107="","",IF($V107="Yes",1,0))</f>
        <v/>
      </c>
      <c r="AJ107">
        <f>IF($AF107=1,IFERROR(IF(VALUE($B107)&lt;100000000,VALUE($B107),1000000000),IFERROR(IF(VALUE(MID($B107,2,20))&lt;100000000,VALUE(MID($B107,2,20)),1000000000),1000000000))+ROW()/100000,"")</f>
        <v/>
      </c>
    </row>
    <row r="108">
      <c r="C108" s="11" t="n"/>
      <c r="J108" s="7">
        <f>IF($B108="","",I108*Q108/100)</f>
        <v/>
      </c>
      <c r="P108" s="7" t="n"/>
      <c r="Q108" s="7" t="n"/>
      <c r="R108" s="7">
        <f>IF($B108="","",Q108*W108/100)</f>
        <v/>
      </c>
      <c r="S108" s="7">
        <f>IF($B108="","",Q108-R108)</f>
        <v/>
      </c>
      <c r="T108" s="7">
        <f>IF($B108="","",S108-J108)</f>
        <v/>
      </c>
      <c r="W108">
        <f>IF($B108="","",IF($AI108=1,0,IF($AH108=1,Settings!$C$6,Settings!$C$7))*100)</f>
        <v/>
      </c>
      <c r="AA108" s="7" t="n"/>
      <c r="AD108" s="11" t="n"/>
      <c r="AF108">
        <f>IF($B108="","",IF(COUNTIF($B$2:$B108,$B108)=1,1,0))</f>
        <v/>
      </c>
      <c r="AG108">
        <f>IF($AF108=1,SUMPRODUCT(--($AJ$2:$AJ$1501&lt;$AJ108))+1,"")</f>
        <v/>
      </c>
      <c r="AH108">
        <f>IF($B108="","",IF(OR($M108=TRUE(),$M108="TRUE"),1,0))</f>
        <v/>
      </c>
      <c r="AI108">
        <f>IF($B108="","",IF($V108="Yes",1,0))</f>
        <v/>
      </c>
      <c r="AJ108">
        <f>IF($AF108=1,IFERROR(IF(VALUE($B108)&lt;100000000,VALUE($B108),1000000000),IFERROR(IF(VALUE(MID($B108,2,20))&lt;100000000,VALUE(MID($B108,2,20)),1000000000),1000000000))+ROW()/100000,"")</f>
        <v/>
      </c>
    </row>
    <row r="109">
      <c r="C109" s="11" t="n"/>
      <c r="J109" s="7">
        <f>IF($B109="","",I109*Q109/100)</f>
        <v/>
      </c>
      <c r="P109" s="7" t="n"/>
      <c r="Q109" s="7" t="n"/>
      <c r="R109" s="7">
        <f>IF($B109="","",Q109*W109/100)</f>
        <v/>
      </c>
      <c r="S109" s="7">
        <f>IF($B109="","",Q109-R109)</f>
        <v/>
      </c>
      <c r="T109" s="7">
        <f>IF($B109="","",S109-J109)</f>
        <v/>
      </c>
      <c r="W109">
        <f>IF($B109="","",IF($AI109=1,0,IF($AH109=1,Settings!$C$6,Settings!$C$7))*100)</f>
        <v/>
      </c>
      <c r="AA109" s="7" t="n"/>
      <c r="AD109" s="11" t="n"/>
      <c r="AF109">
        <f>IF($B109="","",IF(COUNTIF($B$2:$B109,$B109)=1,1,0))</f>
        <v/>
      </c>
      <c r="AG109">
        <f>IF($AF109=1,SUMPRODUCT(--($AJ$2:$AJ$1501&lt;$AJ109))+1,"")</f>
        <v/>
      </c>
      <c r="AH109">
        <f>IF($B109="","",IF(OR($M109=TRUE(),$M109="TRUE"),1,0))</f>
        <v/>
      </c>
      <c r="AI109">
        <f>IF($B109="","",IF($V109="Yes",1,0))</f>
        <v/>
      </c>
      <c r="AJ109">
        <f>IF($AF109=1,IFERROR(IF(VALUE($B109)&lt;100000000,VALUE($B109),1000000000),IFERROR(IF(VALUE(MID($B109,2,20))&lt;100000000,VALUE(MID($B109,2,20)),1000000000),1000000000))+ROW()/100000,"")</f>
        <v/>
      </c>
    </row>
    <row r="110">
      <c r="C110" s="11" t="n"/>
      <c r="J110" s="7">
        <f>IF($B110="","",I110*Q110/100)</f>
        <v/>
      </c>
      <c r="P110" s="7" t="n"/>
      <c r="Q110" s="7" t="n"/>
      <c r="R110" s="7">
        <f>IF($B110="","",Q110*W110/100)</f>
        <v/>
      </c>
      <c r="S110" s="7">
        <f>IF($B110="","",Q110-R110)</f>
        <v/>
      </c>
      <c r="T110" s="7">
        <f>IF($B110="","",S110-J110)</f>
        <v/>
      </c>
      <c r="W110">
        <f>IF($B110="","",IF($AI110=1,0,IF($AH110=1,Settings!$C$6,Settings!$C$7))*100)</f>
        <v/>
      </c>
      <c r="AA110" s="7" t="n"/>
      <c r="AD110" s="11" t="n"/>
      <c r="AF110">
        <f>IF($B110="","",IF(COUNTIF($B$2:$B110,$B110)=1,1,0))</f>
        <v/>
      </c>
      <c r="AG110">
        <f>IF($AF110=1,SUMPRODUCT(--($AJ$2:$AJ$1501&lt;$AJ110))+1,"")</f>
        <v/>
      </c>
      <c r="AH110">
        <f>IF($B110="","",IF(OR($M110=TRUE(),$M110="TRUE"),1,0))</f>
        <v/>
      </c>
      <c r="AI110">
        <f>IF($B110="","",IF($V110="Yes",1,0))</f>
        <v/>
      </c>
      <c r="AJ110">
        <f>IF($AF110=1,IFERROR(IF(VALUE($B110)&lt;100000000,VALUE($B110),1000000000),IFERROR(IF(VALUE(MID($B110,2,20))&lt;100000000,VALUE(MID($B110,2,20)),1000000000),1000000000))+ROW()/100000,"")</f>
        <v/>
      </c>
    </row>
    <row r="111">
      <c r="C111" s="11" t="n"/>
      <c r="J111" s="7">
        <f>IF($B111="","",I111*Q111/100)</f>
        <v/>
      </c>
      <c r="P111" s="7" t="n"/>
      <c r="Q111" s="7" t="n"/>
      <c r="R111" s="7">
        <f>IF($B111="","",Q111*W111/100)</f>
        <v/>
      </c>
      <c r="S111" s="7">
        <f>IF($B111="","",Q111-R111)</f>
        <v/>
      </c>
      <c r="T111" s="7">
        <f>IF($B111="","",S111-J111)</f>
        <v/>
      </c>
      <c r="W111">
        <f>IF($B111="","",IF($AI111=1,0,IF($AH111=1,Settings!$C$6,Settings!$C$7))*100)</f>
        <v/>
      </c>
      <c r="AA111" s="7" t="n"/>
      <c r="AD111" s="11" t="n"/>
      <c r="AF111">
        <f>IF($B111="","",IF(COUNTIF($B$2:$B111,$B111)=1,1,0))</f>
        <v/>
      </c>
      <c r="AG111">
        <f>IF($AF111=1,SUMPRODUCT(--($AJ$2:$AJ$1501&lt;$AJ111))+1,"")</f>
        <v/>
      </c>
      <c r="AH111">
        <f>IF($B111="","",IF(OR($M111=TRUE(),$M111="TRUE"),1,0))</f>
        <v/>
      </c>
      <c r="AI111">
        <f>IF($B111="","",IF($V111="Yes",1,0))</f>
        <v/>
      </c>
      <c r="AJ111">
        <f>IF($AF111=1,IFERROR(IF(VALUE($B111)&lt;100000000,VALUE($B111),1000000000),IFERROR(IF(VALUE(MID($B111,2,20))&lt;100000000,VALUE(MID($B111,2,20)),1000000000),1000000000))+ROW()/100000,"")</f>
        <v/>
      </c>
    </row>
    <row r="112">
      <c r="C112" s="11" t="n"/>
      <c r="J112" s="7">
        <f>IF($B112="","",I112*Q112/100)</f>
        <v/>
      </c>
      <c r="P112" s="7" t="n"/>
      <c r="Q112" s="7" t="n"/>
      <c r="R112" s="7">
        <f>IF($B112="","",Q112*W112/100)</f>
        <v/>
      </c>
      <c r="S112" s="7">
        <f>IF($B112="","",Q112-R112)</f>
        <v/>
      </c>
      <c r="T112" s="7">
        <f>IF($B112="","",S112-J112)</f>
        <v/>
      </c>
      <c r="W112">
        <f>IF($B112="","",IF($AI112=1,0,IF($AH112=1,Settings!$C$6,Settings!$C$7))*100)</f>
        <v/>
      </c>
      <c r="AA112" s="7" t="n"/>
      <c r="AD112" s="11" t="n"/>
      <c r="AF112">
        <f>IF($B112="","",IF(COUNTIF($B$2:$B112,$B112)=1,1,0))</f>
        <v/>
      </c>
      <c r="AG112">
        <f>IF($AF112=1,SUMPRODUCT(--($AJ$2:$AJ$1501&lt;$AJ112))+1,"")</f>
        <v/>
      </c>
      <c r="AH112">
        <f>IF($B112="","",IF(OR($M112=TRUE(),$M112="TRUE"),1,0))</f>
        <v/>
      </c>
      <c r="AI112">
        <f>IF($B112="","",IF($V112="Yes",1,0))</f>
        <v/>
      </c>
      <c r="AJ112">
        <f>IF($AF112=1,IFERROR(IF(VALUE($B112)&lt;100000000,VALUE($B112),1000000000),IFERROR(IF(VALUE(MID($B112,2,20))&lt;100000000,VALUE(MID($B112,2,20)),1000000000),1000000000))+ROW()/100000,"")</f>
        <v/>
      </c>
    </row>
    <row r="113">
      <c r="C113" s="11" t="n"/>
      <c r="J113" s="7">
        <f>IF($B113="","",I113*Q113/100)</f>
        <v/>
      </c>
      <c r="P113" s="7" t="n"/>
      <c r="Q113" s="7" t="n"/>
      <c r="R113" s="7">
        <f>IF($B113="","",Q113*W113/100)</f>
        <v/>
      </c>
      <c r="S113" s="7">
        <f>IF($B113="","",Q113-R113)</f>
        <v/>
      </c>
      <c r="T113" s="7">
        <f>IF($B113="","",S113-J113)</f>
        <v/>
      </c>
      <c r="W113">
        <f>IF($B113="","",IF($AI113=1,0,IF($AH113=1,Settings!$C$6,Settings!$C$7))*100)</f>
        <v/>
      </c>
      <c r="AA113" s="7" t="n"/>
      <c r="AD113" s="11" t="n"/>
      <c r="AF113">
        <f>IF($B113="","",IF(COUNTIF($B$2:$B113,$B113)=1,1,0))</f>
        <v/>
      </c>
      <c r="AG113">
        <f>IF($AF113=1,SUMPRODUCT(--($AJ$2:$AJ$1501&lt;$AJ113))+1,"")</f>
        <v/>
      </c>
      <c r="AH113">
        <f>IF($B113="","",IF(OR($M113=TRUE(),$M113="TRUE"),1,0))</f>
        <v/>
      </c>
      <c r="AI113">
        <f>IF($B113="","",IF($V113="Yes",1,0))</f>
        <v/>
      </c>
      <c r="AJ113">
        <f>IF($AF113=1,IFERROR(IF(VALUE($B113)&lt;100000000,VALUE($B113),1000000000),IFERROR(IF(VALUE(MID($B113,2,20))&lt;100000000,VALUE(MID($B113,2,20)),1000000000),1000000000))+ROW()/100000,"")</f>
        <v/>
      </c>
    </row>
    <row r="114">
      <c r="C114" s="11" t="n"/>
      <c r="J114" s="7">
        <f>IF($B114="","",I114*Q114/100)</f>
        <v/>
      </c>
      <c r="P114" s="7" t="n"/>
      <c r="Q114" s="7" t="n"/>
      <c r="R114" s="7">
        <f>IF($B114="","",Q114*W114/100)</f>
        <v/>
      </c>
      <c r="S114" s="7">
        <f>IF($B114="","",Q114-R114)</f>
        <v/>
      </c>
      <c r="T114" s="7">
        <f>IF($B114="","",S114-J114)</f>
        <v/>
      </c>
      <c r="W114">
        <f>IF($B114="","",IF($AI114=1,0,IF($AH114=1,Settings!$C$6,Settings!$C$7))*100)</f>
        <v/>
      </c>
      <c r="AA114" s="7" t="n"/>
      <c r="AD114" s="11" t="n"/>
      <c r="AF114">
        <f>IF($B114="","",IF(COUNTIF($B$2:$B114,$B114)=1,1,0))</f>
        <v/>
      </c>
      <c r="AG114">
        <f>IF($AF114=1,SUMPRODUCT(--($AJ$2:$AJ$1501&lt;$AJ114))+1,"")</f>
        <v/>
      </c>
      <c r="AH114">
        <f>IF($B114="","",IF(OR($M114=TRUE(),$M114="TRUE"),1,0))</f>
        <v/>
      </c>
      <c r="AI114">
        <f>IF($B114="","",IF($V114="Yes",1,0))</f>
        <v/>
      </c>
      <c r="AJ114">
        <f>IF($AF114=1,IFERROR(IF(VALUE($B114)&lt;100000000,VALUE($B114),1000000000),IFERROR(IF(VALUE(MID($B114,2,20))&lt;100000000,VALUE(MID($B114,2,20)),1000000000),1000000000))+ROW()/100000,"")</f>
        <v/>
      </c>
    </row>
    <row r="115">
      <c r="C115" s="11" t="n"/>
      <c r="J115" s="7">
        <f>IF($B115="","",I115*Q115/100)</f>
        <v/>
      </c>
      <c r="P115" s="7" t="n"/>
      <c r="Q115" s="7" t="n"/>
      <c r="R115" s="7">
        <f>IF($B115="","",Q115*W115/100)</f>
        <v/>
      </c>
      <c r="S115" s="7">
        <f>IF($B115="","",Q115-R115)</f>
        <v/>
      </c>
      <c r="T115" s="7">
        <f>IF($B115="","",S115-J115)</f>
        <v/>
      </c>
      <c r="W115">
        <f>IF($B115="","",IF($AI115=1,0,IF($AH115=1,Settings!$C$6,Settings!$C$7))*100)</f>
        <v/>
      </c>
      <c r="AA115" s="7" t="n"/>
      <c r="AD115" s="11" t="n"/>
      <c r="AF115">
        <f>IF($B115="","",IF(COUNTIF($B$2:$B115,$B115)=1,1,0))</f>
        <v/>
      </c>
      <c r="AG115">
        <f>IF($AF115=1,SUMPRODUCT(--($AJ$2:$AJ$1501&lt;$AJ115))+1,"")</f>
        <v/>
      </c>
      <c r="AH115">
        <f>IF($B115="","",IF(OR($M115=TRUE(),$M115="TRUE"),1,0))</f>
        <v/>
      </c>
      <c r="AI115">
        <f>IF($B115="","",IF($V115="Yes",1,0))</f>
        <v/>
      </c>
      <c r="AJ115">
        <f>IF($AF115=1,IFERROR(IF(VALUE($B115)&lt;100000000,VALUE($B115),1000000000),IFERROR(IF(VALUE(MID($B115,2,20))&lt;100000000,VALUE(MID($B115,2,20)),1000000000),1000000000))+ROW()/100000,"")</f>
        <v/>
      </c>
    </row>
    <row r="116">
      <c r="C116" s="11" t="n"/>
      <c r="J116" s="7">
        <f>IF($B116="","",I116*Q116/100)</f>
        <v/>
      </c>
      <c r="P116" s="7" t="n"/>
      <c r="Q116" s="7" t="n"/>
      <c r="R116" s="7">
        <f>IF($B116="","",Q116*W116/100)</f>
        <v/>
      </c>
      <c r="S116" s="7">
        <f>IF($B116="","",Q116-R116)</f>
        <v/>
      </c>
      <c r="T116" s="7">
        <f>IF($B116="","",S116-J116)</f>
        <v/>
      </c>
      <c r="W116">
        <f>IF($B116="","",IF($AI116=1,0,IF($AH116=1,Settings!$C$6,Settings!$C$7))*100)</f>
        <v/>
      </c>
      <c r="AA116" s="7" t="n"/>
      <c r="AD116" s="11" t="n"/>
      <c r="AF116">
        <f>IF($B116="","",IF(COUNTIF($B$2:$B116,$B116)=1,1,0))</f>
        <v/>
      </c>
      <c r="AG116">
        <f>IF($AF116=1,SUMPRODUCT(--($AJ$2:$AJ$1501&lt;$AJ116))+1,"")</f>
        <v/>
      </c>
      <c r="AH116">
        <f>IF($B116="","",IF(OR($M116=TRUE(),$M116="TRUE"),1,0))</f>
        <v/>
      </c>
      <c r="AI116">
        <f>IF($B116="","",IF($V116="Yes",1,0))</f>
        <v/>
      </c>
      <c r="AJ116">
        <f>IF($AF116=1,IFERROR(IF(VALUE($B116)&lt;100000000,VALUE($B116),1000000000),IFERROR(IF(VALUE(MID($B116,2,20))&lt;100000000,VALUE(MID($B116,2,20)),1000000000),1000000000))+ROW()/100000,"")</f>
        <v/>
      </c>
    </row>
    <row r="117">
      <c r="C117" s="11" t="n"/>
      <c r="J117" s="7">
        <f>IF($B117="","",I117*Q117/100)</f>
        <v/>
      </c>
      <c r="P117" s="7" t="n"/>
      <c r="Q117" s="7" t="n"/>
      <c r="R117" s="7">
        <f>IF($B117="","",Q117*W117/100)</f>
        <v/>
      </c>
      <c r="S117" s="7">
        <f>IF($B117="","",Q117-R117)</f>
        <v/>
      </c>
      <c r="T117" s="7">
        <f>IF($B117="","",S117-J117)</f>
        <v/>
      </c>
      <c r="W117">
        <f>IF($B117="","",IF($AI117=1,0,IF($AH117=1,Settings!$C$6,Settings!$C$7))*100)</f>
        <v/>
      </c>
      <c r="AA117" s="7" t="n"/>
      <c r="AD117" s="11" t="n"/>
      <c r="AF117">
        <f>IF($B117="","",IF(COUNTIF($B$2:$B117,$B117)=1,1,0))</f>
        <v/>
      </c>
      <c r="AG117">
        <f>IF($AF117=1,SUMPRODUCT(--($AJ$2:$AJ$1501&lt;$AJ117))+1,"")</f>
        <v/>
      </c>
      <c r="AH117">
        <f>IF($B117="","",IF(OR($M117=TRUE(),$M117="TRUE"),1,0))</f>
        <v/>
      </c>
      <c r="AI117">
        <f>IF($B117="","",IF($V117="Yes",1,0))</f>
        <v/>
      </c>
      <c r="AJ117">
        <f>IF($AF117=1,IFERROR(IF(VALUE($B117)&lt;100000000,VALUE($B117),1000000000),IFERROR(IF(VALUE(MID($B117,2,20))&lt;100000000,VALUE(MID($B117,2,20)),1000000000),1000000000))+ROW()/100000,"")</f>
        <v/>
      </c>
    </row>
    <row r="118">
      <c r="C118" s="11" t="n"/>
      <c r="J118" s="7">
        <f>IF($B118="","",I118*Q118/100)</f>
        <v/>
      </c>
      <c r="P118" s="7" t="n"/>
      <c r="Q118" s="7" t="n"/>
      <c r="R118" s="7">
        <f>IF($B118="","",Q118*W118/100)</f>
        <v/>
      </c>
      <c r="S118" s="7">
        <f>IF($B118="","",Q118-R118)</f>
        <v/>
      </c>
      <c r="T118" s="7">
        <f>IF($B118="","",S118-J118)</f>
        <v/>
      </c>
      <c r="W118">
        <f>IF($B118="","",IF($AI118=1,0,IF($AH118=1,Settings!$C$6,Settings!$C$7))*100)</f>
        <v/>
      </c>
      <c r="AA118" s="7" t="n"/>
      <c r="AD118" s="11" t="n"/>
      <c r="AF118">
        <f>IF($B118="","",IF(COUNTIF($B$2:$B118,$B118)=1,1,0))</f>
        <v/>
      </c>
      <c r="AG118">
        <f>IF($AF118=1,SUMPRODUCT(--($AJ$2:$AJ$1501&lt;$AJ118))+1,"")</f>
        <v/>
      </c>
      <c r="AH118">
        <f>IF($B118="","",IF(OR($M118=TRUE(),$M118="TRUE"),1,0))</f>
        <v/>
      </c>
      <c r="AI118">
        <f>IF($B118="","",IF($V118="Yes",1,0))</f>
        <v/>
      </c>
      <c r="AJ118">
        <f>IF($AF118=1,IFERROR(IF(VALUE($B118)&lt;100000000,VALUE($B118),1000000000),IFERROR(IF(VALUE(MID($B118,2,20))&lt;100000000,VALUE(MID($B118,2,20)),1000000000),1000000000))+ROW()/100000,"")</f>
        <v/>
      </c>
    </row>
    <row r="119">
      <c r="C119" s="11" t="n"/>
      <c r="J119" s="7">
        <f>IF($B119="","",I119*Q119/100)</f>
        <v/>
      </c>
      <c r="P119" s="7" t="n"/>
      <c r="Q119" s="7" t="n"/>
      <c r="R119" s="7">
        <f>IF($B119="","",Q119*W119/100)</f>
        <v/>
      </c>
      <c r="S119" s="7">
        <f>IF($B119="","",Q119-R119)</f>
        <v/>
      </c>
      <c r="T119" s="7">
        <f>IF($B119="","",S119-J119)</f>
        <v/>
      </c>
      <c r="W119">
        <f>IF($B119="","",IF($AI119=1,0,IF($AH119=1,Settings!$C$6,Settings!$C$7))*100)</f>
        <v/>
      </c>
      <c r="AA119" s="7" t="n"/>
      <c r="AD119" s="11" t="n"/>
      <c r="AF119">
        <f>IF($B119="","",IF(COUNTIF($B$2:$B119,$B119)=1,1,0))</f>
        <v/>
      </c>
      <c r="AG119">
        <f>IF($AF119=1,SUMPRODUCT(--($AJ$2:$AJ$1501&lt;$AJ119))+1,"")</f>
        <v/>
      </c>
      <c r="AH119">
        <f>IF($B119="","",IF(OR($M119=TRUE(),$M119="TRUE"),1,0))</f>
        <v/>
      </c>
      <c r="AI119">
        <f>IF($B119="","",IF($V119="Yes",1,0))</f>
        <v/>
      </c>
      <c r="AJ119">
        <f>IF($AF119=1,IFERROR(IF(VALUE($B119)&lt;100000000,VALUE($B119),1000000000),IFERROR(IF(VALUE(MID($B119,2,20))&lt;100000000,VALUE(MID($B119,2,20)),1000000000),1000000000))+ROW()/100000,"")</f>
        <v/>
      </c>
    </row>
    <row r="120">
      <c r="C120" s="11" t="n"/>
      <c r="J120" s="7">
        <f>IF($B120="","",I120*Q120/100)</f>
        <v/>
      </c>
      <c r="P120" s="7" t="n"/>
      <c r="Q120" s="7" t="n"/>
      <c r="R120" s="7">
        <f>IF($B120="","",Q120*W120/100)</f>
        <v/>
      </c>
      <c r="S120" s="7">
        <f>IF($B120="","",Q120-R120)</f>
        <v/>
      </c>
      <c r="T120" s="7">
        <f>IF($B120="","",S120-J120)</f>
        <v/>
      </c>
      <c r="W120">
        <f>IF($B120="","",IF($AI120=1,0,IF($AH120=1,Settings!$C$6,Settings!$C$7))*100)</f>
        <v/>
      </c>
      <c r="AA120" s="7" t="n"/>
      <c r="AD120" s="11" t="n"/>
      <c r="AF120">
        <f>IF($B120="","",IF(COUNTIF($B$2:$B120,$B120)=1,1,0))</f>
        <v/>
      </c>
      <c r="AG120">
        <f>IF($AF120=1,SUMPRODUCT(--($AJ$2:$AJ$1501&lt;$AJ120))+1,"")</f>
        <v/>
      </c>
      <c r="AH120">
        <f>IF($B120="","",IF(OR($M120=TRUE(),$M120="TRUE"),1,0))</f>
        <v/>
      </c>
      <c r="AI120">
        <f>IF($B120="","",IF($V120="Yes",1,0))</f>
        <v/>
      </c>
      <c r="AJ120">
        <f>IF($AF120=1,IFERROR(IF(VALUE($B120)&lt;100000000,VALUE($B120),1000000000),IFERROR(IF(VALUE(MID($B120,2,20))&lt;100000000,VALUE(MID($B120,2,20)),1000000000),1000000000))+ROW()/100000,"")</f>
        <v/>
      </c>
    </row>
    <row r="121">
      <c r="C121" s="11" t="n"/>
      <c r="J121" s="7">
        <f>IF($B121="","",I121*Q121/100)</f>
        <v/>
      </c>
      <c r="P121" s="7" t="n"/>
      <c r="Q121" s="7" t="n"/>
      <c r="R121" s="7">
        <f>IF($B121="","",Q121*W121/100)</f>
        <v/>
      </c>
      <c r="S121" s="7">
        <f>IF($B121="","",Q121-R121)</f>
        <v/>
      </c>
      <c r="T121" s="7">
        <f>IF($B121="","",S121-J121)</f>
        <v/>
      </c>
      <c r="W121">
        <f>IF($B121="","",IF($AI121=1,0,IF($AH121=1,Settings!$C$6,Settings!$C$7))*100)</f>
        <v/>
      </c>
      <c r="AA121" s="7" t="n"/>
      <c r="AD121" s="11" t="n"/>
      <c r="AF121">
        <f>IF($B121="","",IF(COUNTIF($B$2:$B121,$B121)=1,1,0))</f>
        <v/>
      </c>
      <c r="AG121">
        <f>IF($AF121=1,SUMPRODUCT(--($AJ$2:$AJ$1501&lt;$AJ121))+1,"")</f>
        <v/>
      </c>
      <c r="AH121">
        <f>IF($B121="","",IF(OR($M121=TRUE(),$M121="TRUE"),1,0))</f>
        <v/>
      </c>
      <c r="AI121">
        <f>IF($B121="","",IF($V121="Yes",1,0))</f>
        <v/>
      </c>
      <c r="AJ121">
        <f>IF($AF121=1,IFERROR(IF(VALUE($B121)&lt;100000000,VALUE($B121),1000000000),IFERROR(IF(VALUE(MID($B121,2,20))&lt;100000000,VALUE(MID($B121,2,20)),1000000000),1000000000))+ROW()/100000,"")</f>
        <v/>
      </c>
    </row>
    <row r="122">
      <c r="C122" s="11" t="n"/>
      <c r="J122" s="7">
        <f>IF($B122="","",I122*Q122/100)</f>
        <v/>
      </c>
      <c r="P122" s="7" t="n"/>
      <c r="Q122" s="7" t="n"/>
      <c r="R122" s="7">
        <f>IF($B122="","",Q122*W122/100)</f>
        <v/>
      </c>
      <c r="S122" s="7">
        <f>IF($B122="","",Q122-R122)</f>
        <v/>
      </c>
      <c r="T122" s="7">
        <f>IF($B122="","",S122-J122)</f>
        <v/>
      </c>
      <c r="W122">
        <f>IF($B122="","",IF($AI122=1,0,IF($AH122=1,Settings!$C$6,Settings!$C$7))*100)</f>
        <v/>
      </c>
      <c r="AA122" s="7" t="n"/>
      <c r="AD122" s="11" t="n"/>
      <c r="AF122">
        <f>IF($B122="","",IF(COUNTIF($B$2:$B122,$B122)=1,1,0))</f>
        <v/>
      </c>
      <c r="AG122">
        <f>IF($AF122=1,SUMPRODUCT(--($AJ$2:$AJ$1501&lt;$AJ122))+1,"")</f>
        <v/>
      </c>
      <c r="AH122">
        <f>IF($B122="","",IF(OR($M122=TRUE(),$M122="TRUE"),1,0))</f>
        <v/>
      </c>
      <c r="AI122">
        <f>IF($B122="","",IF($V122="Yes",1,0))</f>
        <v/>
      </c>
      <c r="AJ122">
        <f>IF($AF122=1,IFERROR(IF(VALUE($B122)&lt;100000000,VALUE($B122),1000000000),IFERROR(IF(VALUE(MID($B122,2,20))&lt;100000000,VALUE(MID($B122,2,20)),1000000000),1000000000))+ROW()/100000,"")</f>
        <v/>
      </c>
    </row>
    <row r="123">
      <c r="C123" s="11" t="n"/>
      <c r="J123" s="7">
        <f>IF($B123="","",I123*Q123/100)</f>
        <v/>
      </c>
      <c r="P123" s="7" t="n"/>
      <c r="Q123" s="7" t="n"/>
      <c r="R123" s="7">
        <f>IF($B123="","",Q123*W123/100)</f>
        <v/>
      </c>
      <c r="S123" s="7">
        <f>IF($B123="","",Q123-R123)</f>
        <v/>
      </c>
      <c r="T123" s="7">
        <f>IF($B123="","",S123-J123)</f>
        <v/>
      </c>
      <c r="W123">
        <f>IF($B123="","",IF($AI123=1,0,IF($AH123=1,Settings!$C$6,Settings!$C$7))*100)</f>
        <v/>
      </c>
      <c r="AA123" s="7" t="n"/>
      <c r="AD123" s="11" t="n"/>
      <c r="AF123">
        <f>IF($B123="","",IF(COUNTIF($B$2:$B123,$B123)=1,1,0))</f>
        <v/>
      </c>
      <c r="AG123">
        <f>IF($AF123=1,SUMPRODUCT(--($AJ$2:$AJ$1501&lt;$AJ123))+1,"")</f>
        <v/>
      </c>
      <c r="AH123">
        <f>IF($B123="","",IF(OR($M123=TRUE(),$M123="TRUE"),1,0))</f>
        <v/>
      </c>
      <c r="AI123">
        <f>IF($B123="","",IF($V123="Yes",1,0))</f>
        <v/>
      </c>
      <c r="AJ123">
        <f>IF($AF123=1,IFERROR(IF(VALUE($B123)&lt;100000000,VALUE($B123),1000000000),IFERROR(IF(VALUE(MID($B123,2,20))&lt;100000000,VALUE(MID($B123,2,20)),1000000000),1000000000))+ROW()/100000,"")</f>
        <v/>
      </c>
    </row>
    <row r="124">
      <c r="C124" s="11" t="n"/>
      <c r="J124" s="7">
        <f>IF($B124="","",I124*Q124/100)</f>
        <v/>
      </c>
      <c r="P124" s="7" t="n"/>
      <c r="Q124" s="7" t="n"/>
      <c r="R124" s="7">
        <f>IF($B124="","",Q124*W124/100)</f>
        <v/>
      </c>
      <c r="S124" s="7">
        <f>IF($B124="","",Q124-R124)</f>
        <v/>
      </c>
      <c r="T124" s="7">
        <f>IF($B124="","",S124-J124)</f>
        <v/>
      </c>
      <c r="W124">
        <f>IF($B124="","",IF($AI124=1,0,IF($AH124=1,Settings!$C$6,Settings!$C$7))*100)</f>
        <v/>
      </c>
      <c r="AA124" s="7" t="n"/>
      <c r="AD124" s="11" t="n"/>
      <c r="AF124">
        <f>IF($B124="","",IF(COUNTIF($B$2:$B124,$B124)=1,1,0))</f>
        <v/>
      </c>
      <c r="AG124">
        <f>IF($AF124=1,SUMPRODUCT(--($AJ$2:$AJ$1501&lt;$AJ124))+1,"")</f>
        <v/>
      </c>
      <c r="AH124">
        <f>IF($B124="","",IF(OR($M124=TRUE(),$M124="TRUE"),1,0))</f>
        <v/>
      </c>
      <c r="AI124">
        <f>IF($B124="","",IF($V124="Yes",1,0))</f>
        <v/>
      </c>
      <c r="AJ124">
        <f>IF($AF124=1,IFERROR(IF(VALUE($B124)&lt;100000000,VALUE($B124),1000000000),IFERROR(IF(VALUE(MID($B124,2,20))&lt;100000000,VALUE(MID($B124,2,20)),1000000000),1000000000))+ROW()/100000,"")</f>
        <v/>
      </c>
    </row>
    <row r="125">
      <c r="C125" s="11" t="n"/>
      <c r="J125" s="7">
        <f>IF($B125="","",I125*Q125/100)</f>
        <v/>
      </c>
      <c r="P125" s="7" t="n"/>
      <c r="Q125" s="7" t="n"/>
      <c r="R125" s="7">
        <f>IF($B125="","",Q125*W125/100)</f>
        <v/>
      </c>
      <c r="S125" s="7">
        <f>IF($B125="","",Q125-R125)</f>
        <v/>
      </c>
      <c r="T125" s="7">
        <f>IF($B125="","",S125-J125)</f>
        <v/>
      </c>
      <c r="W125">
        <f>IF($B125="","",IF($AI125=1,0,IF($AH125=1,Settings!$C$6,Settings!$C$7))*100)</f>
        <v/>
      </c>
      <c r="AA125" s="7" t="n"/>
      <c r="AD125" s="11" t="n"/>
      <c r="AF125">
        <f>IF($B125="","",IF(COUNTIF($B$2:$B125,$B125)=1,1,0))</f>
        <v/>
      </c>
      <c r="AG125">
        <f>IF($AF125=1,SUMPRODUCT(--($AJ$2:$AJ$1501&lt;$AJ125))+1,"")</f>
        <v/>
      </c>
      <c r="AH125">
        <f>IF($B125="","",IF(OR($M125=TRUE(),$M125="TRUE"),1,0))</f>
        <v/>
      </c>
      <c r="AI125">
        <f>IF($B125="","",IF($V125="Yes",1,0))</f>
        <v/>
      </c>
      <c r="AJ125">
        <f>IF($AF125=1,IFERROR(IF(VALUE($B125)&lt;100000000,VALUE($B125),1000000000),IFERROR(IF(VALUE(MID($B125,2,20))&lt;100000000,VALUE(MID($B125,2,20)),1000000000),1000000000))+ROW()/100000,"")</f>
        <v/>
      </c>
    </row>
    <row r="126">
      <c r="C126" s="11" t="n"/>
      <c r="J126" s="7">
        <f>IF($B126="","",I126*Q126/100)</f>
        <v/>
      </c>
      <c r="P126" s="7" t="n"/>
      <c r="Q126" s="7" t="n"/>
      <c r="R126" s="7">
        <f>IF($B126="","",Q126*W126/100)</f>
        <v/>
      </c>
      <c r="S126" s="7">
        <f>IF($B126="","",Q126-R126)</f>
        <v/>
      </c>
      <c r="T126" s="7">
        <f>IF($B126="","",S126-J126)</f>
        <v/>
      </c>
      <c r="W126">
        <f>IF($B126="","",IF($AI126=1,0,IF($AH126=1,Settings!$C$6,Settings!$C$7))*100)</f>
        <v/>
      </c>
      <c r="AA126" s="7" t="n"/>
      <c r="AD126" s="11" t="n"/>
      <c r="AF126">
        <f>IF($B126="","",IF(COUNTIF($B$2:$B126,$B126)=1,1,0))</f>
        <v/>
      </c>
      <c r="AG126">
        <f>IF($AF126=1,SUMPRODUCT(--($AJ$2:$AJ$1501&lt;$AJ126))+1,"")</f>
        <v/>
      </c>
      <c r="AH126">
        <f>IF($B126="","",IF(OR($M126=TRUE(),$M126="TRUE"),1,0))</f>
        <v/>
      </c>
      <c r="AI126">
        <f>IF($B126="","",IF($V126="Yes",1,0))</f>
        <v/>
      </c>
      <c r="AJ126">
        <f>IF($AF126=1,IFERROR(IF(VALUE($B126)&lt;100000000,VALUE($B126),1000000000),IFERROR(IF(VALUE(MID($B126,2,20))&lt;100000000,VALUE(MID($B126,2,20)),1000000000),1000000000))+ROW()/100000,"")</f>
        <v/>
      </c>
    </row>
    <row r="127">
      <c r="C127" s="11" t="n"/>
      <c r="J127" s="7">
        <f>IF($B127="","",I127*Q127/100)</f>
        <v/>
      </c>
      <c r="P127" s="7" t="n"/>
      <c r="Q127" s="7" t="n"/>
      <c r="R127" s="7">
        <f>IF($B127="","",Q127*W127/100)</f>
        <v/>
      </c>
      <c r="S127" s="7">
        <f>IF($B127="","",Q127-R127)</f>
        <v/>
      </c>
      <c r="T127" s="7">
        <f>IF($B127="","",S127-J127)</f>
        <v/>
      </c>
      <c r="W127">
        <f>IF($B127="","",IF($AI127=1,0,IF($AH127=1,Settings!$C$6,Settings!$C$7))*100)</f>
        <v/>
      </c>
      <c r="AA127" s="7" t="n"/>
      <c r="AD127" s="11" t="n"/>
      <c r="AF127">
        <f>IF($B127="","",IF(COUNTIF($B$2:$B127,$B127)=1,1,0))</f>
        <v/>
      </c>
      <c r="AG127">
        <f>IF($AF127=1,SUMPRODUCT(--($AJ$2:$AJ$1501&lt;$AJ127))+1,"")</f>
        <v/>
      </c>
      <c r="AH127">
        <f>IF($B127="","",IF(OR($M127=TRUE(),$M127="TRUE"),1,0))</f>
        <v/>
      </c>
      <c r="AI127">
        <f>IF($B127="","",IF($V127="Yes",1,0))</f>
        <v/>
      </c>
      <c r="AJ127">
        <f>IF($AF127=1,IFERROR(IF(VALUE($B127)&lt;100000000,VALUE($B127),1000000000),IFERROR(IF(VALUE(MID($B127,2,20))&lt;100000000,VALUE(MID($B127,2,20)),1000000000),1000000000))+ROW()/100000,"")</f>
        <v/>
      </c>
    </row>
    <row r="128">
      <c r="C128" s="11" t="n"/>
      <c r="J128" s="7">
        <f>IF($B128="","",I128*Q128/100)</f>
        <v/>
      </c>
      <c r="P128" s="7" t="n"/>
      <c r="Q128" s="7" t="n"/>
      <c r="R128" s="7">
        <f>IF($B128="","",Q128*W128/100)</f>
        <v/>
      </c>
      <c r="S128" s="7">
        <f>IF($B128="","",Q128-R128)</f>
        <v/>
      </c>
      <c r="T128" s="7">
        <f>IF($B128="","",S128-J128)</f>
        <v/>
      </c>
      <c r="W128">
        <f>IF($B128="","",IF($AI128=1,0,IF($AH128=1,Settings!$C$6,Settings!$C$7))*100)</f>
        <v/>
      </c>
      <c r="AA128" s="7" t="n"/>
      <c r="AD128" s="11" t="n"/>
      <c r="AF128">
        <f>IF($B128="","",IF(COUNTIF($B$2:$B128,$B128)=1,1,0))</f>
        <v/>
      </c>
      <c r="AG128">
        <f>IF($AF128=1,SUMPRODUCT(--($AJ$2:$AJ$1501&lt;$AJ128))+1,"")</f>
        <v/>
      </c>
      <c r="AH128">
        <f>IF($B128="","",IF(OR($M128=TRUE(),$M128="TRUE"),1,0))</f>
        <v/>
      </c>
      <c r="AI128">
        <f>IF($B128="","",IF($V128="Yes",1,0))</f>
        <v/>
      </c>
      <c r="AJ128">
        <f>IF($AF128=1,IFERROR(IF(VALUE($B128)&lt;100000000,VALUE($B128),1000000000),IFERROR(IF(VALUE(MID($B128,2,20))&lt;100000000,VALUE(MID($B128,2,20)),1000000000),1000000000))+ROW()/100000,"")</f>
        <v/>
      </c>
    </row>
    <row r="129">
      <c r="C129" s="11" t="n"/>
      <c r="J129" s="7">
        <f>IF($B129="","",I129*Q129/100)</f>
        <v/>
      </c>
      <c r="P129" s="7" t="n"/>
      <c r="Q129" s="7" t="n"/>
      <c r="R129" s="7">
        <f>IF($B129="","",Q129*W129/100)</f>
        <v/>
      </c>
      <c r="S129" s="7">
        <f>IF($B129="","",Q129-R129)</f>
        <v/>
      </c>
      <c r="T129" s="7">
        <f>IF($B129="","",S129-J129)</f>
        <v/>
      </c>
      <c r="W129">
        <f>IF($B129="","",IF($AI129=1,0,IF($AH129=1,Settings!$C$6,Settings!$C$7))*100)</f>
        <v/>
      </c>
      <c r="AA129" s="7" t="n"/>
      <c r="AD129" s="11" t="n"/>
      <c r="AF129">
        <f>IF($B129="","",IF(COUNTIF($B$2:$B129,$B129)=1,1,0))</f>
        <v/>
      </c>
      <c r="AG129">
        <f>IF($AF129=1,SUMPRODUCT(--($AJ$2:$AJ$1501&lt;$AJ129))+1,"")</f>
        <v/>
      </c>
      <c r="AH129">
        <f>IF($B129="","",IF(OR($M129=TRUE(),$M129="TRUE"),1,0))</f>
        <v/>
      </c>
      <c r="AI129">
        <f>IF($B129="","",IF($V129="Yes",1,0))</f>
        <v/>
      </c>
      <c r="AJ129">
        <f>IF($AF129=1,IFERROR(IF(VALUE($B129)&lt;100000000,VALUE($B129),1000000000),IFERROR(IF(VALUE(MID($B129,2,20))&lt;100000000,VALUE(MID($B129,2,20)),1000000000),1000000000))+ROW()/100000,"")</f>
        <v/>
      </c>
    </row>
    <row r="130">
      <c r="C130" s="11" t="n"/>
      <c r="J130" s="7">
        <f>IF($B130="","",I130*Q130/100)</f>
        <v/>
      </c>
      <c r="P130" s="7" t="n"/>
      <c r="Q130" s="7" t="n"/>
      <c r="R130" s="7">
        <f>IF($B130="","",Q130*W130/100)</f>
        <v/>
      </c>
      <c r="S130" s="7">
        <f>IF($B130="","",Q130-R130)</f>
        <v/>
      </c>
      <c r="T130" s="7">
        <f>IF($B130="","",S130-J130)</f>
        <v/>
      </c>
      <c r="W130">
        <f>IF($B130="","",IF($AI130=1,0,IF($AH130=1,Settings!$C$6,Settings!$C$7))*100)</f>
        <v/>
      </c>
      <c r="AA130" s="7" t="n"/>
      <c r="AD130" s="11" t="n"/>
      <c r="AF130">
        <f>IF($B130="","",IF(COUNTIF($B$2:$B130,$B130)=1,1,0))</f>
        <v/>
      </c>
      <c r="AG130">
        <f>IF($AF130=1,SUMPRODUCT(--($AJ$2:$AJ$1501&lt;$AJ130))+1,"")</f>
        <v/>
      </c>
      <c r="AH130">
        <f>IF($B130="","",IF(OR($M130=TRUE(),$M130="TRUE"),1,0))</f>
        <v/>
      </c>
      <c r="AI130">
        <f>IF($B130="","",IF($V130="Yes",1,0))</f>
        <v/>
      </c>
      <c r="AJ130">
        <f>IF($AF130=1,IFERROR(IF(VALUE($B130)&lt;100000000,VALUE($B130),1000000000),IFERROR(IF(VALUE(MID($B130,2,20))&lt;100000000,VALUE(MID($B130,2,20)),1000000000),1000000000))+ROW()/100000,"")</f>
        <v/>
      </c>
    </row>
    <row r="131">
      <c r="C131" s="11" t="n"/>
      <c r="J131" s="7">
        <f>IF($B131="","",I131*Q131/100)</f>
        <v/>
      </c>
      <c r="P131" s="7" t="n"/>
      <c r="Q131" s="7" t="n"/>
      <c r="R131" s="7">
        <f>IF($B131="","",Q131*W131/100)</f>
        <v/>
      </c>
      <c r="S131" s="7">
        <f>IF($B131="","",Q131-R131)</f>
        <v/>
      </c>
      <c r="T131" s="7">
        <f>IF($B131="","",S131-J131)</f>
        <v/>
      </c>
      <c r="W131">
        <f>IF($B131="","",IF($AI131=1,0,IF($AH131=1,Settings!$C$6,Settings!$C$7))*100)</f>
        <v/>
      </c>
      <c r="AA131" s="7" t="n"/>
      <c r="AD131" s="11" t="n"/>
      <c r="AF131">
        <f>IF($B131="","",IF(COUNTIF($B$2:$B131,$B131)=1,1,0))</f>
        <v/>
      </c>
      <c r="AG131">
        <f>IF($AF131=1,SUMPRODUCT(--($AJ$2:$AJ$1501&lt;$AJ131))+1,"")</f>
        <v/>
      </c>
      <c r="AH131">
        <f>IF($B131="","",IF(OR($M131=TRUE(),$M131="TRUE"),1,0))</f>
        <v/>
      </c>
      <c r="AI131">
        <f>IF($B131="","",IF($V131="Yes",1,0))</f>
        <v/>
      </c>
      <c r="AJ131">
        <f>IF($AF131=1,IFERROR(IF(VALUE($B131)&lt;100000000,VALUE($B131),1000000000),IFERROR(IF(VALUE(MID($B131,2,20))&lt;100000000,VALUE(MID($B131,2,20)),1000000000),1000000000))+ROW()/100000,"")</f>
        <v/>
      </c>
    </row>
    <row r="132">
      <c r="C132" s="11" t="n"/>
      <c r="J132" s="7">
        <f>IF($B132="","",I132*Q132/100)</f>
        <v/>
      </c>
      <c r="P132" s="7" t="n"/>
      <c r="Q132" s="7" t="n"/>
      <c r="R132" s="7">
        <f>IF($B132="","",Q132*W132/100)</f>
        <v/>
      </c>
      <c r="S132" s="7">
        <f>IF($B132="","",Q132-R132)</f>
        <v/>
      </c>
      <c r="T132" s="7">
        <f>IF($B132="","",S132-J132)</f>
        <v/>
      </c>
      <c r="W132">
        <f>IF($B132="","",IF($AI132=1,0,IF($AH132=1,Settings!$C$6,Settings!$C$7))*100)</f>
        <v/>
      </c>
      <c r="AA132" s="7" t="n"/>
      <c r="AD132" s="11" t="n"/>
      <c r="AF132">
        <f>IF($B132="","",IF(COUNTIF($B$2:$B132,$B132)=1,1,0))</f>
        <v/>
      </c>
      <c r="AG132">
        <f>IF($AF132=1,SUMPRODUCT(--($AJ$2:$AJ$1501&lt;$AJ132))+1,"")</f>
        <v/>
      </c>
      <c r="AH132">
        <f>IF($B132="","",IF(OR($M132=TRUE(),$M132="TRUE"),1,0))</f>
        <v/>
      </c>
      <c r="AI132">
        <f>IF($B132="","",IF($V132="Yes",1,0))</f>
        <v/>
      </c>
      <c r="AJ132">
        <f>IF($AF132=1,IFERROR(IF(VALUE($B132)&lt;100000000,VALUE($B132),1000000000),IFERROR(IF(VALUE(MID($B132,2,20))&lt;100000000,VALUE(MID($B132,2,20)),1000000000),1000000000))+ROW()/100000,"")</f>
        <v/>
      </c>
    </row>
    <row r="133">
      <c r="C133" s="11" t="n"/>
      <c r="J133" s="7">
        <f>IF($B133="","",I133*Q133/100)</f>
        <v/>
      </c>
      <c r="P133" s="7" t="n"/>
      <c r="Q133" s="7" t="n"/>
      <c r="R133" s="7">
        <f>IF($B133="","",Q133*W133/100)</f>
        <v/>
      </c>
      <c r="S133" s="7">
        <f>IF($B133="","",Q133-R133)</f>
        <v/>
      </c>
      <c r="T133" s="7">
        <f>IF($B133="","",S133-J133)</f>
        <v/>
      </c>
      <c r="W133">
        <f>IF($B133="","",IF($AI133=1,0,IF($AH133=1,Settings!$C$6,Settings!$C$7))*100)</f>
        <v/>
      </c>
      <c r="AA133" s="7" t="n"/>
      <c r="AD133" s="11" t="n"/>
      <c r="AF133">
        <f>IF($B133="","",IF(COUNTIF($B$2:$B133,$B133)=1,1,0))</f>
        <v/>
      </c>
      <c r="AG133">
        <f>IF($AF133=1,SUMPRODUCT(--($AJ$2:$AJ$1501&lt;$AJ133))+1,"")</f>
        <v/>
      </c>
      <c r="AH133">
        <f>IF($B133="","",IF(OR($M133=TRUE(),$M133="TRUE"),1,0))</f>
        <v/>
      </c>
      <c r="AI133">
        <f>IF($B133="","",IF($V133="Yes",1,0))</f>
        <v/>
      </c>
      <c r="AJ133">
        <f>IF($AF133=1,IFERROR(IF(VALUE($B133)&lt;100000000,VALUE($B133),1000000000),IFERROR(IF(VALUE(MID($B133,2,20))&lt;100000000,VALUE(MID($B133,2,20)),1000000000),1000000000))+ROW()/100000,"")</f>
        <v/>
      </c>
    </row>
    <row r="134">
      <c r="C134" s="11" t="n"/>
      <c r="J134" s="7">
        <f>IF($B134="","",I134*Q134/100)</f>
        <v/>
      </c>
      <c r="P134" s="7" t="n"/>
      <c r="Q134" s="7" t="n"/>
      <c r="R134" s="7">
        <f>IF($B134="","",Q134*W134/100)</f>
        <v/>
      </c>
      <c r="S134" s="7">
        <f>IF($B134="","",Q134-R134)</f>
        <v/>
      </c>
      <c r="T134" s="7">
        <f>IF($B134="","",S134-J134)</f>
        <v/>
      </c>
      <c r="W134">
        <f>IF($B134="","",IF($AI134=1,0,IF($AH134=1,Settings!$C$6,Settings!$C$7))*100)</f>
        <v/>
      </c>
      <c r="AA134" s="7" t="n"/>
      <c r="AD134" s="11" t="n"/>
      <c r="AF134">
        <f>IF($B134="","",IF(COUNTIF($B$2:$B134,$B134)=1,1,0))</f>
        <v/>
      </c>
      <c r="AG134">
        <f>IF($AF134=1,SUMPRODUCT(--($AJ$2:$AJ$1501&lt;$AJ134))+1,"")</f>
        <v/>
      </c>
      <c r="AH134">
        <f>IF($B134="","",IF(OR($M134=TRUE(),$M134="TRUE"),1,0))</f>
        <v/>
      </c>
      <c r="AI134">
        <f>IF($B134="","",IF($V134="Yes",1,0))</f>
        <v/>
      </c>
      <c r="AJ134">
        <f>IF($AF134=1,IFERROR(IF(VALUE($B134)&lt;100000000,VALUE($B134),1000000000),IFERROR(IF(VALUE(MID($B134,2,20))&lt;100000000,VALUE(MID($B134,2,20)),1000000000),1000000000))+ROW()/100000,"")</f>
        <v/>
      </c>
    </row>
    <row r="135">
      <c r="C135" s="11" t="n"/>
      <c r="J135" s="7">
        <f>IF($B135="","",I135*Q135/100)</f>
        <v/>
      </c>
      <c r="P135" s="7" t="n"/>
      <c r="Q135" s="7" t="n"/>
      <c r="R135" s="7">
        <f>IF($B135="","",Q135*W135/100)</f>
        <v/>
      </c>
      <c r="S135" s="7">
        <f>IF($B135="","",Q135-R135)</f>
        <v/>
      </c>
      <c r="T135" s="7">
        <f>IF($B135="","",S135-J135)</f>
        <v/>
      </c>
      <c r="W135">
        <f>IF($B135="","",IF($AI135=1,0,IF($AH135=1,Settings!$C$6,Settings!$C$7))*100)</f>
        <v/>
      </c>
      <c r="AA135" s="7" t="n"/>
      <c r="AD135" s="11" t="n"/>
      <c r="AF135">
        <f>IF($B135="","",IF(COUNTIF($B$2:$B135,$B135)=1,1,0))</f>
        <v/>
      </c>
      <c r="AG135">
        <f>IF($AF135=1,SUMPRODUCT(--($AJ$2:$AJ$1501&lt;$AJ135))+1,"")</f>
        <v/>
      </c>
      <c r="AH135">
        <f>IF($B135="","",IF(OR($M135=TRUE(),$M135="TRUE"),1,0))</f>
        <v/>
      </c>
      <c r="AI135">
        <f>IF($B135="","",IF($V135="Yes",1,0))</f>
        <v/>
      </c>
      <c r="AJ135">
        <f>IF($AF135=1,IFERROR(IF(VALUE($B135)&lt;100000000,VALUE($B135),1000000000),IFERROR(IF(VALUE(MID($B135,2,20))&lt;100000000,VALUE(MID($B135,2,20)),1000000000),1000000000))+ROW()/100000,"")</f>
        <v/>
      </c>
    </row>
    <row r="136">
      <c r="C136" s="11" t="n"/>
      <c r="J136" s="7">
        <f>IF($B136="","",I136*Q136/100)</f>
        <v/>
      </c>
      <c r="P136" s="7" t="n"/>
      <c r="Q136" s="7" t="n"/>
      <c r="R136" s="7">
        <f>IF($B136="","",Q136*W136/100)</f>
        <v/>
      </c>
      <c r="S136" s="7">
        <f>IF($B136="","",Q136-R136)</f>
        <v/>
      </c>
      <c r="T136" s="7">
        <f>IF($B136="","",S136-J136)</f>
        <v/>
      </c>
      <c r="W136">
        <f>IF($B136="","",IF($AI136=1,0,IF($AH136=1,Settings!$C$6,Settings!$C$7))*100)</f>
        <v/>
      </c>
      <c r="AA136" s="7" t="n"/>
      <c r="AD136" s="11" t="n"/>
      <c r="AF136">
        <f>IF($B136="","",IF(COUNTIF($B$2:$B136,$B136)=1,1,0))</f>
        <v/>
      </c>
      <c r="AG136">
        <f>IF($AF136=1,SUMPRODUCT(--($AJ$2:$AJ$1501&lt;$AJ136))+1,"")</f>
        <v/>
      </c>
      <c r="AH136">
        <f>IF($B136="","",IF(OR($M136=TRUE(),$M136="TRUE"),1,0))</f>
        <v/>
      </c>
      <c r="AI136">
        <f>IF($B136="","",IF($V136="Yes",1,0))</f>
        <v/>
      </c>
      <c r="AJ136">
        <f>IF($AF136=1,IFERROR(IF(VALUE($B136)&lt;100000000,VALUE($B136),1000000000),IFERROR(IF(VALUE(MID($B136,2,20))&lt;100000000,VALUE(MID($B136,2,20)),1000000000),1000000000))+ROW()/100000,"")</f>
        <v/>
      </c>
    </row>
    <row r="137">
      <c r="C137" s="11" t="n"/>
      <c r="J137" s="7">
        <f>IF($B137="","",I137*Q137/100)</f>
        <v/>
      </c>
      <c r="P137" s="7" t="n"/>
      <c r="Q137" s="7" t="n"/>
      <c r="R137" s="7">
        <f>IF($B137="","",Q137*W137/100)</f>
        <v/>
      </c>
      <c r="S137" s="7">
        <f>IF($B137="","",Q137-R137)</f>
        <v/>
      </c>
      <c r="T137" s="7">
        <f>IF($B137="","",S137-J137)</f>
        <v/>
      </c>
      <c r="W137">
        <f>IF($B137="","",IF($AI137=1,0,IF($AH137=1,Settings!$C$6,Settings!$C$7))*100)</f>
        <v/>
      </c>
      <c r="AA137" s="7" t="n"/>
      <c r="AD137" s="11" t="n"/>
      <c r="AF137">
        <f>IF($B137="","",IF(COUNTIF($B$2:$B137,$B137)=1,1,0))</f>
        <v/>
      </c>
      <c r="AG137">
        <f>IF($AF137=1,SUMPRODUCT(--($AJ$2:$AJ$1501&lt;$AJ137))+1,"")</f>
        <v/>
      </c>
      <c r="AH137">
        <f>IF($B137="","",IF(OR($M137=TRUE(),$M137="TRUE"),1,0))</f>
        <v/>
      </c>
      <c r="AI137">
        <f>IF($B137="","",IF($V137="Yes",1,0))</f>
        <v/>
      </c>
      <c r="AJ137">
        <f>IF($AF137=1,IFERROR(IF(VALUE($B137)&lt;100000000,VALUE($B137),1000000000),IFERROR(IF(VALUE(MID($B137,2,20))&lt;100000000,VALUE(MID($B137,2,20)),1000000000),1000000000))+ROW()/100000,"")</f>
        <v/>
      </c>
    </row>
    <row r="138">
      <c r="C138" s="11" t="n"/>
      <c r="J138" s="7">
        <f>IF($B138="","",I138*Q138/100)</f>
        <v/>
      </c>
      <c r="P138" s="7" t="n"/>
      <c r="Q138" s="7" t="n"/>
      <c r="R138" s="7">
        <f>IF($B138="","",Q138*W138/100)</f>
        <v/>
      </c>
      <c r="S138" s="7">
        <f>IF($B138="","",Q138-R138)</f>
        <v/>
      </c>
      <c r="T138" s="7">
        <f>IF($B138="","",S138-J138)</f>
        <v/>
      </c>
      <c r="W138">
        <f>IF($B138="","",IF($AI138=1,0,IF($AH138=1,Settings!$C$6,Settings!$C$7))*100)</f>
        <v/>
      </c>
      <c r="AA138" s="7" t="n"/>
      <c r="AD138" s="11" t="n"/>
      <c r="AF138">
        <f>IF($B138="","",IF(COUNTIF($B$2:$B138,$B138)=1,1,0))</f>
        <v/>
      </c>
      <c r="AG138">
        <f>IF($AF138=1,SUMPRODUCT(--($AJ$2:$AJ$1501&lt;$AJ138))+1,"")</f>
        <v/>
      </c>
      <c r="AH138">
        <f>IF($B138="","",IF(OR($M138=TRUE(),$M138="TRUE"),1,0))</f>
        <v/>
      </c>
      <c r="AI138">
        <f>IF($B138="","",IF($V138="Yes",1,0))</f>
        <v/>
      </c>
      <c r="AJ138">
        <f>IF($AF138=1,IFERROR(IF(VALUE($B138)&lt;100000000,VALUE($B138),1000000000),IFERROR(IF(VALUE(MID($B138,2,20))&lt;100000000,VALUE(MID($B138,2,20)),1000000000),1000000000))+ROW()/100000,"")</f>
        <v/>
      </c>
    </row>
    <row r="139">
      <c r="C139" s="11" t="n"/>
      <c r="J139" s="7">
        <f>IF($B139="","",I139*Q139/100)</f>
        <v/>
      </c>
      <c r="P139" s="7" t="n"/>
      <c r="Q139" s="7" t="n"/>
      <c r="R139" s="7">
        <f>IF($B139="","",Q139*W139/100)</f>
        <v/>
      </c>
      <c r="S139" s="7">
        <f>IF($B139="","",Q139-R139)</f>
        <v/>
      </c>
      <c r="T139" s="7">
        <f>IF($B139="","",S139-J139)</f>
        <v/>
      </c>
      <c r="W139">
        <f>IF($B139="","",IF($AI139=1,0,IF($AH139=1,Settings!$C$6,Settings!$C$7))*100)</f>
        <v/>
      </c>
      <c r="AA139" s="7" t="n"/>
      <c r="AD139" s="11" t="n"/>
      <c r="AF139">
        <f>IF($B139="","",IF(COUNTIF($B$2:$B139,$B139)=1,1,0))</f>
        <v/>
      </c>
      <c r="AG139">
        <f>IF($AF139=1,SUMPRODUCT(--($AJ$2:$AJ$1501&lt;$AJ139))+1,"")</f>
        <v/>
      </c>
      <c r="AH139">
        <f>IF($B139="","",IF(OR($M139=TRUE(),$M139="TRUE"),1,0))</f>
        <v/>
      </c>
      <c r="AI139">
        <f>IF($B139="","",IF($V139="Yes",1,0))</f>
        <v/>
      </c>
      <c r="AJ139">
        <f>IF($AF139=1,IFERROR(IF(VALUE($B139)&lt;100000000,VALUE($B139),1000000000),IFERROR(IF(VALUE(MID($B139,2,20))&lt;100000000,VALUE(MID($B139,2,20)),1000000000),1000000000))+ROW()/100000,"")</f>
        <v/>
      </c>
    </row>
    <row r="140">
      <c r="C140" s="11" t="n"/>
      <c r="J140" s="7">
        <f>IF($B140="","",I140*Q140/100)</f>
        <v/>
      </c>
      <c r="P140" s="7" t="n"/>
      <c r="Q140" s="7" t="n"/>
      <c r="R140" s="7">
        <f>IF($B140="","",Q140*W140/100)</f>
        <v/>
      </c>
      <c r="S140" s="7">
        <f>IF($B140="","",Q140-R140)</f>
        <v/>
      </c>
      <c r="T140" s="7">
        <f>IF($B140="","",S140-J140)</f>
        <v/>
      </c>
      <c r="W140">
        <f>IF($B140="","",IF($AI140=1,0,IF($AH140=1,Settings!$C$6,Settings!$C$7))*100)</f>
        <v/>
      </c>
      <c r="AA140" s="7" t="n"/>
      <c r="AD140" s="11" t="n"/>
      <c r="AF140">
        <f>IF($B140="","",IF(COUNTIF($B$2:$B140,$B140)=1,1,0))</f>
        <v/>
      </c>
      <c r="AG140">
        <f>IF($AF140=1,SUMPRODUCT(--($AJ$2:$AJ$1501&lt;$AJ140))+1,"")</f>
        <v/>
      </c>
      <c r="AH140">
        <f>IF($B140="","",IF(OR($M140=TRUE(),$M140="TRUE"),1,0))</f>
        <v/>
      </c>
      <c r="AI140">
        <f>IF($B140="","",IF($V140="Yes",1,0))</f>
        <v/>
      </c>
      <c r="AJ140">
        <f>IF($AF140=1,IFERROR(IF(VALUE($B140)&lt;100000000,VALUE($B140),1000000000),IFERROR(IF(VALUE(MID($B140,2,20))&lt;100000000,VALUE(MID($B140,2,20)),1000000000),1000000000))+ROW()/100000,"")</f>
        <v/>
      </c>
    </row>
    <row r="141">
      <c r="C141" s="11" t="n"/>
      <c r="J141" s="7">
        <f>IF($B141="","",I141*Q141/100)</f>
        <v/>
      </c>
      <c r="P141" s="7" t="n"/>
      <c r="Q141" s="7" t="n"/>
      <c r="R141" s="7">
        <f>IF($B141="","",Q141*W141/100)</f>
        <v/>
      </c>
      <c r="S141" s="7">
        <f>IF($B141="","",Q141-R141)</f>
        <v/>
      </c>
      <c r="T141" s="7">
        <f>IF($B141="","",S141-J141)</f>
        <v/>
      </c>
      <c r="W141">
        <f>IF($B141="","",IF($AI141=1,0,IF($AH141=1,Settings!$C$6,Settings!$C$7))*100)</f>
        <v/>
      </c>
      <c r="AA141" s="7" t="n"/>
      <c r="AD141" s="11" t="n"/>
      <c r="AF141">
        <f>IF($B141="","",IF(COUNTIF($B$2:$B141,$B141)=1,1,0))</f>
        <v/>
      </c>
      <c r="AG141">
        <f>IF($AF141=1,SUMPRODUCT(--($AJ$2:$AJ$1501&lt;$AJ141))+1,"")</f>
        <v/>
      </c>
      <c r="AH141">
        <f>IF($B141="","",IF(OR($M141=TRUE(),$M141="TRUE"),1,0))</f>
        <v/>
      </c>
      <c r="AI141">
        <f>IF($B141="","",IF($V141="Yes",1,0))</f>
        <v/>
      </c>
      <c r="AJ141">
        <f>IF($AF141=1,IFERROR(IF(VALUE($B141)&lt;100000000,VALUE($B141),1000000000),IFERROR(IF(VALUE(MID($B141,2,20))&lt;100000000,VALUE(MID($B141,2,20)),1000000000),1000000000))+ROW()/100000,"")</f>
        <v/>
      </c>
    </row>
    <row r="142">
      <c r="C142" s="11" t="n"/>
      <c r="J142" s="7">
        <f>IF($B142="","",I142*Q142/100)</f>
        <v/>
      </c>
      <c r="P142" s="7" t="n"/>
      <c r="Q142" s="7" t="n"/>
      <c r="R142" s="7">
        <f>IF($B142="","",Q142*W142/100)</f>
        <v/>
      </c>
      <c r="S142" s="7">
        <f>IF($B142="","",Q142-R142)</f>
        <v/>
      </c>
      <c r="T142" s="7">
        <f>IF($B142="","",S142-J142)</f>
        <v/>
      </c>
      <c r="W142">
        <f>IF($B142="","",IF($AI142=1,0,IF($AH142=1,Settings!$C$6,Settings!$C$7))*100)</f>
        <v/>
      </c>
      <c r="AA142" s="7" t="n"/>
      <c r="AD142" s="11" t="n"/>
      <c r="AF142">
        <f>IF($B142="","",IF(COUNTIF($B$2:$B142,$B142)=1,1,0))</f>
        <v/>
      </c>
      <c r="AG142">
        <f>IF($AF142=1,SUMPRODUCT(--($AJ$2:$AJ$1501&lt;$AJ142))+1,"")</f>
        <v/>
      </c>
      <c r="AH142">
        <f>IF($B142="","",IF(OR($M142=TRUE(),$M142="TRUE"),1,0))</f>
        <v/>
      </c>
      <c r="AI142">
        <f>IF($B142="","",IF($V142="Yes",1,0))</f>
        <v/>
      </c>
      <c r="AJ142">
        <f>IF($AF142=1,IFERROR(IF(VALUE($B142)&lt;100000000,VALUE($B142),1000000000),IFERROR(IF(VALUE(MID($B142,2,20))&lt;100000000,VALUE(MID($B142,2,20)),1000000000),1000000000))+ROW()/100000,"")</f>
        <v/>
      </c>
    </row>
    <row r="143">
      <c r="C143" s="11" t="n"/>
      <c r="J143" s="7">
        <f>IF($B143="","",I143*Q143/100)</f>
        <v/>
      </c>
      <c r="P143" s="7" t="n"/>
      <c r="Q143" s="7" t="n"/>
      <c r="R143" s="7">
        <f>IF($B143="","",Q143*W143/100)</f>
        <v/>
      </c>
      <c r="S143" s="7">
        <f>IF($B143="","",Q143-R143)</f>
        <v/>
      </c>
      <c r="T143" s="7">
        <f>IF($B143="","",S143-J143)</f>
        <v/>
      </c>
      <c r="W143">
        <f>IF($B143="","",IF($AI143=1,0,IF($AH143=1,Settings!$C$6,Settings!$C$7))*100)</f>
        <v/>
      </c>
      <c r="AA143" s="7" t="n"/>
      <c r="AD143" s="11" t="n"/>
      <c r="AF143">
        <f>IF($B143="","",IF(COUNTIF($B$2:$B143,$B143)=1,1,0))</f>
        <v/>
      </c>
      <c r="AG143">
        <f>IF($AF143=1,SUMPRODUCT(--($AJ$2:$AJ$1501&lt;$AJ143))+1,"")</f>
        <v/>
      </c>
      <c r="AH143">
        <f>IF($B143="","",IF(OR($M143=TRUE(),$M143="TRUE"),1,0))</f>
        <v/>
      </c>
      <c r="AI143">
        <f>IF($B143="","",IF($V143="Yes",1,0))</f>
        <v/>
      </c>
      <c r="AJ143">
        <f>IF($AF143=1,IFERROR(IF(VALUE($B143)&lt;100000000,VALUE($B143),1000000000),IFERROR(IF(VALUE(MID($B143,2,20))&lt;100000000,VALUE(MID($B143,2,20)),1000000000),1000000000))+ROW()/100000,"")</f>
        <v/>
      </c>
    </row>
    <row r="144">
      <c r="C144" s="11" t="n"/>
      <c r="J144" s="7">
        <f>IF($B144="","",I144*Q144/100)</f>
        <v/>
      </c>
      <c r="P144" s="7" t="n"/>
      <c r="Q144" s="7" t="n"/>
      <c r="R144" s="7">
        <f>IF($B144="","",Q144*W144/100)</f>
        <v/>
      </c>
      <c r="S144" s="7">
        <f>IF($B144="","",Q144-R144)</f>
        <v/>
      </c>
      <c r="T144" s="7">
        <f>IF($B144="","",S144-J144)</f>
        <v/>
      </c>
      <c r="W144">
        <f>IF($B144="","",IF($AI144=1,0,IF($AH144=1,Settings!$C$6,Settings!$C$7))*100)</f>
        <v/>
      </c>
      <c r="AA144" s="7" t="n"/>
      <c r="AD144" s="11" t="n"/>
      <c r="AF144">
        <f>IF($B144="","",IF(COUNTIF($B$2:$B144,$B144)=1,1,0))</f>
        <v/>
      </c>
      <c r="AG144">
        <f>IF($AF144=1,SUMPRODUCT(--($AJ$2:$AJ$1501&lt;$AJ144))+1,"")</f>
        <v/>
      </c>
      <c r="AH144">
        <f>IF($B144="","",IF(OR($M144=TRUE(),$M144="TRUE"),1,0))</f>
        <v/>
      </c>
      <c r="AI144">
        <f>IF($B144="","",IF($V144="Yes",1,0))</f>
        <v/>
      </c>
      <c r="AJ144">
        <f>IF($AF144=1,IFERROR(IF(VALUE($B144)&lt;100000000,VALUE($B144),1000000000),IFERROR(IF(VALUE(MID($B144,2,20))&lt;100000000,VALUE(MID($B144,2,20)),1000000000),1000000000))+ROW()/100000,"")</f>
        <v/>
      </c>
    </row>
    <row r="145">
      <c r="C145" s="11" t="n"/>
      <c r="J145" s="7">
        <f>IF($B145="","",I145*Q145/100)</f>
        <v/>
      </c>
      <c r="P145" s="7" t="n"/>
      <c r="Q145" s="7" t="n"/>
      <c r="R145" s="7">
        <f>IF($B145="","",Q145*W145/100)</f>
        <v/>
      </c>
      <c r="S145" s="7">
        <f>IF($B145="","",Q145-R145)</f>
        <v/>
      </c>
      <c r="T145" s="7">
        <f>IF($B145="","",S145-J145)</f>
        <v/>
      </c>
      <c r="W145">
        <f>IF($B145="","",IF($AI145=1,0,IF($AH145=1,Settings!$C$6,Settings!$C$7))*100)</f>
        <v/>
      </c>
      <c r="AA145" s="7" t="n"/>
      <c r="AD145" s="11" t="n"/>
      <c r="AF145">
        <f>IF($B145="","",IF(COUNTIF($B$2:$B145,$B145)=1,1,0))</f>
        <v/>
      </c>
      <c r="AG145">
        <f>IF($AF145=1,SUMPRODUCT(--($AJ$2:$AJ$1501&lt;$AJ145))+1,"")</f>
        <v/>
      </c>
      <c r="AH145">
        <f>IF($B145="","",IF(OR($M145=TRUE(),$M145="TRUE"),1,0))</f>
        <v/>
      </c>
      <c r="AI145">
        <f>IF($B145="","",IF($V145="Yes",1,0))</f>
        <v/>
      </c>
      <c r="AJ145">
        <f>IF($AF145=1,IFERROR(IF(VALUE($B145)&lt;100000000,VALUE($B145),1000000000),IFERROR(IF(VALUE(MID($B145,2,20))&lt;100000000,VALUE(MID($B145,2,20)),1000000000),1000000000))+ROW()/100000,"")</f>
        <v/>
      </c>
    </row>
    <row r="146">
      <c r="C146" s="11" t="n"/>
      <c r="J146" s="7">
        <f>IF($B146="","",I146*Q146/100)</f>
        <v/>
      </c>
      <c r="P146" s="7" t="n"/>
      <c r="Q146" s="7" t="n"/>
      <c r="R146" s="7">
        <f>IF($B146="","",Q146*W146/100)</f>
        <v/>
      </c>
      <c r="S146" s="7">
        <f>IF($B146="","",Q146-R146)</f>
        <v/>
      </c>
      <c r="T146" s="7">
        <f>IF($B146="","",S146-J146)</f>
        <v/>
      </c>
      <c r="W146">
        <f>IF($B146="","",IF($AI146=1,0,IF($AH146=1,Settings!$C$6,Settings!$C$7))*100)</f>
        <v/>
      </c>
      <c r="AA146" s="7" t="n"/>
      <c r="AD146" s="11" t="n"/>
      <c r="AF146">
        <f>IF($B146="","",IF(COUNTIF($B$2:$B146,$B146)=1,1,0))</f>
        <v/>
      </c>
      <c r="AG146">
        <f>IF($AF146=1,SUMPRODUCT(--($AJ$2:$AJ$1501&lt;$AJ146))+1,"")</f>
        <v/>
      </c>
      <c r="AH146">
        <f>IF($B146="","",IF(OR($M146=TRUE(),$M146="TRUE"),1,0))</f>
        <v/>
      </c>
      <c r="AI146">
        <f>IF($B146="","",IF($V146="Yes",1,0))</f>
        <v/>
      </c>
      <c r="AJ146">
        <f>IF($AF146=1,IFERROR(IF(VALUE($B146)&lt;100000000,VALUE($B146),1000000000),IFERROR(IF(VALUE(MID($B146,2,20))&lt;100000000,VALUE(MID($B146,2,20)),1000000000),1000000000))+ROW()/100000,"")</f>
        <v/>
      </c>
    </row>
    <row r="147">
      <c r="C147" s="11" t="n"/>
      <c r="J147" s="7">
        <f>IF($B147="","",I147*Q147/100)</f>
        <v/>
      </c>
      <c r="P147" s="7" t="n"/>
      <c r="Q147" s="7" t="n"/>
      <c r="R147" s="7">
        <f>IF($B147="","",Q147*W147/100)</f>
        <v/>
      </c>
      <c r="S147" s="7">
        <f>IF($B147="","",Q147-R147)</f>
        <v/>
      </c>
      <c r="T147" s="7">
        <f>IF($B147="","",S147-J147)</f>
        <v/>
      </c>
      <c r="W147">
        <f>IF($B147="","",IF($AI147=1,0,IF($AH147=1,Settings!$C$6,Settings!$C$7))*100)</f>
        <v/>
      </c>
      <c r="AA147" s="7" t="n"/>
      <c r="AD147" s="11" t="n"/>
      <c r="AF147">
        <f>IF($B147="","",IF(COUNTIF($B$2:$B147,$B147)=1,1,0))</f>
        <v/>
      </c>
      <c r="AG147">
        <f>IF($AF147=1,SUMPRODUCT(--($AJ$2:$AJ$1501&lt;$AJ147))+1,"")</f>
        <v/>
      </c>
      <c r="AH147">
        <f>IF($B147="","",IF(OR($M147=TRUE(),$M147="TRUE"),1,0))</f>
        <v/>
      </c>
      <c r="AI147">
        <f>IF($B147="","",IF($V147="Yes",1,0))</f>
        <v/>
      </c>
      <c r="AJ147">
        <f>IF($AF147=1,IFERROR(IF(VALUE($B147)&lt;100000000,VALUE($B147),1000000000),IFERROR(IF(VALUE(MID($B147,2,20))&lt;100000000,VALUE(MID($B147,2,20)),1000000000),1000000000))+ROW()/100000,"")</f>
        <v/>
      </c>
    </row>
    <row r="148">
      <c r="C148" s="11" t="n"/>
      <c r="J148" s="7">
        <f>IF($B148="","",I148*Q148/100)</f>
        <v/>
      </c>
      <c r="P148" s="7" t="n"/>
      <c r="Q148" s="7" t="n"/>
      <c r="R148" s="7">
        <f>IF($B148="","",Q148*W148/100)</f>
        <v/>
      </c>
      <c r="S148" s="7">
        <f>IF($B148="","",Q148-R148)</f>
        <v/>
      </c>
      <c r="T148" s="7">
        <f>IF($B148="","",S148-J148)</f>
        <v/>
      </c>
      <c r="W148">
        <f>IF($B148="","",IF($AI148=1,0,IF($AH148=1,Settings!$C$6,Settings!$C$7))*100)</f>
        <v/>
      </c>
      <c r="AA148" s="7" t="n"/>
      <c r="AD148" s="11" t="n"/>
      <c r="AF148">
        <f>IF($B148="","",IF(COUNTIF($B$2:$B148,$B148)=1,1,0))</f>
        <v/>
      </c>
      <c r="AG148">
        <f>IF($AF148=1,SUMPRODUCT(--($AJ$2:$AJ$1501&lt;$AJ148))+1,"")</f>
        <v/>
      </c>
      <c r="AH148">
        <f>IF($B148="","",IF(OR($M148=TRUE(),$M148="TRUE"),1,0))</f>
        <v/>
      </c>
      <c r="AI148">
        <f>IF($B148="","",IF($V148="Yes",1,0))</f>
        <v/>
      </c>
      <c r="AJ148">
        <f>IF($AF148=1,IFERROR(IF(VALUE($B148)&lt;100000000,VALUE($B148),1000000000),IFERROR(IF(VALUE(MID($B148,2,20))&lt;100000000,VALUE(MID($B148,2,20)),1000000000),1000000000))+ROW()/100000,"")</f>
        <v/>
      </c>
    </row>
    <row r="149">
      <c r="C149" s="11" t="n"/>
      <c r="J149" s="7">
        <f>IF($B149="","",I149*Q149/100)</f>
        <v/>
      </c>
      <c r="P149" s="7" t="n"/>
      <c r="Q149" s="7" t="n"/>
      <c r="R149" s="7">
        <f>IF($B149="","",Q149*W149/100)</f>
        <v/>
      </c>
      <c r="S149" s="7">
        <f>IF($B149="","",Q149-R149)</f>
        <v/>
      </c>
      <c r="T149" s="7">
        <f>IF($B149="","",S149-J149)</f>
        <v/>
      </c>
      <c r="W149">
        <f>IF($B149="","",IF($AI149=1,0,IF($AH149=1,Settings!$C$6,Settings!$C$7))*100)</f>
        <v/>
      </c>
      <c r="AA149" s="7" t="n"/>
      <c r="AD149" s="11" t="n"/>
      <c r="AF149">
        <f>IF($B149="","",IF(COUNTIF($B$2:$B149,$B149)=1,1,0))</f>
        <v/>
      </c>
      <c r="AG149">
        <f>IF($AF149=1,SUMPRODUCT(--($AJ$2:$AJ$1501&lt;$AJ149))+1,"")</f>
        <v/>
      </c>
      <c r="AH149">
        <f>IF($B149="","",IF(OR($M149=TRUE(),$M149="TRUE"),1,0))</f>
        <v/>
      </c>
      <c r="AI149">
        <f>IF($B149="","",IF($V149="Yes",1,0))</f>
        <v/>
      </c>
      <c r="AJ149">
        <f>IF($AF149=1,IFERROR(IF(VALUE($B149)&lt;100000000,VALUE($B149),1000000000),IFERROR(IF(VALUE(MID($B149,2,20))&lt;100000000,VALUE(MID($B149,2,20)),1000000000),1000000000))+ROW()/100000,"")</f>
        <v/>
      </c>
    </row>
    <row r="150">
      <c r="C150" s="11" t="n"/>
      <c r="J150" s="7">
        <f>IF($B150="","",I150*Q150/100)</f>
        <v/>
      </c>
      <c r="P150" s="7" t="n"/>
      <c r="Q150" s="7" t="n"/>
      <c r="R150" s="7">
        <f>IF($B150="","",Q150*W150/100)</f>
        <v/>
      </c>
      <c r="S150" s="7">
        <f>IF($B150="","",Q150-R150)</f>
        <v/>
      </c>
      <c r="T150" s="7">
        <f>IF($B150="","",S150-J150)</f>
        <v/>
      </c>
      <c r="W150">
        <f>IF($B150="","",IF($AI150=1,0,IF($AH150=1,Settings!$C$6,Settings!$C$7))*100)</f>
        <v/>
      </c>
      <c r="AA150" s="7" t="n"/>
      <c r="AD150" s="11" t="n"/>
      <c r="AF150">
        <f>IF($B150="","",IF(COUNTIF($B$2:$B150,$B150)=1,1,0))</f>
        <v/>
      </c>
      <c r="AG150">
        <f>IF($AF150=1,SUMPRODUCT(--($AJ$2:$AJ$1501&lt;$AJ150))+1,"")</f>
        <v/>
      </c>
      <c r="AH150">
        <f>IF($B150="","",IF(OR($M150=TRUE(),$M150="TRUE"),1,0))</f>
        <v/>
      </c>
      <c r="AI150">
        <f>IF($B150="","",IF($V150="Yes",1,0))</f>
        <v/>
      </c>
      <c r="AJ150">
        <f>IF($AF150=1,IFERROR(IF(VALUE($B150)&lt;100000000,VALUE($B150),1000000000),IFERROR(IF(VALUE(MID($B150,2,20))&lt;100000000,VALUE(MID($B150,2,20)),1000000000),1000000000))+ROW()/100000,"")</f>
        <v/>
      </c>
    </row>
    <row r="151">
      <c r="C151" s="11" t="n"/>
      <c r="J151" s="7">
        <f>IF($B151="","",I151*Q151/100)</f>
        <v/>
      </c>
      <c r="P151" s="7" t="n"/>
      <c r="Q151" s="7" t="n"/>
      <c r="R151" s="7">
        <f>IF($B151="","",Q151*W151/100)</f>
        <v/>
      </c>
      <c r="S151" s="7">
        <f>IF($B151="","",Q151-R151)</f>
        <v/>
      </c>
      <c r="T151" s="7">
        <f>IF($B151="","",S151-J151)</f>
        <v/>
      </c>
      <c r="W151">
        <f>IF($B151="","",IF($AI151=1,0,IF($AH151=1,Settings!$C$6,Settings!$C$7))*100)</f>
        <v/>
      </c>
      <c r="AA151" s="7" t="n"/>
      <c r="AD151" s="11" t="n"/>
      <c r="AF151">
        <f>IF($B151="","",IF(COUNTIF($B$2:$B151,$B151)=1,1,0))</f>
        <v/>
      </c>
      <c r="AG151">
        <f>IF($AF151=1,SUMPRODUCT(--($AJ$2:$AJ$1501&lt;$AJ151))+1,"")</f>
        <v/>
      </c>
      <c r="AH151">
        <f>IF($B151="","",IF(OR($M151=TRUE(),$M151="TRUE"),1,0))</f>
        <v/>
      </c>
      <c r="AI151">
        <f>IF($B151="","",IF($V151="Yes",1,0))</f>
        <v/>
      </c>
      <c r="AJ151">
        <f>IF($AF151=1,IFERROR(IF(VALUE($B151)&lt;100000000,VALUE($B151),1000000000),IFERROR(IF(VALUE(MID($B151,2,20))&lt;100000000,VALUE(MID($B151,2,20)),1000000000),1000000000))+ROW()/100000,"")</f>
        <v/>
      </c>
    </row>
    <row r="152">
      <c r="C152" s="11" t="n"/>
      <c r="J152" s="7">
        <f>IF($B152="","",I152*Q152/100)</f>
        <v/>
      </c>
      <c r="P152" s="7" t="n"/>
      <c r="Q152" s="7" t="n"/>
      <c r="R152" s="7">
        <f>IF($B152="","",Q152*W152/100)</f>
        <v/>
      </c>
      <c r="S152" s="7">
        <f>IF($B152="","",Q152-R152)</f>
        <v/>
      </c>
      <c r="T152" s="7">
        <f>IF($B152="","",S152-J152)</f>
        <v/>
      </c>
      <c r="W152">
        <f>IF($B152="","",IF($AI152=1,0,IF($AH152=1,Settings!$C$6,Settings!$C$7))*100)</f>
        <v/>
      </c>
      <c r="AA152" s="7" t="n"/>
      <c r="AD152" s="11" t="n"/>
      <c r="AF152">
        <f>IF($B152="","",IF(COUNTIF($B$2:$B152,$B152)=1,1,0))</f>
        <v/>
      </c>
      <c r="AG152">
        <f>IF($AF152=1,SUMPRODUCT(--($AJ$2:$AJ$1501&lt;$AJ152))+1,"")</f>
        <v/>
      </c>
      <c r="AH152">
        <f>IF($B152="","",IF(OR($M152=TRUE(),$M152="TRUE"),1,0))</f>
        <v/>
      </c>
      <c r="AI152">
        <f>IF($B152="","",IF($V152="Yes",1,0))</f>
        <v/>
      </c>
      <c r="AJ152">
        <f>IF($AF152=1,IFERROR(IF(VALUE($B152)&lt;100000000,VALUE($B152),1000000000),IFERROR(IF(VALUE(MID($B152,2,20))&lt;100000000,VALUE(MID($B152,2,20)),1000000000),1000000000))+ROW()/100000,"")</f>
        <v/>
      </c>
    </row>
    <row r="153">
      <c r="C153" s="11" t="n"/>
      <c r="J153" s="7">
        <f>IF($B153="","",I153*Q153/100)</f>
        <v/>
      </c>
      <c r="P153" s="7" t="n"/>
      <c r="Q153" s="7" t="n"/>
      <c r="R153" s="7">
        <f>IF($B153="","",Q153*W153/100)</f>
        <v/>
      </c>
      <c r="S153" s="7">
        <f>IF($B153="","",Q153-R153)</f>
        <v/>
      </c>
      <c r="T153" s="7">
        <f>IF($B153="","",S153-J153)</f>
        <v/>
      </c>
      <c r="W153">
        <f>IF($B153="","",IF($AI153=1,0,IF($AH153=1,Settings!$C$6,Settings!$C$7))*100)</f>
        <v/>
      </c>
      <c r="AA153" s="7" t="n"/>
      <c r="AD153" s="11" t="n"/>
      <c r="AF153">
        <f>IF($B153="","",IF(COUNTIF($B$2:$B153,$B153)=1,1,0))</f>
        <v/>
      </c>
      <c r="AG153">
        <f>IF($AF153=1,SUMPRODUCT(--($AJ$2:$AJ$1501&lt;$AJ153))+1,"")</f>
        <v/>
      </c>
      <c r="AH153">
        <f>IF($B153="","",IF(OR($M153=TRUE(),$M153="TRUE"),1,0))</f>
        <v/>
      </c>
      <c r="AI153">
        <f>IF($B153="","",IF($V153="Yes",1,0))</f>
        <v/>
      </c>
      <c r="AJ153">
        <f>IF($AF153=1,IFERROR(IF(VALUE($B153)&lt;100000000,VALUE($B153),1000000000),IFERROR(IF(VALUE(MID($B153,2,20))&lt;100000000,VALUE(MID($B153,2,20)),1000000000),1000000000))+ROW()/100000,"")</f>
        <v/>
      </c>
    </row>
    <row r="154">
      <c r="C154" s="11" t="n"/>
      <c r="J154" s="7">
        <f>IF($B154="","",I154*Q154/100)</f>
        <v/>
      </c>
      <c r="P154" s="7" t="n"/>
      <c r="Q154" s="7" t="n"/>
      <c r="R154" s="7">
        <f>IF($B154="","",Q154*W154/100)</f>
        <v/>
      </c>
      <c r="S154" s="7">
        <f>IF($B154="","",Q154-R154)</f>
        <v/>
      </c>
      <c r="T154" s="7">
        <f>IF($B154="","",S154-J154)</f>
        <v/>
      </c>
      <c r="W154">
        <f>IF($B154="","",IF($AI154=1,0,IF($AH154=1,Settings!$C$6,Settings!$C$7))*100)</f>
        <v/>
      </c>
      <c r="AA154" s="7" t="n"/>
      <c r="AD154" s="11" t="n"/>
      <c r="AF154">
        <f>IF($B154="","",IF(COUNTIF($B$2:$B154,$B154)=1,1,0))</f>
        <v/>
      </c>
      <c r="AG154">
        <f>IF($AF154=1,SUMPRODUCT(--($AJ$2:$AJ$1501&lt;$AJ154))+1,"")</f>
        <v/>
      </c>
      <c r="AH154">
        <f>IF($B154="","",IF(OR($M154=TRUE(),$M154="TRUE"),1,0))</f>
        <v/>
      </c>
      <c r="AI154">
        <f>IF($B154="","",IF($V154="Yes",1,0))</f>
        <v/>
      </c>
      <c r="AJ154">
        <f>IF($AF154=1,IFERROR(IF(VALUE($B154)&lt;100000000,VALUE($B154),1000000000),IFERROR(IF(VALUE(MID($B154,2,20))&lt;100000000,VALUE(MID($B154,2,20)),1000000000),1000000000))+ROW()/100000,"")</f>
        <v/>
      </c>
    </row>
    <row r="155">
      <c r="C155" s="11" t="n"/>
      <c r="J155" s="7">
        <f>IF($B155="","",I155*Q155/100)</f>
        <v/>
      </c>
      <c r="P155" s="7" t="n"/>
      <c r="Q155" s="7" t="n"/>
      <c r="R155" s="7">
        <f>IF($B155="","",Q155*W155/100)</f>
        <v/>
      </c>
      <c r="S155" s="7">
        <f>IF($B155="","",Q155-R155)</f>
        <v/>
      </c>
      <c r="T155" s="7">
        <f>IF($B155="","",S155-J155)</f>
        <v/>
      </c>
      <c r="W155">
        <f>IF($B155="","",IF($AI155=1,0,IF($AH155=1,Settings!$C$6,Settings!$C$7))*100)</f>
        <v/>
      </c>
      <c r="AA155" s="7" t="n"/>
      <c r="AD155" s="11" t="n"/>
      <c r="AF155">
        <f>IF($B155="","",IF(COUNTIF($B$2:$B155,$B155)=1,1,0))</f>
        <v/>
      </c>
      <c r="AG155">
        <f>IF($AF155=1,SUMPRODUCT(--($AJ$2:$AJ$1501&lt;$AJ155))+1,"")</f>
        <v/>
      </c>
      <c r="AH155">
        <f>IF($B155="","",IF(OR($M155=TRUE(),$M155="TRUE"),1,0))</f>
        <v/>
      </c>
      <c r="AI155">
        <f>IF($B155="","",IF($V155="Yes",1,0))</f>
        <v/>
      </c>
      <c r="AJ155">
        <f>IF($AF155=1,IFERROR(IF(VALUE($B155)&lt;100000000,VALUE($B155),1000000000),IFERROR(IF(VALUE(MID($B155,2,20))&lt;100000000,VALUE(MID($B155,2,20)),1000000000),1000000000))+ROW()/100000,"")</f>
        <v/>
      </c>
    </row>
    <row r="156">
      <c r="C156" s="11" t="n"/>
      <c r="J156" s="7">
        <f>IF($B156="","",I156*Q156/100)</f>
        <v/>
      </c>
      <c r="P156" s="7" t="n"/>
      <c r="Q156" s="7" t="n"/>
      <c r="R156" s="7">
        <f>IF($B156="","",Q156*W156/100)</f>
        <v/>
      </c>
      <c r="S156" s="7">
        <f>IF($B156="","",Q156-R156)</f>
        <v/>
      </c>
      <c r="T156" s="7">
        <f>IF($B156="","",S156-J156)</f>
        <v/>
      </c>
      <c r="W156">
        <f>IF($B156="","",IF($AI156=1,0,IF($AH156=1,Settings!$C$6,Settings!$C$7))*100)</f>
        <v/>
      </c>
      <c r="AA156" s="7" t="n"/>
      <c r="AD156" s="11" t="n"/>
      <c r="AF156">
        <f>IF($B156="","",IF(COUNTIF($B$2:$B156,$B156)=1,1,0))</f>
        <v/>
      </c>
      <c r="AG156">
        <f>IF($AF156=1,SUMPRODUCT(--($AJ$2:$AJ$1501&lt;$AJ156))+1,"")</f>
        <v/>
      </c>
      <c r="AH156">
        <f>IF($B156="","",IF(OR($M156=TRUE(),$M156="TRUE"),1,0))</f>
        <v/>
      </c>
      <c r="AI156">
        <f>IF($B156="","",IF($V156="Yes",1,0))</f>
        <v/>
      </c>
      <c r="AJ156">
        <f>IF($AF156=1,IFERROR(IF(VALUE($B156)&lt;100000000,VALUE($B156),1000000000),IFERROR(IF(VALUE(MID($B156,2,20))&lt;100000000,VALUE(MID($B156,2,20)),1000000000),1000000000))+ROW()/100000,"")</f>
        <v/>
      </c>
    </row>
    <row r="157">
      <c r="C157" s="11" t="n"/>
      <c r="J157" s="7">
        <f>IF($B157="","",I157*Q157/100)</f>
        <v/>
      </c>
      <c r="P157" s="7" t="n"/>
      <c r="Q157" s="7" t="n"/>
      <c r="R157" s="7">
        <f>IF($B157="","",Q157*W157/100)</f>
        <v/>
      </c>
      <c r="S157" s="7">
        <f>IF($B157="","",Q157-R157)</f>
        <v/>
      </c>
      <c r="T157" s="7">
        <f>IF($B157="","",S157-J157)</f>
        <v/>
      </c>
      <c r="W157">
        <f>IF($B157="","",IF($AI157=1,0,IF($AH157=1,Settings!$C$6,Settings!$C$7))*100)</f>
        <v/>
      </c>
      <c r="AA157" s="7" t="n"/>
      <c r="AD157" s="11" t="n"/>
      <c r="AF157">
        <f>IF($B157="","",IF(COUNTIF($B$2:$B157,$B157)=1,1,0))</f>
        <v/>
      </c>
      <c r="AG157">
        <f>IF($AF157=1,SUMPRODUCT(--($AJ$2:$AJ$1501&lt;$AJ157))+1,"")</f>
        <v/>
      </c>
      <c r="AH157">
        <f>IF($B157="","",IF(OR($M157=TRUE(),$M157="TRUE"),1,0))</f>
        <v/>
      </c>
      <c r="AI157">
        <f>IF($B157="","",IF($V157="Yes",1,0))</f>
        <v/>
      </c>
      <c r="AJ157">
        <f>IF($AF157=1,IFERROR(IF(VALUE($B157)&lt;100000000,VALUE($B157),1000000000),IFERROR(IF(VALUE(MID($B157,2,20))&lt;100000000,VALUE(MID($B157,2,20)),1000000000),1000000000))+ROW()/100000,"")</f>
        <v/>
      </c>
    </row>
    <row r="158">
      <c r="C158" s="11" t="n"/>
      <c r="J158" s="7">
        <f>IF($B158="","",I158*Q158/100)</f>
        <v/>
      </c>
      <c r="P158" s="7" t="n"/>
      <c r="Q158" s="7" t="n"/>
      <c r="R158" s="7">
        <f>IF($B158="","",Q158*W158/100)</f>
        <v/>
      </c>
      <c r="S158" s="7">
        <f>IF($B158="","",Q158-R158)</f>
        <v/>
      </c>
      <c r="T158" s="7">
        <f>IF($B158="","",S158-J158)</f>
        <v/>
      </c>
      <c r="W158">
        <f>IF($B158="","",IF($AI158=1,0,IF($AH158=1,Settings!$C$6,Settings!$C$7))*100)</f>
        <v/>
      </c>
      <c r="AA158" s="7" t="n"/>
      <c r="AD158" s="11" t="n"/>
      <c r="AF158">
        <f>IF($B158="","",IF(COUNTIF($B$2:$B158,$B158)=1,1,0))</f>
        <v/>
      </c>
      <c r="AG158">
        <f>IF($AF158=1,SUMPRODUCT(--($AJ$2:$AJ$1501&lt;$AJ158))+1,"")</f>
        <v/>
      </c>
      <c r="AH158">
        <f>IF($B158="","",IF(OR($M158=TRUE(),$M158="TRUE"),1,0))</f>
        <v/>
      </c>
      <c r="AI158">
        <f>IF($B158="","",IF($V158="Yes",1,0))</f>
        <v/>
      </c>
      <c r="AJ158">
        <f>IF($AF158=1,IFERROR(IF(VALUE($B158)&lt;100000000,VALUE($B158),1000000000),IFERROR(IF(VALUE(MID($B158,2,20))&lt;100000000,VALUE(MID($B158,2,20)),1000000000),1000000000))+ROW()/100000,"")</f>
        <v/>
      </c>
    </row>
    <row r="159">
      <c r="C159" s="11" t="n"/>
      <c r="J159" s="7">
        <f>IF($B159="","",I159*Q159/100)</f>
        <v/>
      </c>
      <c r="P159" s="7" t="n"/>
      <c r="Q159" s="7" t="n"/>
      <c r="R159" s="7">
        <f>IF($B159="","",Q159*W159/100)</f>
        <v/>
      </c>
      <c r="S159" s="7">
        <f>IF($B159="","",Q159-R159)</f>
        <v/>
      </c>
      <c r="T159" s="7">
        <f>IF($B159="","",S159-J159)</f>
        <v/>
      </c>
      <c r="W159">
        <f>IF($B159="","",IF($AI159=1,0,IF($AH159=1,Settings!$C$6,Settings!$C$7))*100)</f>
        <v/>
      </c>
      <c r="AA159" s="7" t="n"/>
      <c r="AD159" s="11" t="n"/>
      <c r="AF159">
        <f>IF($B159="","",IF(COUNTIF($B$2:$B159,$B159)=1,1,0))</f>
        <v/>
      </c>
      <c r="AG159">
        <f>IF($AF159=1,SUMPRODUCT(--($AJ$2:$AJ$1501&lt;$AJ159))+1,"")</f>
        <v/>
      </c>
      <c r="AH159">
        <f>IF($B159="","",IF(OR($M159=TRUE(),$M159="TRUE"),1,0))</f>
        <v/>
      </c>
      <c r="AI159">
        <f>IF($B159="","",IF($V159="Yes",1,0))</f>
        <v/>
      </c>
      <c r="AJ159">
        <f>IF($AF159=1,IFERROR(IF(VALUE($B159)&lt;100000000,VALUE($B159),1000000000),IFERROR(IF(VALUE(MID($B159,2,20))&lt;100000000,VALUE(MID($B159,2,20)),1000000000),1000000000))+ROW()/100000,"")</f>
        <v/>
      </c>
    </row>
    <row r="160">
      <c r="C160" s="11" t="n"/>
      <c r="J160" s="7">
        <f>IF($B160="","",I160*Q160/100)</f>
        <v/>
      </c>
      <c r="P160" s="7" t="n"/>
      <c r="Q160" s="7" t="n"/>
      <c r="R160" s="7">
        <f>IF($B160="","",Q160*W160/100)</f>
        <v/>
      </c>
      <c r="S160" s="7">
        <f>IF($B160="","",Q160-R160)</f>
        <v/>
      </c>
      <c r="T160" s="7">
        <f>IF($B160="","",S160-J160)</f>
        <v/>
      </c>
      <c r="W160">
        <f>IF($B160="","",IF($AI160=1,0,IF($AH160=1,Settings!$C$6,Settings!$C$7))*100)</f>
        <v/>
      </c>
      <c r="AA160" s="7" t="n"/>
      <c r="AD160" s="11" t="n"/>
      <c r="AF160">
        <f>IF($B160="","",IF(COUNTIF($B$2:$B160,$B160)=1,1,0))</f>
        <v/>
      </c>
      <c r="AG160">
        <f>IF($AF160=1,SUMPRODUCT(--($AJ$2:$AJ$1501&lt;$AJ160))+1,"")</f>
        <v/>
      </c>
      <c r="AH160">
        <f>IF($B160="","",IF(OR($M160=TRUE(),$M160="TRUE"),1,0))</f>
        <v/>
      </c>
      <c r="AI160">
        <f>IF($B160="","",IF($V160="Yes",1,0))</f>
        <v/>
      </c>
      <c r="AJ160">
        <f>IF($AF160=1,IFERROR(IF(VALUE($B160)&lt;100000000,VALUE($B160),1000000000),IFERROR(IF(VALUE(MID($B160,2,20))&lt;100000000,VALUE(MID($B160,2,20)),1000000000),1000000000))+ROW()/100000,"")</f>
        <v/>
      </c>
    </row>
    <row r="161">
      <c r="C161" s="11" t="n"/>
      <c r="J161" s="7">
        <f>IF($B161="","",I161*Q161/100)</f>
        <v/>
      </c>
      <c r="P161" s="7" t="n"/>
      <c r="Q161" s="7" t="n"/>
      <c r="R161" s="7">
        <f>IF($B161="","",Q161*W161/100)</f>
        <v/>
      </c>
      <c r="S161" s="7">
        <f>IF($B161="","",Q161-R161)</f>
        <v/>
      </c>
      <c r="T161" s="7">
        <f>IF($B161="","",S161-J161)</f>
        <v/>
      </c>
      <c r="W161">
        <f>IF($B161="","",IF($AI161=1,0,IF($AH161=1,Settings!$C$6,Settings!$C$7))*100)</f>
        <v/>
      </c>
      <c r="AA161" s="7" t="n"/>
      <c r="AD161" s="11" t="n"/>
      <c r="AF161">
        <f>IF($B161="","",IF(COUNTIF($B$2:$B161,$B161)=1,1,0))</f>
        <v/>
      </c>
      <c r="AG161">
        <f>IF($AF161=1,SUMPRODUCT(--($AJ$2:$AJ$1501&lt;$AJ161))+1,"")</f>
        <v/>
      </c>
      <c r="AH161">
        <f>IF($B161="","",IF(OR($M161=TRUE(),$M161="TRUE"),1,0))</f>
        <v/>
      </c>
      <c r="AI161">
        <f>IF($B161="","",IF($V161="Yes",1,0))</f>
        <v/>
      </c>
      <c r="AJ161">
        <f>IF($AF161=1,IFERROR(IF(VALUE($B161)&lt;100000000,VALUE($B161),1000000000),IFERROR(IF(VALUE(MID($B161,2,20))&lt;100000000,VALUE(MID($B161,2,20)),1000000000),1000000000))+ROW()/100000,"")</f>
        <v/>
      </c>
    </row>
    <row r="162">
      <c r="C162" s="11" t="n"/>
      <c r="J162" s="7">
        <f>IF($B162="","",I162*Q162/100)</f>
        <v/>
      </c>
      <c r="P162" s="7" t="n"/>
      <c r="Q162" s="7" t="n"/>
      <c r="R162" s="7">
        <f>IF($B162="","",Q162*W162/100)</f>
        <v/>
      </c>
      <c r="S162" s="7">
        <f>IF($B162="","",Q162-R162)</f>
        <v/>
      </c>
      <c r="T162" s="7">
        <f>IF($B162="","",S162-J162)</f>
        <v/>
      </c>
      <c r="W162">
        <f>IF($B162="","",IF($AI162=1,0,IF($AH162=1,Settings!$C$6,Settings!$C$7))*100)</f>
        <v/>
      </c>
      <c r="AA162" s="7" t="n"/>
      <c r="AD162" s="11" t="n"/>
      <c r="AF162">
        <f>IF($B162="","",IF(COUNTIF($B$2:$B162,$B162)=1,1,0))</f>
        <v/>
      </c>
      <c r="AG162">
        <f>IF($AF162=1,SUMPRODUCT(--($AJ$2:$AJ$1501&lt;$AJ162))+1,"")</f>
        <v/>
      </c>
      <c r="AH162">
        <f>IF($B162="","",IF(OR($M162=TRUE(),$M162="TRUE"),1,0))</f>
        <v/>
      </c>
      <c r="AI162">
        <f>IF($B162="","",IF($V162="Yes",1,0))</f>
        <v/>
      </c>
      <c r="AJ162">
        <f>IF($AF162=1,IFERROR(IF(VALUE($B162)&lt;100000000,VALUE($B162),1000000000),IFERROR(IF(VALUE(MID($B162,2,20))&lt;100000000,VALUE(MID($B162,2,20)),1000000000),1000000000))+ROW()/100000,"")</f>
        <v/>
      </c>
    </row>
    <row r="163">
      <c r="C163" s="11" t="n"/>
      <c r="J163" s="7">
        <f>IF($B163="","",I163*Q163/100)</f>
        <v/>
      </c>
      <c r="P163" s="7" t="n"/>
      <c r="Q163" s="7" t="n"/>
      <c r="R163" s="7">
        <f>IF($B163="","",Q163*W163/100)</f>
        <v/>
      </c>
      <c r="S163" s="7">
        <f>IF($B163="","",Q163-R163)</f>
        <v/>
      </c>
      <c r="T163" s="7">
        <f>IF($B163="","",S163-J163)</f>
        <v/>
      </c>
      <c r="W163">
        <f>IF($B163="","",IF($AI163=1,0,IF($AH163=1,Settings!$C$6,Settings!$C$7))*100)</f>
        <v/>
      </c>
      <c r="AA163" s="7" t="n"/>
      <c r="AD163" s="11" t="n"/>
      <c r="AF163">
        <f>IF($B163="","",IF(COUNTIF($B$2:$B163,$B163)=1,1,0))</f>
        <v/>
      </c>
      <c r="AG163">
        <f>IF($AF163=1,SUMPRODUCT(--($AJ$2:$AJ$1501&lt;$AJ163))+1,"")</f>
        <v/>
      </c>
      <c r="AH163">
        <f>IF($B163="","",IF(OR($M163=TRUE(),$M163="TRUE"),1,0))</f>
        <v/>
      </c>
      <c r="AI163">
        <f>IF($B163="","",IF($V163="Yes",1,0))</f>
        <v/>
      </c>
      <c r="AJ163">
        <f>IF($AF163=1,IFERROR(IF(VALUE($B163)&lt;100000000,VALUE($B163),1000000000),IFERROR(IF(VALUE(MID($B163,2,20))&lt;100000000,VALUE(MID($B163,2,20)),1000000000),1000000000))+ROW()/100000,"")</f>
        <v/>
      </c>
    </row>
    <row r="164">
      <c r="C164" s="11" t="n"/>
      <c r="J164" s="7">
        <f>IF($B164="","",I164*Q164/100)</f>
        <v/>
      </c>
      <c r="P164" s="7" t="n"/>
      <c r="Q164" s="7" t="n"/>
      <c r="R164" s="7">
        <f>IF($B164="","",Q164*W164/100)</f>
        <v/>
      </c>
      <c r="S164" s="7">
        <f>IF($B164="","",Q164-R164)</f>
        <v/>
      </c>
      <c r="T164" s="7">
        <f>IF($B164="","",S164-J164)</f>
        <v/>
      </c>
      <c r="W164">
        <f>IF($B164="","",IF($AI164=1,0,IF($AH164=1,Settings!$C$6,Settings!$C$7))*100)</f>
        <v/>
      </c>
      <c r="AA164" s="7" t="n"/>
      <c r="AD164" s="11" t="n"/>
      <c r="AF164">
        <f>IF($B164="","",IF(COUNTIF($B$2:$B164,$B164)=1,1,0))</f>
        <v/>
      </c>
      <c r="AG164">
        <f>IF($AF164=1,SUMPRODUCT(--($AJ$2:$AJ$1501&lt;$AJ164))+1,"")</f>
        <v/>
      </c>
      <c r="AH164">
        <f>IF($B164="","",IF(OR($M164=TRUE(),$M164="TRUE"),1,0))</f>
        <v/>
      </c>
      <c r="AI164">
        <f>IF($B164="","",IF($V164="Yes",1,0))</f>
        <v/>
      </c>
      <c r="AJ164">
        <f>IF($AF164=1,IFERROR(IF(VALUE($B164)&lt;100000000,VALUE($B164),1000000000),IFERROR(IF(VALUE(MID($B164,2,20))&lt;100000000,VALUE(MID($B164,2,20)),1000000000),1000000000))+ROW()/100000,"")</f>
        <v/>
      </c>
    </row>
    <row r="165">
      <c r="C165" s="11" t="n"/>
      <c r="J165" s="7">
        <f>IF($B165="","",I165*Q165/100)</f>
        <v/>
      </c>
      <c r="P165" s="7" t="n"/>
      <c r="Q165" s="7" t="n"/>
      <c r="R165" s="7">
        <f>IF($B165="","",Q165*W165/100)</f>
        <v/>
      </c>
      <c r="S165" s="7">
        <f>IF($B165="","",Q165-R165)</f>
        <v/>
      </c>
      <c r="T165" s="7">
        <f>IF($B165="","",S165-J165)</f>
        <v/>
      </c>
      <c r="W165">
        <f>IF($B165="","",IF($AI165=1,0,IF($AH165=1,Settings!$C$6,Settings!$C$7))*100)</f>
        <v/>
      </c>
      <c r="AA165" s="7" t="n"/>
      <c r="AD165" s="11" t="n"/>
      <c r="AF165">
        <f>IF($B165="","",IF(COUNTIF($B$2:$B165,$B165)=1,1,0))</f>
        <v/>
      </c>
      <c r="AG165">
        <f>IF($AF165=1,SUMPRODUCT(--($AJ$2:$AJ$1501&lt;$AJ165))+1,"")</f>
        <v/>
      </c>
      <c r="AH165">
        <f>IF($B165="","",IF(OR($M165=TRUE(),$M165="TRUE"),1,0))</f>
        <v/>
      </c>
      <c r="AI165">
        <f>IF($B165="","",IF($V165="Yes",1,0))</f>
        <v/>
      </c>
      <c r="AJ165">
        <f>IF($AF165=1,IFERROR(IF(VALUE($B165)&lt;100000000,VALUE($B165),1000000000),IFERROR(IF(VALUE(MID($B165,2,20))&lt;100000000,VALUE(MID($B165,2,20)),1000000000),1000000000))+ROW()/100000,"")</f>
        <v/>
      </c>
    </row>
    <row r="166">
      <c r="C166" s="11" t="n"/>
      <c r="J166" s="7">
        <f>IF($B166="","",I166*Q166/100)</f>
        <v/>
      </c>
      <c r="P166" s="7" t="n"/>
      <c r="Q166" s="7" t="n"/>
      <c r="R166" s="7">
        <f>IF($B166="","",Q166*W166/100)</f>
        <v/>
      </c>
      <c r="S166" s="7">
        <f>IF($B166="","",Q166-R166)</f>
        <v/>
      </c>
      <c r="T166" s="7">
        <f>IF($B166="","",S166-J166)</f>
        <v/>
      </c>
      <c r="W166">
        <f>IF($B166="","",IF($AI166=1,0,IF($AH166=1,Settings!$C$6,Settings!$C$7))*100)</f>
        <v/>
      </c>
      <c r="AA166" s="7" t="n"/>
      <c r="AD166" s="11" t="n"/>
      <c r="AF166">
        <f>IF($B166="","",IF(COUNTIF($B$2:$B166,$B166)=1,1,0))</f>
        <v/>
      </c>
      <c r="AG166">
        <f>IF($AF166=1,SUMPRODUCT(--($AJ$2:$AJ$1501&lt;$AJ166))+1,"")</f>
        <v/>
      </c>
      <c r="AH166">
        <f>IF($B166="","",IF(OR($M166=TRUE(),$M166="TRUE"),1,0))</f>
        <v/>
      </c>
      <c r="AI166">
        <f>IF($B166="","",IF($V166="Yes",1,0))</f>
        <v/>
      </c>
      <c r="AJ166">
        <f>IF($AF166=1,IFERROR(IF(VALUE($B166)&lt;100000000,VALUE($B166),1000000000),IFERROR(IF(VALUE(MID($B166,2,20))&lt;100000000,VALUE(MID($B166,2,20)),1000000000),1000000000))+ROW()/100000,"")</f>
        <v/>
      </c>
    </row>
    <row r="167">
      <c r="C167" s="11" t="n"/>
      <c r="J167" s="7">
        <f>IF($B167="","",I167*Q167/100)</f>
        <v/>
      </c>
      <c r="P167" s="7" t="n"/>
      <c r="Q167" s="7" t="n"/>
      <c r="R167" s="7">
        <f>IF($B167="","",Q167*W167/100)</f>
        <v/>
      </c>
      <c r="S167" s="7">
        <f>IF($B167="","",Q167-R167)</f>
        <v/>
      </c>
      <c r="T167" s="7">
        <f>IF($B167="","",S167-J167)</f>
        <v/>
      </c>
      <c r="W167">
        <f>IF($B167="","",IF($AI167=1,0,IF($AH167=1,Settings!$C$6,Settings!$C$7))*100)</f>
        <v/>
      </c>
      <c r="AA167" s="7" t="n"/>
      <c r="AD167" s="11" t="n"/>
      <c r="AF167">
        <f>IF($B167="","",IF(COUNTIF($B$2:$B167,$B167)=1,1,0))</f>
        <v/>
      </c>
      <c r="AG167">
        <f>IF($AF167=1,SUMPRODUCT(--($AJ$2:$AJ$1501&lt;$AJ167))+1,"")</f>
        <v/>
      </c>
      <c r="AH167">
        <f>IF($B167="","",IF(OR($M167=TRUE(),$M167="TRUE"),1,0))</f>
        <v/>
      </c>
      <c r="AI167">
        <f>IF($B167="","",IF($V167="Yes",1,0))</f>
        <v/>
      </c>
      <c r="AJ167">
        <f>IF($AF167=1,IFERROR(IF(VALUE($B167)&lt;100000000,VALUE($B167),1000000000),IFERROR(IF(VALUE(MID($B167,2,20))&lt;100000000,VALUE(MID($B167,2,20)),1000000000),1000000000))+ROW()/100000,"")</f>
        <v/>
      </c>
    </row>
    <row r="168">
      <c r="C168" s="11" t="n"/>
      <c r="J168" s="7">
        <f>IF($B168="","",I168*Q168/100)</f>
        <v/>
      </c>
      <c r="P168" s="7" t="n"/>
      <c r="Q168" s="7" t="n"/>
      <c r="R168" s="7">
        <f>IF($B168="","",Q168*W168/100)</f>
        <v/>
      </c>
      <c r="S168" s="7">
        <f>IF($B168="","",Q168-R168)</f>
        <v/>
      </c>
      <c r="T168" s="7">
        <f>IF($B168="","",S168-J168)</f>
        <v/>
      </c>
      <c r="W168">
        <f>IF($B168="","",IF($AI168=1,0,IF($AH168=1,Settings!$C$6,Settings!$C$7))*100)</f>
        <v/>
      </c>
      <c r="AA168" s="7" t="n"/>
      <c r="AD168" s="11" t="n"/>
      <c r="AF168">
        <f>IF($B168="","",IF(COUNTIF($B$2:$B168,$B168)=1,1,0))</f>
        <v/>
      </c>
      <c r="AG168">
        <f>IF($AF168=1,SUMPRODUCT(--($AJ$2:$AJ$1501&lt;$AJ168))+1,"")</f>
        <v/>
      </c>
      <c r="AH168">
        <f>IF($B168="","",IF(OR($M168=TRUE(),$M168="TRUE"),1,0))</f>
        <v/>
      </c>
      <c r="AI168">
        <f>IF($B168="","",IF($V168="Yes",1,0))</f>
        <v/>
      </c>
      <c r="AJ168">
        <f>IF($AF168=1,IFERROR(IF(VALUE($B168)&lt;100000000,VALUE($B168),1000000000),IFERROR(IF(VALUE(MID($B168,2,20))&lt;100000000,VALUE(MID($B168,2,20)),1000000000),1000000000))+ROW()/100000,"")</f>
        <v/>
      </c>
    </row>
    <row r="169">
      <c r="C169" s="11" t="n"/>
      <c r="J169" s="7">
        <f>IF($B169="","",I169*Q169/100)</f>
        <v/>
      </c>
      <c r="P169" s="7" t="n"/>
      <c r="Q169" s="7" t="n"/>
      <c r="R169" s="7">
        <f>IF($B169="","",Q169*W169/100)</f>
        <v/>
      </c>
      <c r="S169" s="7">
        <f>IF($B169="","",Q169-R169)</f>
        <v/>
      </c>
      <c r="T169" s="7">
        <f>IF($B169="","",S169-J169)</f>
        <v/>
      </c>
      <c r="W169">
        <f>IF($B169="","",IF($AI169=1,0,IF($AH169=1,Settings!$C$6,Settings!$C$7))*100)</f>
        <v/>
      </c>
      <c r="AA169" s="7" t="n"/>
      <c r="AD169" s="11" t="n"/>
      <c r="AF169">
        <f>IF($B169="","",IF(COUNTIF($B$2:$B169,$B169)=1,1,0))</f>
        <v/>
      </c>
      <c r="AG169">
        <f>IF($AF169=1,SUMPRODUCT(--($AJ$2:$AJ$1501&lt;$AJ169))+1,"")</f>
        <v/>
      </c>
      <c r="AH169">
        <f>IF($B169="","",IF(OR($M169=TRUE(),$M169="TRUE"),1,0))</f>
        <v/>
      </c>
      <c r="AI169">
        <f>IF($B169="","",IF($V169="Yes",1,0))</f>
        <v/>
      </c>
      <c r="AJ169">
        <f>IF($AF169=1,IFERROR(IF(VALUE($B169)&lt;100000000,VALUE($B169),1000000000),IFERROR(IF(VALUE(MID($B169,2,20))&lt;100000000,VALUE(MID($B169,2,20)),1000000000),1000000000))+ROW()/100000,"")</f>
        <v/>
      </c>
    </row>
    <row r="170">
      <c r="C170" s="11" t="n"/>
      <c r="J170" s="7">
        <f>IF($B170="","",I170*Q170/100)</f>
        <v/>
      </c>
      <c r="P170" s="7" t="n"/>
      <c r="Q170" s="7" t="n"/>
      <c r="R170" s="7">
        <f>IF($B170="","",Q170*W170/100)</f>
        <v/>
      </c>
      <c r="S170" s="7">
        <f>IF($B170="","",Q170-R170)</f>
        <v/>
      </c>
      <c r="T170" s="7">
        <f>IF($B170="","",S170-J170)</f>
        <v/>
      </c>
      <c r="W170">
        <f>IF($B170="","",IF($AI170=1,0,IF($AH170=1,Settings!$C$6,Settings!$C$7))*100)</f>
        <v/>
      </c>
      <c r="AA170" s="7" t="n"/>
      <c r="AD170" s="11" t="n"/>
      <c r="AF170">
        <f>IF($B170="","",IF(COUNTIF($B$2:$B170,$B170)=1,1,0))</f>
        <v/>
      </c>
      <c r="AG170">
        <f>IF($AF170=1,SUMPRODUCT(--($AJ$2:$AJ$1501&lt;$AJ170))+1,"")</f>
        <v/>
      </c>
      <c r="AH170">
        <f>IF($B170="","",IF(OR($M170=TRUE(),$M170="TRUE"),1,0))</f>
        <v/>
      </c>
      <c r="AI170">
        <f>IF($B170="","",IF($V170="Yes",1,0))</f>
        <v/>
      </c>
      <c r="AJ170">
        <f>IF($AF170=1,IFERROR(IF(VALUE($B170)&lt;100000000,VALUE($B170),1000000000),IFERROR(IF(VALUE(MID($B170,2,20))&lt;100000000,VALUE(MID($B170,2,20)),1000000000),1000000000))+ROW()/100000,"")</f>
        <v/>
      </c>
    </row>
    <row r="171">
      <c r="C171" s="11" t="n"/>
      <c r="J171" s="7">
        <f>IF($B171="","",I171*Q171/100)</f>
        <v/>
      </c>
      <c r="P171" s="7" t="n"/>
      <c r="Q171" s="7" t="n"/>
      <c r="R171" s="7">
        <f>IF($B171="","",Q171*W171/100)</f>
        <v/>
      </c>
      <c r="S171" s="7">
        <f>IF($B171="","",Q171-R171)</f>
        <v/>
      </c>
      <c r="T171" s="7">
        <f>IF($B171="","",S171-J171)</f>
        <v/>
      </c>
      <c r="W171">
        <f>IF($B171="","",IF($AI171=1,0,IF($AH171=1,Settings!$C$6,Settings!$C$7))*100)</f>
        <v/>
      </c>
      <c r="AA171" s="7" t="n"/>
      <c r="AD171" s="11" t="n"/>
      <c r="AF171">
        <f>IF($B171="","",IF(COUNTIF($B$2:$B171,$B171)=1,1,0))</f>
        <v/>
      </c>
      <c r="AG171">
        <f>IF($AF171=1,SUMPRODUCT(--($AJ$2:$AJ$1501&lt;$AJ171))+1,"")</f>
        <v/>
      </c>
      <c r="AH171">
        <f>IF($B171="","",IF(OR($M171=TRUE(),$M171="TRUE"),1,0))</f>
        <v/>
      </c>
      <c r="AI171">
        <f>IF($B171="","",IF($V171="Yes",1,0))</f>
        <v/>
      </c>
      <c r="AJ171">
        <f>IF($AF171=1,IFERROR(IF(VALUE($B171)&lt;100000000,VALUE($B171),1000000000),IFERROR(IF(VALUE(MID($B171,2,20))&lt;100000000,VALUE(MID($B171,2,20)),1000000000),1000000000))+ROW()/100000,"")</f>
        <v/>
      </c>
    </row>
    <row r="172">
      <c r="C172" s="11" t="n"/>
      <c r="J172" s="7">
        <f>IF($B172="","",I172*Q172/100)</f>
        <v/>
      </c>
      <c r="P172" s="7" t="n"/>
      <c r="Q172" s="7" t="n"/>
      <c r="R172" s="7">
        <f>IF($B172="","",Q172*W172/100)</f>
        <v/>
      </c>
      <c r="S172" s="7">
        <f>IF($B172="","",Q172-R172)</f>
        <v/>
      </c>
      <c r="T172" s="7">
        <f>IF($B172="","",S172-J172)</f>
        <v/>
      </c>
      <c r="W172">
        <f>IF($B172="","",IF($AI172=1,0,IF($AH172=1,Settings!$C$6,Settings!$C$7))*100)</f>
        <v/>
      </c>
      <c r="AA172" s="7" t="n"/>
      <c r="AD172" s="11" t="n"/>
      <c r="AF172">
        <f>IF($B172="","",IF(COUNTIF($B$2:$B172,$B172)=1,1,0))</f>
        <v/>
      </c>
      <c r="AG172">
        <f>IF($AF172=1,SUMPRODUCT(--($AJ$2:$AJ$1501&lt;$AJ172))+1,"")</f>
        <v/>
      </c>
      <c r="AH172">
        <f>IF($B172="","",IF(OR($M172=TRUE(),$M172="TRUE"),1,0))</f>
        <v/>
      </c>
      <c r="AI172">
        <f>IF($B172="","",IF($V172="Yes",1,0))</f>
        <v/>
      </c>
      <c r="AJ172">
        <f>IF($AF172=1,IFERROR(IF(VALUE($B172)&lt;100000000,VALUE($B172),1000000000),IFERROR(IF(VALUE(MID($B172,2,20))&lt;100000000,VALUE(MID($B172,2,20)),1000000000),1000000000))+ROW()/100000,"")</f>
        <v/>
      </c>
    </row>
    <row r="173">
      <c r="C173" s="11" t="n"/>
      <c r="J173" s="7">
        <f>IF($B173="","",I173*Q173/100)</f>
        <v/>
      </c>
      <c r="P173" s="7" t="n"/>
      <c r="Q173" s="7" t="n"/>
      <c r="R173" s="7">
        <f>IF($B173="","",Q173*W173/100)</f>
        <v/>
      </c>
      <c r="S173" s="7">
        <f>IF($B173="","",Q173-R173)</f>
        <v/>
      </c>
      <c r="T173" s="7">
        <f>IF($B173="","",S173-J173)</f>
        <v/>
      </c>
      <c r="W173">
        <f>IF($B173="","",IF($AI173=1,0,IF($AH173=1,Settings!$C$6,Settings!$C$7))*100)</f>
        <v/>
      </c>
      <c r="AA173" s="7" t="n"/>
      <c r="AD173" s="11" t="n"/>
      <c r="AF173">
        <f>IF($B173="","",IF(COUNTIF($B$2:$B173,$B173)=1,1,0))</f>
        <v/>
      </c>
      <c r="AG173">
        <f>IF($AF173=1,SUMPRODUCT(--($AJ$2:$AJ$1501&lt;$AJ173))+1,"")</f>
        <v/>
      </c>
      <c r="AH173">
        <f>IF($B173="","",IF(OR($M173=TRUE(),$M173="TRUE"),1,0))</f>
        <v/>
      </c>
      <c r="AI173">
        <f>IF($B173="","",IF($V173="Yes",1,0))</f>
        <v/>
      </c>
      <c r="AJ173">
        <f>IF($AF173=1,IFERROR(IF(VALUE($B173)&lt;100000000,VALUE($B173),1000000000),IFERROR(IF(VALUE(MID($B173,2,20))&lt;100000000,VALUE(MID($B173,2,20)),1000000000),1000000000))+ROW()/100000,"")</f>
        <v/>
      </c>
    </row>
    <row r="174">
      <c r="C174" s="11" t="n"/>
      <c r="J174" s="7">
        <f>IF($B174="","",I174*Q174/100)</f>
        <v/>
      </c>
      <c r="P174" s="7" t="n"/>
      <c r="Q174" s="7" t="n"/>
      <c r="R174" s="7">
        <f>IF($B174="","",Q174*W174/100)</f>
        <v/>
      </c>
      <c r="S174" s="7">
        <f>IF($B174="","",Q174-R174)</f>
        <v/>
      </c>
      <c r="T174" s="7">
        <f>IF($B174="","",S174-J174)</f>
        <v/>
      </c>
      <c r="W174">
        <f>IF($B174="","",IF($AI174=1,0,IF($AH174=1,Settings!$C$6,Settings!$C$7))*100)</f>
        <v/>
      </c>
      <c r="AA174" s="7" t="n"/>
      <c r="AD174" s="11" t="n"/>
      <c r="AF174">
        <f>IF($B174="","",IF(COUNTIF($B$2:$B174,$B174)=1,1,0))</f>
        <v/>
      </c>
      <c r="AG174">
        <f>IF($AF174=1,SUMPRODUCT(--($AJ$2:$AJ$1501&lt;$AJ174))+1,"")</f>
        <v/>
      </c>
      <c r="AH174">
        <f>IF($B174="","",IF(OR($M174=TRUE(),$M174="TRUE"),1,0))</f>
        <v/>
      </c>
      <c r="AI174">
        <f>IF($B174="","",IF($V174="Yes",1,0))</f>
        <v/>
      </c>
      <c r="AJ174">
        <f>IF($AF174=1,IFERROR(IF(VALUE($B174)&lt;100000000,VALUE($B174),1000000000),IFERROR(IF(VALUE(MID($B174,2,20))&lt;100000000,VALUE(MID($B174,2,20)),1000000000),1000000000))+ROW()/100000,"")</f>
        <v/>
      </c>
    </row>
    <row r="175">
      <c r="C175" s="11" t="n"/>
      <c r="J175" s="7">
        <f>IF($B175="","",I175*Q175/100)</f>
        <v/>
      </c>
      <c r="P175" s="7" t="n"/>
      <c r="Q175" s="7" t="n"/>
      <c r="R175" s="7">
        <f>IF($B175="","",Q175*W175/100)</f>
        <v/>
      </c>
      <c r="S175" s="7">
        <f>IF($B175="","",Q175-R175)</f>
        <v/>
      </c>
      <c r="T175" s="7">
        <f>IF($B175="","",S175-J175)</f>
        <v/>
      </c>
      <c r="W175">
        <f>IF($B175="","",IF($AI175=1,0,IF($AH175=1,Settings!$C$6,Settings!$C$7))*100)</f>
        <v/>
      </c>
      <c r="AA175" s="7" t="n"/>
      <c r="AD175" s="11" t="n"/>
      <c r="AF175">
        <f>IF($B175="","",IF(COUNTIF($B$2:$B175,$B175)=1,1,0))</f>
        <v/>
      </c>
      <c r="AG175">
        <f>IF($AF175=1,SUMPRODUCT(--($AJ$2:$AJ$1501&lt;$AJ175))+1,"")</f>
        <v/>
      </c>
      <c r="AH175">
        <f>IF($B175="","",IF(OR($M175=TRUE(),$M175="TRUE"),1,0))</f>
        <v/>
      </c>
      <c r="AI175">
        <f>IF($B175="","",IF($V175="Yes",1,0))</f>
        <v/>
      </c>
      <c r="AJ175">
        <f>IF($AF175=1,IFERROR(IF(VALUE($B175)&lt;100000000,VALUE($B175),1000000000),IFERROR(IF(VALUE(MID($B175,2,20))&lt;100000000,VALUE(MID($B175,2,20)),1000000000),1000000000))+ROW()/100000,"")</f>
        <v/>
      </c>
    </row>
    <row r="176">
      <c r="C176" s="11" t="n"/>
      <c r="J176" s="7">
        <f>IF($B176="","",I176*Q176/100)</f>
        <v/>
      </c>
      <c r="P176" s="7" t="n"/>
      <c r="Q176" s="7" t="n"/>
      <c r="R176" s="7">
        <f>IF($B176="","",Q176*W176/100)</f>
        <v/>
      </c>
      <c r="S176" s="7">
        <f>IF($B176="","",Q176-R176)</f>
        <v/>
      </c>
      <c r="T176" s="7">
        <f>IF($B176="","",S176-J176)</f>
        <v/>
      </c>
      <c r="W176">
        <f>IF($B176="","",IF($AI176=1,0,IF($AH176=1,Settings!$C$6,Settings!$C$7))*100)</f>
        <v/>
      </c>
      <c r="AA176" s="7" t="n"/>
      <c r="AD176" s="11" t="n"/>
      <c r="AF176">
        <f>IF($B176="","",IF(COUNTIF($B$2:$B176,$B176)=1,1,0))</f>
        <v/>
      </c>
      <c r="AG176">
        <f>IF($AF176=1,SUMPRODUCT(--($AJ$2:$AJ$1501&lt;$AJ176))+1,"")</f>
        <v/>
      </c>
      <c r="AH176">
        <f>IF($B176="","",IF(OR($M176=TRUE(),$M176="TRUE"),1,0))</f>
        <v/>
      </c>
      <c r="AI176">
        <f>IF($B176="","",IF($V176="Yes",1,0))</f>
        <v/>
      </c>
      <c r="AJ176">
        <f>IF($AF176=1,IFERROR(IF(VALUE($B176)&lt;100000000,VALUE($B176),1000000000),IFERROR(IF(VALUE(MID($B176,2,20))&lt;100000000,VALUE(MID($B176,2,20)),1000000000),1000000000))+ROW()/100000,"")</f>
        <v/>
      </c>
    </row>
    <row r="177">
      <c r="C177" s="11" t="n"/>
      <c r="J177" s="7">
        <f>IF($B177="","",I177*Q177/100)</f>
        <v/>
      </c>
      <c r="P177" s="7" t="n"/>
      <c r="Q177" s="7" t="n"/>
      <c r="R177" s="7">
        <f>IF($B177="","",Q177*W177/100)</f>
        <v/>
      </c>
      <c r="S177" s="7">
        <f>IF($B177="","",Q177-R177)</f>
        <v/>
      </c>
      <c r="T177" s="7">
        <f>IF($B177="","",S177-J177)</f>
        <v/>
      </c>
      <c r="W177">
        <f>IF($B177="","",IF($AI177=1,0,IF($AH177=1,Settings!$C$6,Settings!$C$7))*100)</f>
        <v/>
      </c>
      <c r="AA177" s="7" t="n"/>
      <c r="AD177" s="11" t="n"/>
      <c r="AF177">
        <f>IF($B177="","",IF(COUNTIF($B$2:$B177,$B177)=1,1,0))</f>
        <v/>
      </c>
      <c r="AG177">
        <f>IF($AF177=1,SUMPRODUCT(--($AJ$2:$AJ$1501&lt;$AJ177))+1,"")</f>
        <v/>
      </c>
      <c r="AH177">
        <f>IF($B177="","",IF(OR($M177=TRUE(),$M177="TRUE"),1,0))</f>
        <v/>
      </c>
      <c r="AI177">
        <f>IF($B177="","",IF($V177="Yes",1,0))</f>
        <v/>
      </c>
      <c r="AJ177">
        <f>IF($AF177=1,IFERROR(IF(VALUE($B177)&lt;100000000,VALUE($B177),1000000000),IFERROR(IF(VALUE(MID($B177,2,20))&lt;100000000,VALUE(MID($B177,2,20)),1000000000),1000000000))+ROW()/100000,"")</f>
        <v/>
      </c>
    </row>
    <row r="178">
      <c r="C178" s="11" t="n"/>
      <c r="J178" s="7">
        <f>IF($B178="","",I178*Q178/100)</f>
        <v/>
      </c>
      <c r="P178" s="7" t="n"/>
      <c r="Q178" s="7" t="n"/>
      <c r="R178" s="7">
        <f>IF($B178="","",Q178*W178/100)</f>
        <v/>
      </c>
      <c r="S178" s="7">
        <f>IF($B178="","",Q178-R178)</f>
        <v/>
      </c>
      <c r="T178" s="7">
        <f>IF($B178="","",S178-J178)</f>
        <v/>
      </c>
      <c r="W178">
        <f>IF($B178="","",IF($AI178=1,0,IF($AH178=1,Settings!$C$6,Settings!$C$7))*100)</f>
        <v/>
      </c>
      <c r="AA178" s="7" t="n"/>
      <c r="AD178" s="11" t="n"/>
      <c r="AF178">
        <f>IF($B178="","",IF(COUNTIF($B$2:$B178,$B178)=1,1,0))</f>
        <v/>
      </c>
      <c r="AG178">
        <f>IF($AF178=1,SUMPRODUCT(--($AJ$2:$AJ$1501&lt;$AJ178))+1,"")</f>
        <v/>
      </c>
      <c r="AH178">
        <f>IF($B178="","",IF(OR($M178=TRUE(),$M178="TRUE"),1,0))</f>
        <v/>
      </c>
      <c r="AI178">
        <f>IF($B178="","",IF($V178="Yes",1,0))</f>
        <v/>
      </c>
      <c r="AJ178">
        <f>IF($AF178=1,IFERROR(IF(VALUE($B178)&lt;100000000,VALUE($B178),1000000000),IFERROR(IF(VALUE(MID($B178,2,20))&lt;100000000,VALUE(MID($B178,2,20)),1000000000),1000000000))+ROW()/100000,"")</f>
        <v/>
      </c>
    </row>
    <row r="179">
      <c r="C179" s="11" t="n"/>
      <c r="J179" s="7">
        <f>IF($B179="","",I179*Q179/100)</f>
        <v/>
      </c>
      <c r="P179" s="7" t="n"/>
      <c r="Q179" s="7" t="n"/>
      <c r="R179" s="7">
        <f>IF($B179="","",Q179*W179/100)</f>
        <v/>
      </c>
      <c r="S179" s="7">
        <f>IF($B179="","",Q179-R179)</f>
        <v/>
      </c>
      <c r="T179" s="7">
        <f>IF($B179="","",S179-J179)</f>
        <v/>
      </c>
      <c r="W179">
        <f>IF($B179="","",IF($AI179=1,0,IF($AH179=1,Settings!$C$6,Settings!$C$7))*100)</f>
        <v/>
      </c>
      <c r="AA179" s="7" t="n"/>
      <c r="AD179" s="11" t="n"/>
      <c r="AF179">
        <f>IF($B179="","",IF(COUNTIF($B$2:$B179,$B179)=1,1,0))</f>
        <v/>
      </c>
      <c r="AG179">
        <f>IF($AF179=1,SUMPRODUCT(--($AJ$2:$AJ$1501&lt;$AJ179))+1,"")</f>
        <v/>
      </c>
      <c r="AH179">
        <f>IF($B179="","",IF(OR($M179=TRUE(),$M179="TRUE"),1,0))</f>
        <v/>
      </c>
      <c r="AI179">
        <f>IF($B179="","",IF($V179="Yes",1,0))</f>
        <v/>
      </c>
      <c r="AJ179">
        <f>IF($AF179=1,IFERROR(IF(VALUE($B179)&lt;100000000,VALUE($B179),1000000000),IFERROR(IF(VALUE(MID($B179,2,20))&lt;100000000,VALUE(MID($B179,2,20)),1000000000),1000000000))+ROW()/100000,"")</f>
        <v/>
      </c>
    </row>
    <row r="180">
      <c r="C180" s="11" t="n"/>
      <c r="J180" s="7">
        <f>IF($B180="","",I180*Q180/100)</f>
        <v/>
      </c>
      <c r="P180" s="7" t="n"/>
      <c r="Q180" s="7" t="n"/>
      <c r="R180" s="7">
        <f>IF($B180="","",Q180*W180/100)</f>
        <v/>
      </c>
      <c r="S180" s="7">
        <f>IF($B180="","",Q180-R180)</f>
        <v/>
      </c>
      <c r="T180" s="7">
        <f>IF($B180="","",S180-J180)</f>
        <v/>
      </c>
      <c r="W180">
        <f>IF($B180="","",IF($AI180=1,0,IF($AH180=1,Settings!$C$6,Settings!$C$7))*100)</f>
        <v/>
      </c>
      <c r="AA180" s="7" t="n"/>
      <c r="AD180" s="11" t="n"/>
      <c r="AF180">
        <f>IF($B180="","",IF(COUNTIF($B$2:$B180,$B180)=1,1,0))</f>
        <v/>
      </c>
      <c r="AG180">
        <f>IF($AF180=1,SUMPRODUCT(--($AJ$2:$AJ$1501&lt;$AJ180))+1,"")</f>
        <v/>
      </c>
      <c r="AH180">
        <f>IF($B180="","",IF(OR($M180=TRUE(),$M180="TRUE"),1,0))</f>
        <v/>
      </c>
      <c r="AI180">
        <f>IF($B180="","",IF($V180="Yes",1,0))</f>
        <v/>
      </c>
      <c r="AJ180">
        <f>IF($AF180=1,IFERROR(IF(VALUE($B180)&lt;100000000,VALUE($B180),1000000000),IFERROR(IF(VALUE(MID($B180,2,20))&lt;100000000,VALUE(MID($B180,2,20)),1000000000),1000000000))+ROW()/100000,"")</f>
        <v/>
      </c>
    </row>
    <row r="181">
      <c r="C181" s="11" t="n"/>
      <c r="J181" s="7">
        <f>IF($B181="","",I181*Q181/100)</f>
        <v/>
      </c>
      <c r="P181" s="7" t="n"/>
      <c r="Q181" s="7" t="n"/>
      <c r="R181" s="7">
        <f>IF($B181="","",Q181*W181/100)</f>
        <v/>
      </c>
      <c r="S181" s="7">
        <f>IF($B181="","",Q181-R181)</f>
        <v/>
      </c>
      <c r="T181" s="7">
        <f>IF($B181="","",S181-J181)</f>
        <v/>
      </c>
      <c r="W181">
        <f>IF($B181="","",IF($AI181=1,0,IF($AH181=1,Settings!$C$6,Settings!$C$7))*100)</f>
        <v/>
      </c>
      <c r="AA181" s="7" t="n"/>
      <c r="AD181" s="11" t="n"/>
      <c r="AF181">
        <f>IF($B181="","",IF(COUNTIF($B$2:$B181,$B181)=1,1,0))</f>
        <v/>
      </c>
      <c r="AG181">
        <f>IF($AF181=1,SUMPRODUCT(--($AJ$2:$AJ$1501&lt;$AJ181))+1,"")</f>
        <v/>
      </c>
      <c r="AH181">
        <f>IF($B181="","",IF(OR($M181=TRUE(),$M181="TRUE"),1,0))</f>
        <v/>
      </c>
      <c r="AI181">
        <f>IF($B181="","",IF($V181="Yes",1,0))</f>
        <v/>
      </c>
      <c r="AJ181">
        <f>IF($AF181=1,IFERROR(IF(VALUE($B181)&lt;100000000,VALUE($B181),1000000000),IFERROR(IF(VALUE(MID($B181,2,20))&lt;100000000,VALUE(MID($B181,2,20)),1000000000),1000000000))+ROW()/100000,"")</f>
        <v/>
      </c>
    </row>
    <row r="182">
      <c r="C182" s="11" t="n"/>
      <c r="J182" s="7">
        <f>IF($B182="","",I182*Q182/100)</f>
        <v/>
      </c>
      <c r="P182" s="7" t="n"/>
      <c r="Q182" s="7" t="n"/>
      <c r="R182" s="7">
        <f>IF($B182="","",Q182*W182/100)</f>
        <v/>
      </c>
      <c r="S182" s="7">
        <f>IF($B182="","",Q182-R182)</f>
        <v/>
      </c>
      <c r="T182" s="7">
        <f>IF($B182="","",S182-J182)</f>
        <v/>
      </c>
      <c r="W182">
        <f>IF($B182="","",IF($AI182=1,0,IF($AH182=1,Settings!$C$6,Settings!$C$7))*100)</f>
        <v/>
      </c>
      <c r="AA182" s="7" t="n"/>
      <c r="AD182" s="11" t="n"/>
      <c r="AF182">
        <f>IF($B182="","",IF(COUNTIF($B$2:$B182,$B182)=1,1,0))</f>
        <v/>
      </c>
      <c r="AG182">
        <f>IF($AF182=1,SUMPRODUCT(--($AJ$2:$AJ$1501&lt;$AJ182))+1,"")</f>
        <v/>
      </c>
      <c r="AH182">
        <f>IF($B182="","",IF(OR($M182=TRUE(),$M182="TRUE"),1,0))</f>
        <v/>
      </c>
      <c r="AI182">
        <f>IF($B182="","",IF($V182="Yes",1,0))</f>
        <v/>
      </c>
      <c r="AJ182">
        <f>IF($AF182=1,IFERROR(IF(VALUE($B182)&lt;100000000,VALUE($B182),1000000000),IFERROR(IF(VALUE(MID($B182,2,20))&lt;100000000,VALUE(MID($B182,2,20)),1000000000),1000000000))+ROW()/100000,"")</f>
        <v/>
      </c>
    </row>
    <row r="183">
      <c r="C183" s="11" t="n"/>
      <c r="J183" s="7">
        <f>IF($B183="","",I183*Q183/100)</f>
        <v/>
      </c>
      <c r="P183" s="7" t="n"/>
      <c r="Q183" s="7" t="n"/>
      <c r="R183" s="7">
        <f>IF($B183="","",Q183*W183/100)</f>
        <v/>
      </c>
      <c r="S183" s="7">
        <f>IF($B183="","",Q183-R183)</f>
        <v/>
      </c>
      <c r="T183" s="7">
        <f>IF($B183="","",S183-J183)</f>
        <v/>
      </c>
      <c r="W183">
        <f>IF($B183="","",IF($AI183=1,0,IF($AH183=1,Settings!$C$6,Settings!$C$7))*100)</f>
        <v/>
      </c>
      <c r="AA183" s="7" t="n"/>
      <c r="AD183" s="11" t="n"/>
      <c r="AF183">
        <f>IF($B183="","",IF(COUNTIF($B$2:$B183,$B183)=1,1,0))</f>
        <v/>
      </c>
      <c r="AG183">
        <f>IF($AF183=1,SUMPRODUCT(--($AJ$2:$AJ$1501&lt;$AJ183))+1,"")</f>
        <v/>
      </c>
      <c r="AH183">
        <f>IF($B183="","",IF(OR($M183=TRUE(),$M183="TRUE"),1,0))</f>
        <v/>
      </c>
      <c r="AI183">
        <f>IF($B183="","",IF($V183="Yes",1,0))</f>
        <v/>
      </c>
      <c r="AJ183">
        <f>IF($AF183=1,IFERROR(IF(VALUE($B183)&lt;100000000,VALUE($B183),1000000000),IFERROR(IF(VALUE(MID($B183,2,20))&lt;100000000,VALUE(MID($B183,2,20)),1000000000),1000000000))+ROW()/100000,"")</f>
        <v/>
      </c>
    </row>
    <row r="184">
      <c r="C184" s="11" t="n"/>
      <c r="J184" s="7">
        <f>IF($B184="","",I184*Q184/100)</f>
        <v/>
      </c>
      <c r="P184" s="7" t="n"/>
      <c r="Q184" s="7" t="n"/>
      <c r="R184" s="7">
        <f>IF($B184="","",Q184*W184/100)</f>
        <v/>
      </c>
      <c r="S184" s="7">
        <f>IF($B184="","",Q184-R184)</f>
        <v/>
      </c>
      <c r="T184" s="7">
        <f>IF($B184="","",S184-J184)</f>
        <v/>
      </c>
      <c r="W184">
        <f>IF($B184="","",IF($AI184=1,0,IF($AH184=1,Settings!$C$6,Settings!$C$7))*100)</f>
        <v/>
      </c>
      <c r="AA184" s="7" t="n"/>
      <c r="AD184" s="11" t="n"/>
      <c r="AF184">
        <f>IF($B184="","",IF(COUNTIF($B$2:$B184,$B184)=1,1,0))</f>
        <v/>
      </c>
      <c r="AG184">
        <f>IF($AF184=1,SUMPRODUCT(--($AJ$2:$AJ$1501&lt;$AJ184))+1,"")</f>
        <v/>
      </c>
      <c r="AH184">
        <f>IF($B184="","",IF(OR($M184=TRUE(),$M184="TRUE"),1,0))</f>
        <v/>
      </c>
      <c r="AI184">
        <f>IF($B184="","",IF($V184="Yes",1,0))</f>
        <v/>
      </c>
      <c r="AJ184">
        <f>IF($AF184=1,IFERROR(IF(VALUE($B184)&lt;100000000,VALUE($B184),1000000000),IFERROR(IF(VALUE(MID($B184,2,20))&lt;100000000,VALUE(MID($B184,2,20)),1000000000),1000000000))+ROW()/100000,"")</f>
        <v/>
      </c>
    </row>
    <row r="185">
      <c r="C185" s="11" t="n"/>
      <c r="J185" s="7">
        <f>IF($B185="","",I185*Q185/100)</f>
        <v/>
      </c>
      <c r="P185" s="7" t="n"/>
      <c r="Q185" s="7" t="n"/>
      <c r="R185" s="7">
        <f>IF($B185="","",Q185*W185/100)</f>
        <v/>
      </c>
      <c r="S185" s="7">
        <f>IF($B185="","",Q185-R185)</f>
        <v/>
      </c>
      <c r="T185" s="7">
        <f>IF($B185="","",S185-J185)</f>
        <v/>
      </c>
      <c r="W185">
        <f>IF($B185="","",IF($AI185=1,0,IF($AH185=1,Settings!$C$6,Settings!$C$7))*100)</f>
        <v/>
      </c>
      <c r="AA185" s="7" t="n"/>
      <c r="AD185" s="11" t="n"/>
      <c r="AF185">
        <f>IF($B185="","",IF(COUNTIF($B$2:$B185,$B185)=1,1,0))</f>
        <v/>
      </c>
      <c r="AG185">
        <f>IF($AF185=1,SUMPRODUCT(--($AJ$2:$AJ$1501&lt;$AJ185))+1,"")</f>
        <v/>
      </c>
      <c r="AH185">
        <f>IF($B185="","",IF(OR($M185=TRUE(),$M185="TRUE"),1,0))</f>
        <v/>
      </c>
      <c r="AI185">
        <f>IF($B185="","",IF($V185="Yes",1,0))</f>
        <v/>
      </c>
      <c r="AJ185">
        <f>IF($AF185=1,IFERROR(IF(VALUE($B185)&lt;100000000,VALUE($B185),1000000000),IFERROR(IF(VALUE(MID($B185,2,20))&lt;100000000,VALUE(MID($B185,2,20)),1000000000),1000000000))+ROW()/100000,"")</f>
        <v/>
      </c>
    </row>
    <row r="186">
      <c r="C186" s="11" t="n"/>
      <c r="J186" s="7">
        <f>IF($B186="","",I186*Q186/100)</f>
        <v/>
      </c>
      <c r="P186" s="7" t="n"/>
      <c r="Q186" s="7" t="n"/>
      <c r="R186" s="7">
        <f>IF($B186="","",Q186*W186/100)</f>
        <v/>
      </c>
      <c r="S186" s="7">
        <f>IF($B186="","",Q186-R186)</f>
        <v/>
      </c>
      <c r="T186" s="7">
        <f>IF($B186="","",S186-J186)</f>
        <v/>
      </c>
      <c r="W186">
        <f>IF($B186="","",IF($AI186=1,0,IF($AH186=1,Settings!$C$6,Settings!$C$7))*100)</f>
        <v/>
      </c>
      <c r="AA186" s="7" t="n"/>
      <c r="AD186" s="11" t="n"/>
      <c r="AF186">
        <f>IF($B186="","",IF(COUNTIF($B$2:$B186,$B186)=1,1,0))</f>
        <v/>
      </c>
      <c r="AG186">
        <f>IF($AF186=1,SUMPRODUCT(--($AJ$2:$AJ$1501&lt;$AJ186))+1,"")</f>
        <v/>
      </c>
      <c r="AH186">
        <f>IF($B186="","",IF(OR($M186=TRUE(),$M186="TRUE"),1,0))</f>
        <v/>
      </c>
      <c r="AI186">
        <f>IF($B186="","",IF($V186="Yes",1,0))</f>
        <v/>
      </c>
      <c r="AJ186">
        <f>IF($AF186=1,IFERROR(IF(VALUE($B186)&lt;100000000,VALUE($B186),1000000000),IFERROR(IF(VALUE(MID($B186,2,20))&lt;100000000,VALUE(MID($B186,2,20)),1000000000),1000000000))+ROW()/100000,"")</f>
        <v/>
      </c>
    </row>
    <row r="187">
      <c r="C187" s="11" t="n"/>
      <c r="J187" s="7">
        <f>IF($B187="","",I187*Q187/100)</f>
        <v/>
      </c>
      <c r="P187" s="7" t="n"/>
      <c r="Q187" s="7" t="n"/>
      <c r="R187" s="7">
        <f>IF($B187="","",Q187*W187/100)</f>
        <v/>
      </c>
      <c r="S187" s="7">
        <f>IF($B187="","",Q187-R187)</f>
        <v/>
      </c>
      <c r="T187" s="7">
        <f>IF($B187="","",S187-J187)</f>
        <v/>
      </c>
      <c r="W187">
        <f>IF($B187="","",IF($AI187=1,0,IF($AH187=1,Settings!$C$6,Settings!$C$7))*100)</f>
        <v/>
      </c>
      <c r="AA187" s="7" t="n"/>
      <c r="AD187" s="11" t="n"/>
      <c r="AF187">
        <f>IF($B187="","",IF(COUNTIF($B$2:$B187,$B187)=1,1,0))</f>
        <v/>
      </c>
      <c r="AG187">
        <f>IF($AF187=1,SUMPRODUCT(--($AJ$2:$AJ$1501&lt;$AJ187))+1,"")</f>
        <v/>
      </c>
      <c r="AH187">
        <f>IF($B187="","",IF(OR($M187=TRUE(),$M187="TRUE"),1,0))</f>
        <v/>
      </c>
      <c r="AI187">
        <f>IF($B187="","",IF($V187="Yes",1,0))</f>
        <v/>
      </c>
      <c r="AJ187">
        <f>IF($AF187=1,IFERROR(IF(VALUE($B187)&lt;100000000,VALUE($B187),1000000000),IFERROR(IF(VALUE(MID($B187,2,20))&lt;100000000,VALUE(MID($B187,2,20)),1000000000),1000000000))+ROW()/100000,"")</f>
        <v/>
      </c>
    </row>
    <row r="188">
      <c r="C188" s="11" t="n"/>
      <c r="J188" s="7">
        <f>IF($B188="","",I188*Q188/100)</f>
        <v/>
      </c>
      <c r="P188" s="7" t="n"/>
      <c r="Q188" s="7" t="n"/>
      <c r="R188" s="7">
        <f>IF($B188="","",Q188*W188/100)</f>
        <v/>
      </c>
      <c r="S188" s="7">
        <f>IF($B188="","",Q188-R188)</f>
        <v/>
      </c>
      <c r="T188" s="7">
        <f>IF($B188="","",S188-J188)</f>
        <v/>
      </c>
      <c r="W188">
        <f>IF($B188="","",IF($AI188=1,0,IF($AH188=1,Settings!$C$6,Settings!$C$7))*100)</f>
        <v/>
      </c>
      <c r="AA188" s="7" t="n"/>
      <c r="AD188" s="11" t="n"/>
      <c r="AF188">
        <f>IF($B188="","",IF(COUNTIF($B$2:$B188,$B188)=1,1,0))</f>
        <v/>
      </c>
      <c r="AG188">
        <f>IF($AF188=1,SUMPRODUCT(--($AJ$2:$AJ$1501&lt;$AJ188))+1,"")</f>
        <v/>
      </c>
      <c r="AH188">
        <f>IF($B188="","",IF(OR($M188=TRUE(),$M188="TRUE"),1,0))</f>
        <v/>
      </c>
      <c r="AI188">
        <f>IF($B188="","",IF($V188="Yes",1,0))</f>
        <v/>
      </c>
      <c r="AJ188">
        <f>IF($AF188=1,IFERROR(IF(VALUE($B188)&lt;100000000,VALUE($B188),1000000000),IFERROR(IF(VALUE(MID($B188,2,20))&lt;100000000,VALUE(MID($B188,2,20)),1000000000),1000000000))+ROW()/100000,"")</f>
        <v/>
      </c>
    </row>
    <row r="189">
      <c r="C189" s="11" t="n"/>
      <c r="J189" s="7">
        <f>IF($B189="","",I189*Q189/100)</f>
        <v/>
      </c>
      <c r="P189" s="7" t="n"/>
      <c r="Q189" s="7" t="n"/>
      <c r="R189" s="7">
        <f>IF($B189="","",Q189*W189/100)</f>
        <v/>
      </c>
      <c r="S189" s="7">
        <f>IF($B189="","",Q189-R189)</f>
        <v/>
      </c>
      <c r="T189" s="7">
        <f>IF($B189="","",S189-J189)</f>
        <v/>
      </c>
      <c r="W189">
        <f>IF($B189="","",IF($AI189=1,0,IF($AH189=1,Settings!$C$6,Settings!$C$7))*100)</f>
        <v/>
      </c>
      <c r="AA189" s="7" t="n"/>
      <c r="AD189" s="11" t="n"/>
      <c r="AF189">
        <f>IF($B189="","",IF(COUNTIF($B$2:$B189,$B189)=1,1,0))</f>
        <v/>
      </c>
      <c r="AG189">
        <f>IF($AF189=1,SUMPRODUCT(--($AJ$2:$AJ$1501&lt;$AJ189))+1,"")</f>
        <v/>
      </c>
      <c r="AH189">
        <f>IF($B189="","",IF(OR($M189=TRUE(),$M189="TRUE"),1,0))</f>
        <v/>
      </c>
      <c r="AI189">
        <f>IF($B189="","",IF($V189="Yes",1,0))</f>
        <v/>
      </c>
      <c r="AJ189">
        <f>IF($AF189=1,IFERROR(IF(VALUE($B189)&lt;100000000,VALUE($B189),1000000000),IFERROR(IF(VALUE(MID($B189,2,20))&lt;100000000,VALUE(MID($B189,2,20)),1000000000),1000000000))+ROW()/100000,"")</f>
        <v/>
      </c>
    </row>
    <row r="190">
      <c r="C190" s="11" t="n"/>
      <c r="J190" s="7">
        <f>IF($B190="","",I190*Q190/100)</f>
        <v/>
      </c>
      <c r="P190" s="7" t="n"/>
      <c r="Q190" s="7" t="n"/>
      <c r="R190" s="7">
        <f>IF($B190="","",Q190*W190/100)</f>
        <v/>
      </c>
      <c r="S190" s="7">
        <f>IF($B190="","",Q190-R190)</f>
        <v/>
      </c>
      <c r="T190" s="7">
        <f>IF($B190="","",S190-J190)</f>
        <v/>
      </c>
      <c r="W190">
        <f>IF($B190="","",IF($AI190=1,0,IF($AH190=1,Settings!$C$6,Settings!$C$7))*100)</f>
        <v/>
      </c>
      <c r="AA190" s="7" t="n"/>
      <c r="AD190" s="11" t="n"/>
      <c r="AF190">
        <f>IF($B190="","",IF(COUNTIF($B$2:$B190,$B190)=1,1,0))</f>
        <v/>
      </c>
      <c r="AG190">
        <f>IF($AF190=1,SUMPRODUCT(--($AJ$2:$AJ$1501&lt;$AJ190))+1,"")</f>
        <v/>
      </c>
      <c r="AH190">
        <f>IF($B190="","",IF(OR($M190=TRUE(),$M190="TRUE"),1,0))</f>
        <v/>
      </c>
      <c r="AI190">
        <f>IF($B190="","",IF($V190="Yes",1,0))</f>
        <v/>
      </c>
      <c r="AJ190">
        <f>IF($AF190=1,IFERROR(IF(VALUE($B190)&lt;100000000,VALUE($B190),1000000000),IFERROR(IF(VALUE(MID($B190,2,20))&lt;100000000,VALUE(MID($B190,2,20)),1000000000),1000000000))+ROW()/100000,"")</f>
        <v/>
      </c>
    </row>
    <row r="191">
      <c r="C191" s="11" t="n"/>
      <c r="J191" s="7">
        <f>IF($B191="","",I191*Q191/100)</f>
        <v/>
      </c>
      <c r="P191" s="7" t="n"/>
      <c r="Q191" s="7" t="n"/>
      <c r="R191" s="7">
        <f>IF($B191="","",Q191*W191/100)</f>
        <v/>
      </c>
      <c r="S191" s="7">
        <f>IF($B191="","",Q191-R191)</f>
        <v/>
      </c>
      <c r="T191" s="7">
        <f>IF($B191="","",S191-J191)</f>
        <v/>
      </c>
      <c r="W191">
        <f>IF($B191="","",IF($AI191=1,0,IF($AH191=1,Settings!$C$6,Settings!$C$7))*100)</f>
        <v/>
      </c>
      <c r="AA191" s="7" t="n"/>
      <c r="AD191" s="11" t="n"/>
      <c r="AF191">
        <f>IF($B191="","",IF(COUNTIF($B$2:$B191,$B191)=1,1,0))</f>
        <v/>
      </c>
      <c r="AG191">
        <f>IF($AF191=1,SUMPRODUCT(--($AJ$2:$AJ$1501&lt;$AJ191))+1,"")</f>
        <v/>
      </c>
      <c r="AH191">
        <f>IF($B191="","",IF(OR($M191=TRUE(),$M191="TRUE"),1,0))</f>
        <v/>
      </c>
      <c r="AI191">
        <f>IF($B191="","",IF($V191="Yes",1,0))</f>
        <v/>
      </c>
      <c r="AJ191">
        <f>IF($AF191=1,IFERROR(IF(VALUE($B191)&lt;100000000,VALUE($B191),1000000000),IFERROR(IF(VALUE(MID($B191,2,20))&lt;100000000,VALUE(MID($B191,2,20)),1000000000),1000000000))+ROW()/100000,"")</f>
        <v/>
      </c>
    </row>
    <row r="192">
      <c r="C192" s="11" t="n"/>
      <c r="J192" s="7">
        <f>IF($B192="","",I192*Q192/100)</f>
        <v/>
      </c>
      <c r="P192" s="7" t="n"/>
      <c r="Q192" s="7" t="n"/>
      <c r="R192" s="7">
        <f>IF($B192="","",Q192*W192/100)</f>
        <v/>
      </c>
      <c r="S192" s="7">
        <f>IF($B192="","",Q192-R192)</f>
        <v/>
      </c>
      <c r="T192" s="7">
        <f>IF($B192="","",S192-J192)</f>
        <v/>
      </c>
      <c r="W192">
        <f>IF($B192="","",IF($AI192=1,0,IF($AH192=1,Settings!$C$6,Settings!$C$7))*100)</f>
        <v/>
      </c>
      <c r="AA192" s="7" t="n"/>
      <c r="AD192" s="11" t="n"/>
      <c r="AF192">
        <f>IF($B192="","",IF(COUNTIF($B$2:$B192,$B192)=1,1,0))</f>
        <v/>
      </c>
      <c r="AG192">
        <f>IF($AF192=1,SUMPRODUCT(--($AJ$2:$AJ$1501&lt;$AJ192))+1,"")</f>
        <v/>
      </c>
      <c r="AH192">
        <f>IF($B192="","",IF(OR($M192=TRUE(),$M192="TRUE"),1,0))</f>
        <v/>
      </c>
      <c r="AI192">
        <f>IF($B192="","",IF($V192="Yes",1,0))</f>
        <v/>
      </c>
      <c r="AJ192">
        <f>IF($AF192=1,IFERROR(IF(VALUE($B192)&lt;100000000,VALUE($B192),1000000000),IFERROR(IF(VALUE(MID($B192,2,20))&lt;100000000,VALUE(MID($B192,2,20)),1000000000),1000000000))+ROW()/100000,"")</f>
        <v/>
      </c>
    </row>
    <row r="193">
      <c r="C193" s="11" t="n"/>
      <c r="J193" s="7">
        <f>IF($B193="","",I193*Q193/100)</f>
        <v/>
      </c>
      <c r="P193" s="7" t="n"/>
      <c r="Q193" s="7" t="n"/>
      <c r="R193" s="7">
        <f>IF($B193="","",Q193*W193/100)</f>
        <v/>
      </c>
      <c r="S193" s="7">
        <f>IF($B193="","",Q193-R193)</f>
        <v/>
      </c>
      <c r="T193" s="7">
        <f>IF($B193="","",S193-J193)</f>
        <v/>
      </c>
      <c r="W193">
        <f>IF($B193="","",IF($AI193=1,0,IF($AH193=1,Settings!$C$6,Settings!$C$7))*100)</f>
        <v/>
      </c>
      <c r="AA193" s="7" t="n"/>
      <c r="AD193" s="11" t="n"/>
      <c r="AF193">
        <f>IF($B193="","",IF(COUNTIF($B$2:$B193,$B193)=1,1,0))</f>
        <v/>
      </c>
      <c r="AG193">
        <f>IF($AF193=1,SUMPRODUCT(--($AJ$2:$AJ$1501&lt;$AJ193))+1,"")</f>
        <v/>
      </c>
      <c r="AH193">
        <f>IF($B193="","",IF(OR($M193=TRUE(),$M193="TRUE"),1,0))</f>
        <v/>
      </c>
      <c r="AI193">
        <f>IF($B193="","",IF($V193="Yes",1,0))</f>
        <v/>
      </c>
      <c r="AJ193">
        <f>IF($AF193=1,IFERROR(IF(VALUE($B193)&lt;100000000,VALUE($B193),1000000000),IFERROR(IF(VALUE(MID($B193,2,20))&lt;100000000,VALUE(MID($B193,2,20)),1000000000),1000000000))+ROW()/100000,"")</f>
        <v/>
      </c>
    </row>
    <row r="194">
      <c r="C194" s="11" t="n"/>
      <c r="J194" s="7">
        <f>IF($B194="","",I194*Q194/100)</f>
        <v/>
      </c>
      <c r="P194" s="7" t="n"/>
      <c r="Q194" s="7" t="n"/>
      <c r="R194" s="7">
        <f>IF($B194="","",Q194*W194/100)</f>
        <v/>
      </c>
      <c r="S194" s="7">
        <f>IF($B194="","",Q194-R194)</f>
        <v/>
      </c>
      <c r="T194" s="7">
        <f>IF($B194="","",S194-J194)</f>
        <v/>
      </c>
      <c r="W194">
        <f>IF($B194="","",IF($AI194=1,0,IF($AH194=1,Settings!$C$6,Settings!$C$7))*100)</f>
        <v/>
      </c>
      <c r="AA194" s="7" t="n"/>
      <c r="AD194" s="11" t="n"/>
      <c r="AF194">
        <f>IF($B194="","",IF(COUNTIF($B$2:$B194,$B194)=1,1,0))</f>
        <v/>
      </c>
      <c r="AG194">
        <f>IF($AF194=1,SUMPRODUCT(--($AJ$2:$AJ$1501&lt;$AJ194))+1,"")</f>
        <v/>
      </c>
      <c r="AH194">
        <f>IF($B194="","",IF(OR($M194=TRUE(),$M194="TRUE"),1,0))</f>
        <v/>
      </c>
      <c r="AI194">
        <f>IF($B194="","",IF($V194="Yes",1,0))</f>
        <v/>
      </c>
      <c r="AJ194">
        <f>IF($AF194=1,IFERROR(IF(VALUE($B194)&lt;100000000,VALUE($B194),1000000000),IFERROR(IF(VALUE(MID($B194,2,20))&lt;100000000,VALUE(MID($B194,2,20)),1000000000),1000000000))+ROW()/100000,"")</f>
        <v/>
      </c>
    </row>
    <row r="195">
      <c r="C195" s="11" t="n"/>
      <c r="J195" s="7">
        <f>IF($B195="","",I195*Q195/100)</f>
        <v/>
      </c>
      <c r="P195" s="7" t="n"/>
      <c r="Q195" s="7" t="n"/>
      <c r="R195" s="7">
        <f>IF($B195="","",Q195*W195/100)</f>
        <v/>
      </c>
      <c r="S195" s="7">
        <f>IF($B195="","",Q195-R195)</f>
        <v/>
      </c>
      <c r="T195" s="7">
        <f>IF($B195="","",S195-J195)</f>
        <v/>
      </c>
      <c r="W195">
        <f>IF($B195="","",IF($AI195=1,0,IF($AH195=1,Settings!$C$6,Settings!$C$7))*100)</f>
        <v/>
      </c>
      <c r="AA195" s="7" t="n"/>
      <c r="AD195" s="11" t="n"/>
      <c r="AF195">
        <f>IF($B195="","",IF(COUNTIF($B$2:$B195,$B195)=1,1,0))</f>
        <v/>
      </c>
      <c r="AG195">
        <f>IF($AF195=1,SUMPRODUCT(--($AJ$2:$AJ$1501&lt;$AJ195))+1,"")</f>
        <v/>
      </c>
      <c r="AH195">
        <f>IF($B195="","",IF(OR($M195=TRUE(),$M195="TRUE"),1,0))</f>
        <v/>
      </c>
      <c r="AI195">
        <f>IF($B195="","",IF($V195="Yes",1,0))</f>
        <v/>
      </c>
      <c r="AJ195">
        <f>IF($AF195=1,IFERROR(IF(VALUE($B195)&lt;100000000,VALUE($B195),1000000000),IFERROR(IF(VALUE(MID($B195,2,20))&lt;100000000,VALUE(MID($B195,2,20)),1000000000),1000000000))+ROW()/100000,"")</f>
        <v/>
      </c>
    </row>
    <row r="196">
      <c r="C196" s="11" t="n"/>
      <c r="J196" s="7">
        <f>IF($B196="","",I196*Q196/100)</f>
        <v/>
      </c>
      <c r="P196" s="7" t="n"/>
      <c r="Q196" s="7" t="n"/>
      <c r="R196" s="7">
        <f>IF($B196="","",Q196*W196/100)</f>
        <v/>
      </c>
      <c r="S196" s="7">
        <f>IF($B196="","",Q196-R196)</f>
        <v/>
      </c>
      <c r="T196" s="7">
        <f>IF($B196="","",S196-J196)</f>
        <v/>
      </c>
      <c r="W196">
        <f>IF($B196="","",IF($AI196=1,0,IF($AH196=1,Settings!$C$6,Settings!$C$7))*100)</f>
        <v/>
      </c>
      <c r="AA196" s="7" t="n"/>
      <c r="AD196" s="11" t="n"/>
      <c r="AF196">
        <f>IF($B196="","",IF(COUNTIF($B$2:$B196,$B196)=1,1,0))</f>
        <v/>
      </c>
      <c r="AG196">
        <f>IF($AF196=1,SUMPRODUCT(--($AJ$2:$AJ$1501&lt;$AJ196))+1,"")</f>
        <v/>
      </c>
      <c r="AH196">
        <f>IF($B196="","",IF(OR($M196=TRUE(),$M196="TRUE"),1,0))</f>
        <v/>
      </c>
      <c r="AI196">
        <f>IF($B196="","",IF($V196="Yes",1,0))</f>
        <v/>
      </c>
      <c r="AJ196">
        <f>IF($AF196=1,IFERROR(IF(VALUE($B196)&lt;100000000,VALUE($B196),1000000000),IFERROR(IF(VALUE(MID($B196,2,20))&lt;100000000,VALUE(MID($B196,2,20)),1000000000),1000000000))+ROW()/100000,"")</f>
        <v/>
      </c>
    </row>
    <row r="197">
      <c r="C197" s="11" t="n"/>
      <c r="J197" s="7">
        <f>IF($B197="","",I197*Q197/100)</f>
        <v/>
      </c>
      <c r="P197" s="7" t="n"/>
      <c r="Q197" s="7" t="n"/>
      <c r="R197" s="7">
        <f>IF($B197="","",Q197*W197/100)</f>
        <v/>
      </c>
      <c r="S197" s="7">
        <f>IF($B197="","",Q197-R197)</f>
        <v/>
      </c>
      <c r="T197" s="7">
        <f>IF($B197="","",S197-J197)</f>
        <v/>
      </c>
      <c r="W197">
        <f>IF($B197="","",IF($AI197=1,0,IF($AH197=1,Settings!$C$6,Settings!$C$7))*100)</f>
        <v/>
      </c>
      <c r="AA197" s="7" t="n"/>
      <c r="AD197" s="11" t="n"/>
      <c r="AF197">
        <f>IF($B197="","",IF(COUNTIF($B$2:$B197,$B197)=1,1,0))</f>
        <v/>
      </c>
      <c r="AG197">
        <f>IF($AF197=1,SUMPRODUCT(--($AJ$2:$AJ$1501&lt;$AJ197))+1,"")</f>
        <v/>
      </c>
      <c r="AH197">
        <f>IF($B197="","",IF(OR($M197=TRUE(),$M197="TRUE"),1,0))</f>
        <v/>
      </c>
      <c r="AI197">
        <f>IF($B197="","",IF($V197="Yes",1,0))</f>
        <v/>
      </c>
      <c r="AJ197">
        <f>IF($AF197=1,IFERROR(IF(VALUE($B197)&lt;100000000,VALUE($B197),1000000000),IFERROR(IF(VALUE(MID($B197,2,20))&lt;100000000,VALUE(MID($B197,2,20)),1000000000),1000000000))+ROW()/100000,"")</f>
        <v/>
      </c>
    </row>
    <row r="198">
      <c r="C198" s="11" t="n"/>
      <c r="J198" s="7">
        <f>IF($B198="","",I198*Q198/100)</f>
        <v/>
      </c>
      <c r="P198" s="7" t="n"/>
      <c r="Q198" s="7" t="n"/>
      <c r="R198" s="7">
        <f>IF($B198="","",Q198*W198/100)</f>
        <v/>
      </c>
      <c r="S198" s="7">
        <f>IF($B198="","",Q198-R198)</f>
        <v/>
      </c>
      <c r="T198" s="7">
        <f>IF($B198="","",S198-J198)</f>
        <v/>
      </c>
      <c r="W198">
        <f>IF($B198="","",IF($AI198=1,0,IF($AH198=1,Settings!$C$6,Settings!$C$7))*100)</f>
        <v/>
      </c>
      <c r="AA198" s="7" t="n"/>
      <c r="AD198" s="11" t="n"/>
      <c r="AF198">
        <f>IF($B198="","",IF(COUNTIF($B$2:$B198,$B198)=1,1,0))</f>
        <v/>
      </c>
      <c r="AG198">
        <f>IF($AF198=1,SUMPRODUCT(--($AJ$2:$AJ$1501&lt;$AJ198))+1,"")</f>
        <v/>
      </c>
      <c r="AH198">
        <f>IF($B198="","",IF(OR($M198=TRUE(),$M198="TRUE"),1,0))</f>
        <v/>
      </c>
      <c r="AI198">
        <f>IF($B198="","",IF($V198="Yes",1,0))</f>
        <v/>
      </c>
      <c r="AJ198">
        <f>IF($AF198=1,IFERROR(IF(VALUE($B198)&lt;100000000,VALUE($B198),1000000000),IFERROR(IF(VALUE(MID($B198,2,20))&lt;100000000,VALUE(MID($B198,2,20)),1000000000),1000000000))+ROW()/100000,"")</f>
        <v/>
      </c>
    </row>
    <row r="199">
      <c r="C199" s="11" t="n"/>
      <c r="J199" s="7">
        <f>IF($B199="","",I199*Q199/100)</f>
        <v/>
      </c>
      <c r="P199" s="7" t="n"/>
      <c r="Q199" s="7" t="n"/>
      <c r="R199" s="7">
        <f>IF($B199="","",Q199*W199/100)</f>
        <v/>
      </c>
      <c r="S199" s="7">
        <f>IF($B199="","",Q199-R199)</f>
        <v/>
      </c>
      <c r="T199" s="7">
        <f>IF($B199="","",S199-J199)</f>
        <v/>
      </c>
      <c r="W199">
        <f>IF($B199="","",IF($AI199=1,0,IF($AH199=1,Settings!$C$6,Settings!$C$7))*100)</f>
        <v/>
      </c>
      <c r="AA199" s="7" t="n"/>
      <c r="AD199" s="11" t="n"/>
      <c r="AF199">
        <f>IF($B199="","",IF(COUNTIF($B$2:$B199,$B199)=1,1,0))</f>
        <v/>
      </c>
      <c r="AG199">
        <f>IF($AF199=1,SUMPRODUCT(--($AJ$2:$AJ$1501&lt;$AJ199))+1,"")</f>
        <v/>
      </c>
      <c r="AH199">
        <f>IF($B199="","",IF(OR($M199=TRUE(),$M199="TRUE"),1,0))</f>
        <v/>
      </c>
      <c r="AI199">
        <f>IF($B199="","",IF($V199="Yes",1,0))</f>
        <v/>
      </c>
      <c r="AJ199">
        <f>IF($AF199=1,IFERROR(IF(VALUE($B199)&lt;100000000,VALUE($B199),1000000000),IFERROR(IF(VALUE(MID($B199,2,20))&lt;100000000,VALUE(MID($B199,2,20)),1000000000),1000000000))+ROW()/100000,"")</f>
        <v/>
      </c>
    </row>
    <row r="200">
      <c r="C200" s="11" t="n"/>
      <c r="J200" s="7">
        <f>IF($B200="","",I200*Q200/100)</f>
        <v/>
      </c>
      <c r="P200" s="7" t="n"/>
      <c r="Q200" s="7" t="n"/>
      <c r="R200" s="7">
        <f>IF($B200="","",Q200*W200/100)</f>
        <v/>
      </c>
      <c r="S200" s="7">
        <f>IF($B200="","",Q200-R200)</f>
        <v/>
      </c>
      <c r="T200" s="7">
        <f>IF($B200="","",S200-J200)</f>
        <v/>
      </c>
      <c r="W200">
        <f>IF($B200="","",IF($AI200=1,0,IF($AH200=1,Settings!$C$6,Settings!$C$7))*100)</f>
        <v/>
      </c>
      <c r="AA200" s="7" t="n"/>
      <c r="AD200" s="11" t="n"/>
      <c r="AF200">
        <f>IF($B200="","",IF(COUNTIF($B$2:$B200,$B200)=1,1,0))</f>
        <v/>
      </c>
      <c r="AG200">
        <f>IF($AF200=1,SUMPRODUCT(--($AJ$2:$AJ$1501&lt;$AJ200))+1,"")</f>
        <v/>
      </c>
      <c r="AH200">
        <f>IF($B200="","",IF(OR($M200=TRUE(),$M200="TRUE"),1,0))</f>
        <v/>
      </c>
      <c r="AI200">
        <f>IF($B200="","",IF($V200="Yes",1,0))</f>
        <v/>
      </c>
      <c r="AJ200">
        <f>IF($AF200=1,IFERROR(IF(VALUE($B200)&lt;100000000,VALUE($B200),1000000000),IFERROR(IF(VALUE(MID($B200,2,20))&lt;100000000,VALUE(MID($B200,2,20)),1000000000),1000000000))+ROW()/100000,"")</f>
        <v/>
      </c>
    </row>
    <row r="201">
      <c r="C201" s="11" t="n"/>
      <c r="J201" s="7">
        <f>IF($B201="","",I201*Q201/100)</f>
        <v/>
      </c>
      <c r="P201" s="7" t="n"/>
      <c r="Q201" s="7" t="n"/>
      <c r="R201" s="7">
        <f>IF($B201="","",Q201*W201/100)</f>
        <v/>
      </c>
      <c r="S201" s="7">
        <f>IF($B201="","",Q201-R201)</f>
        <v/>
      </c>
      <c r="T201" s="7">
        <f>IF($B201="","",S201-J201)</f>
        <v/>
      </c>
      <c r="W201">
        <f>IF($B201="","",IF($AI201=1,0,IF($AH201=1,Settings!$C$6,Settings!$C$7))*100)</f>
        <v/>
      </c>
      <c r="AA201" s="7" t="n"/>
      <c r="AD201" s="11" t="n"/>
      <c r="AF201">
        <f>IF($B201="","",IF(COUNTIF($B$2:$B201,$B201)=1,1,0))</f>
        <v/>
      </c>
      <c r="AG201">
        <f>IF($AF201=1,SUMPRODUCT(--($AJ$2:$AJ$1501&lt;$AJ201))+1,"")</f>
        <v/>
      </c>
      <c r="AH201">
        <f>IF($B201="","",IF(OR($M201=TRUE(),$M201="TRUE"),1,0))</f>
        <v/>
      </c>
      <c r="AI201">
        <f>IF($B201="","",IF($V201="Yes",1,0))</f>
        <v/>
      </c>
      <c r="AJ201">
        <f>IF($AF201=1,IFERROR(IF(VALUE($B201)&lt;100000000,VALUE($B201),1000000000),IFERROR(IF(VALUE(MID($B201,2,20))&lt;100000000,VALUE(MID($B201,2,20)),1000000000),1000000000))+ROW()/100000,"")</f>
        <v/>
      </c>
    </row>
    <row r="202">
      <c r="C202" s="11" t="n"/>
      <c r="J202" s="7">
        <f>IF($B202="","",I202*Q202/100)</f>
        <v/>
      </c>
      <c r="P202" s="7" t="n"/>
      <c r="Q202" s="7" t="n"/>
      <c r="R202" s="7">
        <f>IF($B202="","",Q202*W202/100)</f>
        <v/>
      </c>
      <c r="S202" s="7">
        <f>IF($B202="","",Q202-R202)</f>
        <v/>
      </c>
      <c r="T202" s="7">
        <f>IF($B202="","",S202-J202)</f>
        <v/>
      </c>
      <c r="W202">
        <f>IF($B202="","",IF($AI202=1,0,IF($AH202=1,Settings!$C$6,Settings!$C$7))*100)</f>
        <v/>
      </c>
      <c r="AA202" s="7" t="n"/>
      <c r="AD202" s="11" t="n"/>
      <c r="AF202">
        <f>IF($B202="","",IF(COUNTIF($B$2:$B202,$B202)=1,1,0))</f>
        <v/>
      </c>
      <c r="AG202">
        <f>IF($AF202=1,SUMPRODUCT(--($AJ$2:$AJ$1501&lt;$AJ202))+1,"")</f>
        <v/>
      </c>
      <c r="AH202">
        <f>IF($B202="","",IF(OR($M202=TRUE(),$M202="TRUE"),1,0))</f>
        <v/>
      </c>
      <c r="AI202">
        <f>IF($B202="","",IF($V202="Yes",1,0))</f>
        <v/>
      </c>
      <c r="AJ202">
        <f>IF($AF202=1,IFERROR(IF(VALUE($B202)&lt;100000000,VALUE($B202),1000000000),IFERROR(IF(VALUE(MID($B202,2,20))&lt;100000000,VALUE(MID($B202,2,20)),1000000000),1000000000))+ROW()/100000,"")</f>
        <v/>
      </c>
    </row>
    <row r="203">
      <c r="C203" s="11" t="n"/>
      <c r="J203" s="7">
        <f>IF($B203="","",I203*Q203/100)</f>
        <v/>
      </c>
      <c r="P203" s="7" t="n"/>
      <c r="Q203" s="7" t="n"/>
      <c r="R203" s="7">
        <f>IF($B203="","",Q203*W203/100)</f>
        <v/>
      </c>
      <c r="S203" s="7">
        <f>IF($B203="","",Q203-R203)</f>
        <v/>
      </c>
      <c r="T203" s="7">
        <f>IF($B203="","",S203-J203)</f>
        <v/>
      </c>
      <c r="W203">
        <f>IF($B203="","",IF($AI203=1,0,IF($AH203=1,Settings!$C$6,Settings!$C$7))*100)</f>
        <v/>
      </c>
      <c r="AA203" s="7" t="n"/>
      <c r="AD203" s="11" t="n"/>
      <c r="AF203">
        <f>IF($B203="","",IF(COUNTIF($B$2:$B203,$B203)=1,1,0))</f>
        <v/>
      </c>
      <c r="AG203">
        <f>IF($AF203=1,SUMPRODUCT(--($AJ$2:$AJ$1501&lt;$AJ203))+1,"")</f>
        <v/>
      </c>
      <c r="AH203">
        <f>IF($B203="","",IF(OR($M203=TRUE(),$M203="TRUE"),1,0))</f>
        <v/>
      </c>
      <c r="AI203">
        <f>IF($B203="","",IF($V203="Yes",1,0))</f>
        <v/>
      </c>
      <c r="AJ203">
        <f>IF($AF203=1,IFERROR(IF(VALUE($B203)&lt;100000000,VALUE($B203),1000000000),IFERROR(IF(VALUE(MID($B203,2,20))&lt;100000000,VALUE(MID($B203,2,20)),1000000000),1000000000))+ROW()/100000,"")</f>
        <v/>
      </c>
    </row>
    <row r="204">
      <c r="C204" s="11" t="n"/>
      <c r="J204" s="7">
        <f>IF($B204="","",I204*Q204/100)</f>
        <v/>
      </c>
      <c r="P204" s="7" t="n"/>
      <c r="Q204" s="7" t="n"/>
      <c r="R204" s="7">
        <f>IF($B204="","",Q204*W204/100)</f>
        <v/>
      </c>
      <c r="S204" s="7">
        <f>IF($B204="","",Q204-R204)</f>
        <v/>
      </c>
      <c r="T204" s="7">
        <f>IF($B204="","",S204-J204)</f>
        <v/>
      </c>
      <c r="W204">
        <f>IF($B204="","",IF($AI204=1,0,IF($AH204=1,Settings!$C$6,Settings!$C$7))*100)</f>
        <v/>
      </c>
      <c r="AA204" s="7" t="n"/>
      <c r="AD204" s="11" t="n"/>
      <c r="AF204">
        <f>IF($B204="","",IF(COUNTIF($B$2:$B204,$B204)=1,1,0))</f>
        <v/>
      </c>
      <c r="AG204">
        <f>IF($AF204=1,SUMPRODUCT(--($AJ$2:$AJ$1501&lt;$AJ204))+1,"")</f>
        <v/>
      </c>
      <c r="AH204">
        <f>IF($B204="","",IF(OR($M204=TRUE(),$M204="TRUE"),1,0))</f>
        <v/>
      </c>
      <c r="AI204">
        <f>IF($B204="","",IF($V204="Yes",1,0))</f>
        <v/>
      </c>
      <c r="AJ204">
        <f>IF($AF204=1,IFERROR(IF(VALUE($B204)&lt;100000000,VALUE($B204),1000000000),IFERROR(IF(VALUE(MID($B204,2,20))&lt;100000000,VALUE(MID($B204,2,20)),1000000000),1000000000))+ROW()/100000,"")</f>
        <v/>
      </c>
    </row>
    <row r="205">
      <c r="C205" s="11" t="n"/>
      <c r="J205" s="7">
        <f>IF($B205="","",I205*Q205/100)</f>
        <v/>
      </c>
      <c r="P205" s="7" t="n"/>
      <c r="Q205" s="7" t="n"/>
      <c r="R205" s="7">
        <f>IF($B205="","",Q205*W205/100)</f>
        <v/>
      </c>
      <c r="S205" s="7">
        <f>IF($B205="","",Q205-R205)</f>
        <v/>
      </c>
      <c r="T205" s="7">
        <f>IF($B205="","",S205-J205)</f>
        <v/>
      </c>
      <c r="W205">
        <f>IF($B205="","",IF($AI205=1,0,IF($AH205=1,Settings!$C$6,Settings!$C$7))*100)</f>
        <v/>
      </c>
      <c r="AA205" s="7" t="n"/>
      <c r="AD205" s="11" t="n"/>
      <c r="AF205">
        <f>IF($B205="","",IF(COUNTIF($B$2:$B205,$B205)=1,1,0))</f>
        <v/>
      </c>
      <c r="AG205">
        <f>IF($AF205=1,SUMPRODUCT(--($AJ$2:$AJ$1501&lt;$AJ205))+1,"")</f>
        <v/>
      </c>
      <c r="AH205">
        <f>IF($B205="","",IF(OR($M205=TRUE(),$M205="TRUE"),1,0))</f>
        <v/>
      </c>
      <c r="AI205">
        <f>IF($B205="","",IF($V205="Yes",1,0))</f>
        <v/>
      </c>
      <c r="AJ205">
        <f>IF($AF205=1,IFERROR(IF(VALUE($B205)&lt;100000000,VALUE($B205),1000000000),IFERROR(IF(VALUE(MID($B205,2,20))&lt;100000000,VALUE(MID($B205,2,20)),1000000000),1000000000))+ROW()/100000,"")</f>
        <v/>
      </c>
    </row>
    <row r="206">
      <c r="C206" s="11" t="n"/>
      <c r="J206" s="7">
        <f>IF($B206="","",I206*Q206/100)</f>
        <v/>
      </c>
      <c r="P206" s="7" t="n"/>
      <c r="Q206" s="7" t="n"/>
      <c r="R206" s="7">
        <f>IF($B206="","",Q206*W206/100)</f>
        <v/>
      </c>
      <c r="S206" s="7">
        <f>IF($B206="","",Q206-R206)</f>
        <v/>
      </c>
      <c r="T206" s="7">
        <f>IF($B206="","",S206-J206)</f>
        <v/>
      </c>
      <c r="W206">
        <f>IF($B206="","",IF($AI206=1,0,IF($AH206=1,Settings!$C$6,Settings!$C$7))*100)</f>
        <v/>
      </c>
      <c r="AA206" s="7" t="n"/>
      <c r="AD206" s="11" t="n"/>
      <c r="AF206">
        <f>IF($B206="","",IF(COUNTIF($B$2:$B206,$B206)=1,1,0))</f>
        <v/>
      </c>
      <c r="AG206">
        <f>IF($AF206=1,SUMPRODUCT(--($AJ$2:$AJ$1501&lt;$AJ206))+1,"")</f>
        <v/>
      </c>
      <c r="AH206">
        <f>IF($B206="","",IF(OR($M206=TRUE(),$M206="TRUE"),1,0))</f>
        <v/>
      </c>
      <c r="AI206">
        <f>IF($B206="","",IF($V206="Yes",1,0))</f>
        <v/>
      </c>
      <c r="AJ206">
        <f>IF($AF206=1,IFERROR(IF(VALUE($B206)&lt;100000000,VALUE($B206),1000000000),IFERROR(IF(VALUE(MID($B206,2,20))&lt;100000000,VALUE(MID($B206,2,20)),1000000000),1000000000))+ROW()/100000,"")</f>
        <v/>
      </c>
    </row>
    <row r="207">
      <c r="C207" s="11" t="n"/>
      <c r="J207" s="7">
        <f>IF($B207="","",I207*Q207/100)</f>
        <v/>
      </c>
      <c r="P207" s="7" t="n"/>
      <c r="Q207" s="7" t="n"/>
      <c r="R207" s="7">
        <f>IF($B207="","",Q207*W207/100)</f>
        <v/>
      </c>
      <c r="S207" s="7">
        <f>IF($B207="","",Q207-R207)</f>
        <v/>
      </c>
      <c r="T207" s="7">
        <f>IF($B207="","",S207-J207)</f>
        <v/>
      </c>
      <c r="W207">
        <f>IF($B207="","",IF($AI207=1,0,IF($AH207=1,Settings!$C$6,Settings!$C$7))*100)</f>
        <v/>
      </c>
      <c r="AA207" s="7" t="n"/>
      <c r="AD207" s="11" t="n"/>
      <c r="AF207">
        <f>IF($B207="","",IF(COUNTIF($B$2:$B207,$B207)=1,1,0))</f>
        <v/>
      </c>
      <c r="AG207">
        <f>IF($AF207=1,SUMPRODUCT(--($AJ$2:$AJ$1501&lt;$AJ207))+1,"")</f>
        <v/>
      </c>
      <c r="AH207">
        <f>IF($B207="","",IF(OR($M207=TRUE(),$M207="TRUE"),1,0))</f>
        <v/>
      </c>
      <c r="AI207">
        <f>IF($B207="","",IF($V207="Yes",1,0))</f>
        <v/>
      </c>
      <c r="AJ207">
        <f>IF($AF207=1,IFERROR(IF(VALUE($B207)&lt;100000000,VALUE($B207),1000000000),IFERROR(IF(VALUE(MID($B207,2,20))&lt;100000000,VALUE(MID($B207,2,20)),1000000000),1000000000))+ROW()/100000,"")</f>
        <v/>
      </c>
    </row>
    <row r="208">
      <c r="C208" s="11" t="n"/>
      <c r="J208" s="7">
        <f>IF($B208="","",I208*Q208/100)</f>
        <v/>
      </c>
      <c r="P208" s="7" t="n"/>
      <c r="Q208" s="7" t="n"/>
      <c r="R208" s="7">
        <f>IF($B208="","",Q208*W208/100)</f>
        <v/>
      </c>
      <c r="S208" s="7">
        <f>IF($B208="","",Q208-R208)</f>
        <v/>
      </c>
      <c r="T208" s="7">
        <f>IF($B208="","",S208-J208)</f>
        <v/>
      </c>
      <c r="W208">
        <f>IF($B208="","",IF($AI208=1,0,IF($AH208=1,Settings!$C$6,Settings!$C$7))*100)</f>
        <v/>
      </c>
      <c r="AA208" s="7" t="n"/>
      <c r="AD208" s="11" t="n"/>
      <c r="AF208">
        <f>IF($B208="","",IF(COUNTIF($B$2:$B208,$B208)=1,1,0))</f>
        <v/>
      </c>
      <c r="AG208">
        <f>IF($AF208=1,SUMPRODUCT(--($AJ$2:$AJ$1501&lt;$AJ208))+1,"")</f>
        <v/>
      </c>
      <c r="AH208">
        <f>IF($B208="","",IF(OR($M208=TRUE(),$M208="TRUE"),1,0))</f>
        <v/>
      </c>
      <c r="AI208">
        <f>IF($B208="","",IF($V208="Yes",1,0))</f>
        <v/>
      </c>
      <c r="AJ208">
        <f>IF($AF208=1,IFERROR(IF(VALUE($B208)&lt;100000000,VALUE($B208),1000000000),IFERROR(IF(VALUE(MID($B208,2,20))&lt;100000000,VALUE(MID($B208,2,20)),1000000000),1000000000))+ROW()/100000,"")</f>
        <v/>
      </c>
    </row>
    <row r="209">
      <c r="C209" s="11" t="n"/>
      <c r="J209" s="7">
        <f>IF($B209="","",I209*Q209/100)</f>
        <v/>
      </c>
      <c r="P209" s="7" t="n"/>
      <c r="Q209" s="7" t="n"/>
      <c r="R209" s="7">
        <f>IF($B209="","",Q209*W209/100)</f>
        <v/>
      </c>
      <c r="S209" s="7">
        <f>IF($B209="","",Q209-R209)</f>
        <v/>
      </c>
      <c r="T209" s="7">
        <f>IF($B209="","",S209-J209)</f>
        <v/>
      </c>
      <c r="W209">
        <f>IF($B209="","",IF($AI209=1,0,IF($AH209=1,Settings!$C$6,Settings!$C$7))*100)</f>
        <v/>
      </c>
      <c r="AA209" s="7" t="n"/>
      <c r="AD209" s="11" t="n"/>
      <c r="AF209">
        <f>IF($B209="","",IF(COUNTIF($B$2:$B209,$B209)=1,1,0))</f>
        <v/>
      </c>
      <c r="AG209">
        <f>IF($AF209=1,SUMPRODUCT(--($AJ$2:$AJ$1501&lt;$AJ209))+1,"")</f>
        <v/>
      </c>
      <c r="AH209">
        <f>IF($B209="","",IF(OR($M209=TRUE(),$M209="TRUE"),1,0))</f>
        <v/>
      </c>
      <c r="AI209">
        <f>IF($B209="","",IF($V209="Yes",1,0))</f>
        <v/>
      </c>
      <c r="AJ209">
        <f>IF($AF209=1,IFERROR(IF(VALUE($B209)&lt;100000000,VALUE($B209),1000000000),IFERROR(IF(VALUE(MID($B209,2,20))&lt;100000000,VALUE(MID($B209,2,20)),1000000000),1000000000))+ROW()/100000,"")</f>
        <v/>
      </c>
    </row>
    <row r="210">
      <c r="C210" s="11" t="n"/>
      <c r="J210" s="7">
        <f>IF($B210="","",I210*Q210/100)</f>
        <v/>
      </c>
      <c r="P210" s="7" t="n"/>
      <c r="Q210" s="7" t="n"/>
      <c r="R210" s="7">
        <f>IF($B210="","",Q210*W210/100)</f>
        <v/>
      </c>
      <c r="S210" s="7">
        <f>IF($B210="","",Q210-R210)</f>
        <v/>
      </c>
      <c r="T210" s="7">
        <f>IF($B210="","",S210-J210)</f>
        <v/>
      </c>
      <c r="W210">
        <f>IF($B210="","",IF($AI210=1,0,IF($AH210=1,Settings!$C$6,Settings!$C$7))*100)</f>
        <v/>
      </c>
      <c r="AA210" s="7" t="n"/>
      <c r="AD210" s="11" t="n"/>
      <c r="AF210">
        <f>IF($B210="","",IF(COUNTIF($B$2:$B210,$B210)=1,1,0))</f>
        <v/>
      </c>
      <c r="AG210">
        <f>IF($AF210=1,SUMPRODUCT(--($AJ$2:$AJ$1501&lt;$AJ210))+1,"")</f>
        <v/>
      </c>
      <c r="AH210">
        <f>IF($B210="","",IF(OR($M210=TRUE(),$M210="TRUE"),1,0))</f>
        <v/>
      </c>
      <c r="AI210">
        <f>IF($B210="","",IF($V210="Yes",1,0))</f>
        <v/>
      </c>
      <c r="AJ210">
        <f>IF($AF210=1,IFERROR(IF(VALUE($B210)&lt;100000000,VALUE($B210),1000000000),IFERROR(IF(VALUE(MID($B210,2,20))&lt;100000000,VALUE(MID($B210,2,20)),1000000000),1000000000))+ROW()/100000,"")</f>
        <v/>
      </c>
    </row>
    <row r="211">
      <c r="C211" s="11" t="n"/>
      <c r="J211" s="7">
        <f>IF($B211="","",I211*Q211/100)</f>
        <v/>
      </c>
      <c r="P211" s="7" t="n"/>
      <c r="Q211" s="7" t="n"/>
      <c r="R211" s="7">
        <f>IF($B211="","",Q211*W211/100)</f>
        <v/>
      </c>
      <c r="S211" s="7">
        <f>IF($B211="","",Q211-R211)</f>
        <v/>
      </c>
      <c r="T211" s="7">
        <f>IF($B211="","",S211-J211)</f>
        <v/>
      </c>
      <c r="W211">
        <f>IF($B211="","",IF($AI211=1,0,IF($AH211=1,Settings!$C$6,Settings!$C$7))*100)</f>
        <v/>
      </c>
      <c r="AA211" s="7" t="n"/>
      <c r="AD211" s="11" t="n"/>
      <c r="AF211">
        <f>IF($B211="","",IF(COUNTIF($B$2:$B211,$B211)=1,1,0))</f>
        <v/>
      </c>
      <c r="AG211">
        <f>IF($AF211=1,SUMPRODUCT(--($AJ$2:$AJ$1501&lt;$AJ211))+1,"")</f>
        <v/>
      </c>
      <c r="AH211">
        <f>IF($B211="","",IF(OR($M211=TRUE(),$M211="TRUE"),1,0))</f>
        <v/>
      </c>
      <c r="AI211">
        <f>IF($B211="","",IF($V211="Yes",1,0))</f>
        <v/>
      </c>
      <c r="AJ211">
        <f>IF($AF211=1,IFERROR(IF(VALUE($B211)&lt;100000000,VALUE($B211),1000000000),IFERROR(IF(VALUE(MID($B211,2,20))&lt;100000000,VALUE(MID($B211,2,20)),1000000000),1000000000))+ROW()/100000,"")</f>
        <v/>
      </c>
    </row>
    <row r="212">
      <c r="C212" s="11" t="n"/>
      <c r="J212" s="7">
        <f>IF($B212="","",I212*Q212/100)</f>
        <v/>
      </c>
      <c r="P212" s="7" t="n"/>
      <c r="Q212" s="7" t="n"/>
      <c r="R212" s="7">
        <f>IF($B212="","",Q212*W212/100)</f>
        <v/>
      </c>
      <c r="S212" s="7">
        <f>IF($B212="","",Q212-R212)</f>
        <v/>
      </c>
      <c r="T212" s="7">
        <f>IF($B212="","",S212-J212)</f>
        <v/>
      </c>
      <c r="W212">
        <f>IF($B212="","",IF($AI212=1,0,IF($AH212=1,Settings!$C$6,Settings!$C$7))*100)</f>
        <v/>
      </c>
      <c r="AA212" s="7" t="n"/>
      <c r="AD212" s="11" t="n"/>
      <c r="AF212">
        <f>IF($B212="","",IF(COUNTIF($B$2:$B212,$B212)=1,1,0))</f>
        <v/>
      </c>
      <c r="AG212">
        <f>IF($AF212=1,SUMPRODUCT(--($AJ$2:$AJ$1501&lt;$AJ212))+1,"")</f>
        <v/>
      </c>
      <c r="AH212">
        <f>IF($B212="","",IF(OR($M212=TRUE(),$M212="TRUE"),1,0))</f>
        <v/>
      </c>
      <c r="AI212">
        <f>IF($B212="","",IF($V212="Yes",1,0))</f>
        <v/>
      </c>
      <c r="AJ212">
        <f>IF($AF212=1,IFERROR(IF(VALUE($B212)&lt;100000000,VALUE($B212),1000000000),IFERROR(IF(VALUE(MID($B212,2,20))&lt;100000000,VALUE(MID($B212,2,20)),1000000000),1000000000))+ROW()/100000,"")</f>
        <v/>
      </c>
    </row>
    <row r="213">
      <c r="C213" s="11" t="n"/>
      <c r="J213" s="7">
        <f>IF($B213="","",I213*Q213/100)</f>
        <v/>
      </c>
      <c r="P213" s="7" t="n"/>
      <c r="Q213" s="7" t="n"/>
      <c r="R213" s="7">
        <f>IF($B213="","",Q213*W213/100)</f>
        <v/>
      </c>
      <c r="S213" s="7">
        <f>IF($B213="","",Q213-R213)</f>
        <v/>
      </c>
      <c r="T213" s="7">
        <f>IF($B213="","",S213-J213)</f>
        <v/>
      </c>
      <c r="W213">
        <f>IF($B213="","",IF($AI213=1,0,IF($AH213=1,Settings!$C$6,Settings!$C$7))*100)</f>
        <v/>
      </c>
      <c r="AA213" s="7" t="n"/>
      <c r="AD213" s="11" t="n"/>
      <c r="AF213">
        <f>IF($B213="","",IF(COUNTIF($B$2:$B213,$B213)=1,1,0))</f>
        <v/>
      </c>
      <c r="AG213">
        <f>IF($AF213=1,SUMPRODUCT(--($AJ$2:$AJ$1501&lt;$AJ213))+1,"")</f>
        <v/>
      </c>
      <c r="AH213">
        <f>IF($B213="","",IF(OR($M213=TRUE(),$M213="TRUE"),1,0))</f>
        <v/>
      </c>
      <c r="AI213">
        <f>IF($B213="","",IF($V213="Yes",1,0))</f>
        <v/>
      </c>
      <c r="AJ213">
        <f>IF($AF213=1,IFERROR(IF(VALUE($B213)&lt;100000000,VALUE($B213),1000000000),IFERROR(IF(VALUE(MID($B213,2,20))&lt;100000000,VALUE(MID($B213,2,20)),1000000000),1000000000))+ROW()/100000,"")</f>
        <v/>
      </c>
    </row>
    <row r="214">
      <c r="C214" s="11" t="n"/>
      <c r="J214" s="7">
        <f>IF($B214="","",I214*Q214/100)</f>
        <v/>
      </c>
      <c r="P214" s="7" t="n"/>
      <c r="Q214" s="7" t="n"/>
      <c r="R214" s="7">
        <f>IF($B214="","",Q214*W214/100)</f>
        <v/>
      </c>
      <c r="S214" s="7">
        <f>IF($B214="","",Q214-R214)</f>
        <v/>
      </c>
      <c r="T214" s="7">
        <f>IF($B214="","",S214-J214)</f>
        <v/>
      </c>
      <c r="W214">
        <f>IF($B214="","",IF($AI214=1,0,IF($AH214=1,Settings!$C$6,Settings!$C$7))*100)</f>
        <v/>
      </c>
      <c r="AA214" s="7" t="n"/>
      <c r="AD214" s="11" t="n"/>
      <c r="AF214">
        <f>IF($B214="","",IF(COUNTIF($B$2:$B214,$B214)=1,1,0))</f>
        <v/>
      </c>
      <c r="AG214">
        <f>IF($AF214=1,SUMPRODUCT(--($AJ$2:$AJ$1501&lt;$AJ214))+1,"")</f>
        <v/>
      </c>
      <c r="AH214">
        <f>IF($B214="","",IF(OR($M214=TRUE(),$M214="TRUE"),1,0))</f>
        <v/>
      </c>
      <c r="AI214">
        <f>IF($B214="","",IF($V214="Yes",1,0))</f>
        <v/>
      </c>
      <c r="AJ214">
        <f>IF($AF214=1,IFERROR(IF(VALUE($B214)&lt;100000000,VALUE($B214),1000000000),IFERROR(IF(VALUE(MID($B214,2,20))&lt;100000000,VALUE(MID($B214,2,20)),1000000000),1000000000))+ROW()/100000,"")</f>
        <v/>
      </c>
    </row>
    <row r="215">
      <c r="C215" s="11" t="n"/>
      <c r="J215" s="7">
        <f>IF($B215="","",I215*Q215/100)</f>
        <v/>
      </c>
      <c r="P215" s="7" t="n"/>
      <c r="Q215" s="7" t="n"/>
      <c r="R215" s="7">
        <f>IF($B215="","",Q215*W215/100)</f>
        <v/>
      </c>
      <c r="S215" s="7">
        <f>IF($B215="","",Q215-R215)</f>
        <v/>
      </c>
      <c r="T215" s="7">
        <f>IF($B215="","",S215-J215)</f>
        <v/>
      </c>
      <c r="W215">
        <f>IF($B215="","",IF($AI215=1,0,IF($AH215=1,Settings!$C$6,Settings!$C$7))*100)</f>
        <v/>
      </c>
      <c r="AA215" s="7" t="n"/>
      <c r="AD215" s="11" t="n"/>
      <c r="AF215">
        <f>IF($B215="","",IF(COUNTIF($B$2:$B215,$B215)=1,1,0))</f>
        <v/>
      </c>
      <c r="AG215">
        <f>IF($AF215=1,SUMPRODUCT(--($AJ$2:$AJ$1501&lt;$AJ215))+1,"")</f>
        <v/>
      </c>
      <c r="AH215">
        <f>IF($B215="","",IF(OR($M215=TRUE(),$M215="TRUE"),1,0))</f>
        <v/>
      </c>
      <c r="AI215">
        <f>IF($B215="","",IF($V215="Yes",1,0))</f>
        <v/>
      </c>
      <c r="AJ215">
        <f>IF($AF215=1,IFERROR(IF(VALUE($B215)&lt;100000000,VALUE($B215),1000000000),IFERROR(IF(VALUE(MID($B215,2,20))&lt;100000000,VALUE(MID($B215,2,20)),1000000000),1000000000))+ROW()/100000,"")</f>
        <v/>
      </c>
    </row>
    <row r="216">
      <c r="C216" s="11" t="n"/>
      <c r="J216" s="7">
        <f>IF($B216="","",I216*Q216/100)</f>
        <v/>
      </c>
      <c r="P216" s="7" t="n"/>
      <c r="Q216" s="7" t="n"/>
      <c r="R216" s="7">
        <f>IF($B216="","",Q216*W216/100)</f>
        <v/>
      </c>
      <c r="S216" s="7">
        <f>IF($B216="","",Q216-R216)</f>
        <v/>
      </c>
      <c r="T216" s="7">
        <f>IF($B216="","",S216-J216)</f>
        <v/>
      </c>
      <c r="W216">
        <f>IF($B216="","",IF($AI216=1,0,IF($AH216=1,Settings!$C$6,Settings!$C$7))*100)</f>
        <v/>
      </c>
      <c r="AA216" s="7" t="n"/>
      <c r="AD216" s="11" t="n"/>
      <c r="AF216">
        <f>IF($B216="","",IF(COUNTIF($B$2:$B216,$B216)=1,1,0))</f>
        <v/>
      </c>
      <c r="AG216">
        <f>IF($AF216=1,SUMPRODUCT(--($AJ$2:$AJ$1501&lt;$AJ216))+1,"")</f>
        <v/>
      </c>
      <c r="AH216">
        <f>IF($B216="","",IF(OR($M216=TRUE(),$M216="TRUE"),1,0))</f>
        <v/>
      </c>
      <c r="AI216">
        <f>IF($B216="","",IF($V216="Yes",1,0))</f>
        <v/>
      </c>
      <c r="AJ216">
        <f>IF($AF216=1,IFERROR(IF(VALUE($B216)&lt;100000000,VALUE($B216),1000000000),IFERROR(IF(VALUE(MID($B216,2,20))&lt;100000000,VALUE(MID($B216,2,20)),1000000000),1000000000))+ROW()/100000,"")</f>
        <v/>
      </c>
    </row>
    <row r="217">
      <c r="C217" s="11" t="n"/>
      <c r="J217" s="7">
        <f>IF($B217="","",I217*Q217/100)</f>
        <v/>
      </c>
      <c r="P217" s="7" t="n"/>
      <c r="Q217" s="7" t="n"/>
      <c r="R217" s="7">
        <f>IF($B217="","",Q217*W217/100)</f>
        <v/>
      </c>
      <c r="S217" s="7">
        <f>IF($B217="","",Q217-R217)</f>
        <v/>
      </c>
      <c r="T217" s="7">
        <f>IF($B217="","",S217-J217)</f>
        <v/>
      </c>
      <c r="W217">
        <f>IF($B217="","",IF($AI217=1,0,IF($AH217=1,Settings!$C$6,Settings!$C$7))*100)</f>
        <v/>
      </c>
      <c r="AA217" s="7" t="n"/>
      <c r="AD217" s="11" t="n"/>
      <c r="AF217">
        <f>IF($B217="","",IF(COUNTIF($B$2:$B217,$B217)=1,1,0))</f>
        <v/>
      </c>
      <c r="AG217">
        <f>IF($AF217=1,SUMPRODUCT(--($AJ$2:$AJ$1501&lt;$AJ217))+1,"")</f>
        <v/>
      </c>
      <c r="AH217">
        <f>IF($B217="","",IF(OR($M217=TRUE(),$M217="TRUE"),1,0))</f>
        <v/>
      </c>
      <c r="AI217">
        <f>IF($B217="","",IF($V217="Yes",1,0))</f>
        <v/>
      </c>
      <c r="AJ217">
        <f>IF($AF217=1,IFERROR(IF(VALUE($B217)&lt;100000000,VALUE($B217),1000000000),IFERROR(IF(VALUE(MID($B217,2,20))&lt;100000000,VALUE(MID($B217,2,20)),1000000000),1000000000))+ROW()/100000,"")</f>
        <v/>
      </c>
    </row>
    <row r="218">
      <c r="C218" s="11" t="n"/>
      <c r="J218" s="7">
        <f>IF($B218="","",I218*Q218/100)</f>
        <v/>
      </c>
      <c r="P218" s="7" t="n"/>
      <c r="Q218" s="7" t="n"/>
      <c r="R218" s="7">
        <f>IF($B218="","",Q218*W218/100)</f>
        <v/>
      </c>
      <c r="S218" s="7">
        <f>IF($B218="","",Q218-R218)</f>
        <v/>
      </c>
      <c r="T218" s="7">
        <f>IF($B218="","",S218-J218)</f>
        <v/>
      </c>
      <c r="W218">
        <f>IF($B218="","",IF($AI218=1,0,IF($AH218=1,Settings!$C$6,Settings!$C$7))*100)</f>
        <v/>
      </c>
      <c r="AA218" s="7" t="n"/>
      <c r="AD218" s="11" t="n"/>
      <c r="AF218">
        <f>IF($B218="","",IF(COUNTIF($B$2:$B218,$B218)=1,1,0))</f>
        <v/>
      </c>
      <c r="AG218">
        <f>IF($AF218=1,SUMPRODUCT(--($AJ$2:$AJ$1501&lt;$AJ218))+1,"")</f>
        <v/>
      </c>
      <c r="AH218">
        <f>IF($B218="","",IF(OR($M218=TRUE(),$M218="TRUE"),1,0))</f>
        <v/>
      </c>
      <c r="AI218">
        <f>IF($B218="","",IF($V218="Yes",1,0))</f>
        <v/>
      </c>
      <c r="AJ218">
        <f>IF($AF218=1,IFERROR(IF(VALUE($B218)&lt;100000000,VALUE($B218),1000000000),IFERROR(IF(VALUE(MID($B218,2,20))&lt;100000000,VALUE(MID($B218,2,20)),1000000000),1000000000))+ROW()/100000,"")</f>
        <v/>
      </c>
    </row>
    <row r="219">
      <c r="C219" s="11" t="n"/>
      <c r="J219" s="7">
        <f>IF($B219="","",I219*Q219/100)</f>
        <v/>
      </c>
      <c r="P219" s="7" t="n"/>
      <c r="Q219" s="7" t="n"/>
      <c r="R219" s="7">
        <f>IF($B219="","",Q219*W219/100)</f>
        <v/>
      </c>
      <c r="S219" s="7">
        <f>IF($B219="","",Q219-R219)</f>
        <v/>
      </c>
      <c r="T219" s="7">
        <f>IF($B219="","",S219-J219)</f>
        <v/>
      </c>
      <c r="W219">
        <f>IF($B219="","",IF($AI219=1,0,IF($AH219=1,Settings!$C$6,Settings!$C$7))*100)</f>
        <v/>
      </c>
      <c r="AA219" s="7" t="n"/>
      <c r="AD219" s="11" t="n"/>
      <c r="AF219">
        <f>IF($B219="","",IF(COUNTIF($B$2:$B219,$B219)=1,1,0))</f>
        <v/>
      </c>
      <c r="AG219">
        <f>IF($AF219=1,SUMPRODUCT(--($AJ$2:$AJ$1501&lt;$AJ219))+1,"")</f>
        <v/>
      </c>
      <c r="AH219">
        <f>IF($B219="","",IF(OR($M219=TRUE(),$M219="TRUE"),1,0))</f>
        <v/>
      </c>
      <c r="AI219">
        <f>IF($B219="","",IF($V219="Yes",1,0))</f>
        <v/>
      </c>
      <c r="AJ219">
        <f>IF($AF219=1,IFERROR(IF(VALUE($B219)&lt;100000000,VALUE($B219),1000000000),IFERROR(IF(VALUE(MID($B219,2,20))&lt;100000000,VALUE(MID($B219,2,20)),1000000000),1000000000))+ROW()/100000,"")</f>
        <v/>
      </c>
    </row>
    <row r="220">
      <c r="C220" s="11" t="n"/>
      <c r="J220" s="7">
        <f>IF($B220="","",I220*Q220/100)</f>
        <v/>
      </c>
      <c r="P220" s="7" t="n"/>
      <c r="Q220" s="7" t="n"/>
      <c r="R220" s="7">
        <f>IF($B220="","",Q220*W220/100)</f>
        <v/>
      </c>
      <c r="S220" s="7">
        <f>IF($B220="","",Q220-R220)</f>
        <v/>
      </c>
      <c r="T220" s="7">
        <f>IF($B220="","",S220-J220)</f>
        <v/>
      </c>
      <c r="W220">
        <f>IF($B220="","",IF($AI220=1,0,IF($AH220=1,Settings!$C$6,Settings!$C$7))*100)</f>
        <v/>
      </c>
      <c r="AA220" s="7" t="n"/>
      <c r="AD220" s="11" t="n"/>
      <c r="AF220">
        <f>IF($B220="","",IF(COUNTIF($B$2:$B220,$B220)=1,1,0))</f>
        <v/>
      </c>
      <c r="AG220">
        <f>IF($AF220=1,SUMPRODUCT(--($AJ$2:$AJ$1501&lt;$AJ220))+1,"")</f>
        <v/>
      </c>
      <c r="AH220">
        <f>IF($B220="","",IF(OR($M220=TRUE(),$M220="TRUE"),1,0))</f>
        <v/>
      </c>
      <c r="AI220">
        <f>IF($B220="","",IF($V220="Yes",1,0))</f>
        <v/>
      </c>
      <c r="AJ220">
        <f>IF($AF220=1,IFERROR(IF(VALUE($B220)&lt;100000000,VALUE($B220),1000000000),IFERROR(IF(VALUE(MID($B220,2,20))&lt;100000000,VALUE(MID($B220,2,20)),1000000000),1000000000))+ROW()/100000,"")</f>
        <v/>
      </c>
    </row>
    <row r="221">
      <c r="C221" s="11" t="n"/>
      <c r="J221" s="7">
        <f>IF($B221="","",I221*Q221/100)</f>
        <v/>
      </c>
      <c r="P221" s="7" t="n"/>
      <c r="Q221" s="7" t="n"/>
      <c r="R221" s="7">
        <f>IF($B221="","",Q221*W221/100)</f>
        <v/>
      </c>
      <c r="S221" s="7">
        <f>IF($B221="","",Q221-R221)</f>
        <v/>
      </c>
      <c r="T221" s="7">
        <f>IF($B221="","",S221-J221)</f>
        <v/>
      </c>
      <c r="W221">
        <f>IF($B221="","",IF($AI221=1,0,IF($AH221=1,Settings!$C$6,Settings!$C$7))*100)</f>
        <v/>
      </c>
      <c r="AA221" s="7" t="n"/>
      <c r="AD221" s="11" t="n"/>
      <c r="AF221">
        <f>IF($B221="","",IF(COUNTIF($B$2:$B221,$B221)=1,1,0))</f>
        <v/>
      </c>
      <c r="AG221">
        <f>IF($AF221=1,SUMPRODUCT(--($AJ$2:$AJ$1501&lt;$AJ221))+1,"")</f>
        <v/>
      </c>
      <c r="AH221">
        <f>IF($B221="","",IF(OR($M221=TRUE(),$M221="TRUE"),1,0))</f>
        <v/>
      </c>
      <c r="AI221">
        <f>IF($B221="","",IF($V221="Yes",1,0))</f>
        <v/>
      </c>
      <c r="AJ221">
        <f>IF($AF221=1,IFERROR(IF(VALUE($B221)&lt;100000000,VALUE($B221),1000000000),IFERROR(IF(VALUE(MID($B221,2,20))&lt;100000000,VALUE(MID($B221,2,20)),1000000000),1000000000))+ROW()/100000,"")</f>
        <v/>
      </c>
    </row>
    <row r="222">
      <c r="C222" s="11" t="n"/>
      <c r="J222" s="7">
        <f>IF($B222="","",I222*Q222/100)</f>
        <v/>
      </c>
      <c r="P222" s="7" t="n"/>
      <c r="Q222" s="7" t="n"/>
      <c r="R222" s="7">
        <f>IF($B222="","",Q222*W222/100)</f>
        <v/>
      </c>
      <c r="S222" s="7">
        <f>IF($B222="","",Q222-R222)</f>
        <v/>
      </c>
      <c r="T222" s="7">
        <f>IF($B222="","",S222-J222)</f>
        <v/>
      </c>
      <c r="W222">
        <f>IF($B222="","",IF($AI222=1,0,IF($AH222=1,Settings!$C$6,Settings!$C$7))*100)</f>
        <v/>
      </c>
      <c r="AA222" s="7" t="n"/>
      <c r="AD222" s="11" t="n"/>
      <c r="AF222">
        <f>IF($B222="","",IF(COUNTIF($B$2:$B222,$B222)=1,1,0))</f>
        <v/>
      </c>
      <c r="AG222">
        <f>IF($AF222=1,SUMPRODUCT(--($AJ$2:$AJ$1501&lt;$AJ222))+1,"")</f>
        <v/>
      </c>
      <c r="AH222">
        <f>IF($B222="","",IF(OR($M222=TRUE(),$M222="TRUE"),1,0))</f>
        <v/>
      </c>
      <c r="AI222">
        <f>IF($B222="","",IF($V222="Yes",1,0))</f>
        <v/>
      </c>
      <c r="AJ222">
        <f>IF($AF222=1,IFERROR(IF(VALUE($B222)&lt;100000000,VALUE($B222),1000000000),IFERROR(IF(VALUE(MID($B222,2,20))&lt;100000000,VALUE(MID($B222,2,20)),1000000000),1000000000))+ROW()/100000,"")</f>
        <v/>
      </c>
    </row>
    <row r="223">
      <c r="C223" s="11" t="n"/>
      <c r="J223" s="7">
        <f>IF($B223="","",I223*Q223/100)</f>
        <v/>
      </c>
      <c r="P223" s="7" t="n"/>
      <c r="Q223" s="7" t="n"/>
      <c r="R223" s="7">
        <f>IF($B223="","",Q223*W223/100)</f>
        <v/>
      </c>
      <c r="S223" s="7">
        <f>IF($B223="","",Q223-R223)</f>
        <v/>
      </c>
      <c r="T223" s="7">
        <f>IF($B223="","",S223-J223)</f>
        <v/>
      </c>
      <c r="W223">
        <f>IF($B223="","",IF($AI223=1,0,IF($AH223=1,Settings!$C$6,Settings!$C$7))*100)</f>
        <v/>
      </c>
      <c r="AA223" s="7" t="n"/>
      <c r="AD223" s="11" t="n"/>
      <c r="AF223">
        <f>IF($B223="","",IF(COUNTIF($B$2:$B223,$B223)=1,1,0))</f>
        <v/>
      </c>
      <c r="AG223">
        <f>IF($AF223=1,SUMPRODUCT(--($AJ$2:$AJ$1501&lt;$AJ223))+1,"")</f>
        <v/>
      </c>
      <c r="AH223">
        <f>IF($B223="","",IF(OR($M223=TRUE(),$M223="TRUE"),1,0))</f>
        <v/>
      </c>
      <c r="AI223">
        <f>IF($B223="","",IF($V223="Yes",1,0))</f>
        <v/>
      </c>
      <c r="AJ223">
        <f>IF($AF223=1,IFERROR(IF(VALUE($B223)&lt;100000000,VALUE($B223),1000000000),IFERROR(IF(VALUE(MID($B223,2,20))&lt;100000000,VALUE(MID($B223,2,20)),1000000000),1000000000))+ROW()/100000,"")</f>
        <v/>
      </c>
    </row>
    <row r="224">
      <c r="C224" s="11" t="n"/>
      <c r="J224" s="7">
        <f>IF($B224="","",I224*Q224/100)</f>
        <v/>
      </c>
      <c r="P224" s="7" t="n"/>
      <c r="Q224" s="7" t="n"/>
      <c r="R224" s="7">
        <f>IF($B224="","",Q224*W224/100)</f>
        <v/>
      </c>
      <c r="S224" s="7">
        <f>IF($B224="","",Q224-R224)</f>
        <v/>
      </c>
      <c r="T224" s="7">
        <f>IF($B224="","",S224-J224)</f>
        <v/>
      </c>
      <c r="W224">
        <f>IF($B224="","",IF($AI224=1,0,IF($AH224=1,Settings!$C$6,Settings!$C$7))*100)</f>
        <v/>
      </c>
      <c r="AA224" s="7" t="n"/>
      <c r="AD224" s="11" t="n"/>
      <c r="AF224">
        <f>IF($B224="","",IF(COUNTIF($B$2:$B224,$B224)=1,1,0))</f>
        <v/>
      </c>
      <c r="AG224">
        <f>IF($AF224=1,SUMPRODUCT(--($AJ$2:$AJ$1501&lt;$AJ224))+1,"")</f>
        <v/>
      </c>
      <c r="AH224">
        <f>IF($B224="","",IF(OR($M224=TRUE(),$M224="TRUE"),1,0))</f>
        <v/>
      </c>
      <c r="AI224">
        <f>IF($B224="","",IF($V224="Yes",1,0))</f>
        <v/>
      </c>
      <c r="AJ224">
        <f>IF($AF224=1,IFERROR(IF(VALUE($B224)&lt;100000000,VALUE($B224),1000000000),IFERROR(IF(VALUE(MID($B224,2,20))&lt;100000000,VALUE(MID($B224,2,20)),1000000000),1000000000))+ROW()/100000,"")</f>
        <v/>
      </c>
    </row>
    <row r="225">
      <c r="C225" s="11" t="n"/>
      <c r="J225" s="7">
        <f>IF($B225="","",I225*Q225/100)</f>
        <v/>
      </c>
      <c r="P225" s="7" t="n"/>
      <c r="Q225" s="7" t="n"/>
      <c r="R225" s="7">
        <f>IF($B225="","",Q225*W225/100)</f>
        <v/>
      </c>
      <c r="S225" s="7">
        <f>IF($B225="","",Q225-R225)</f>
        <v/>
      </c>
      <c r="T225" s="7">
        <f>IF($B225="","",S225-J225)</f>
        <v/>
      </c>
      <c r="W225">
        <f>IF($B225="","",IF($AI225=1,0,IF($AH225=1,Settings!$C$6,Settings!$C$7))*100)</f>
        <v/>
      </c>
      <c r="AA225" s="7" t="n"/>
      <c r="AD225" s="11" t="n"/>
      <c r="AF225">
        <f>IF($B225="","",IF(COUNTIF($B$2:$B225,$B225)=1,1,0))</f>
        <v/>
      </c>
      <c r="AG225">
        <f>IF($AF225=1,SUMPRODUCT(--($AJ$2:$AJ$1501&lt;$AJ225))+1,"")</f>
        <v/>
      </c>
      <c r="AH225">
        <f>IF($B225="","",IF(OR($M225=TRUE(),$M225="TRUE"),1,0))</f>
        <v/>
      </c>
      <c r="AI225">
        <f>IF($B225="","",IF($V225="Yes",1,0))</f>
        <v/>
      </c>
      <c r="AJ225">
        <f>IF($AF225=1,IFERROR(IF(VALUE($B225)&lt;100000000,VALUE($B225),1000000000),IFERROR(IF(VALUE(MID($B225,2,20))&lt;100000000,VALUE(MID($B225,2,20)),1000000000),1000000000))+ROW()/100000,"")</f>
        <v/>
      </c>
    </row>
    <row r="226">
      <c r="C226" s="11" t="n"/>
      <c r="J226" s="7">
        <f>IF($B226="","",I226*Q226/100)</f>
        <v/>
      </c>
      <c r="P226" s="7" t="n"/>
      <c r="Q226" s="7" t="n"/>
      <c r="R226" s="7">
        <f>IF($B226="","",Q226*W226/100)</f>
        <v/>
      </c>
      <c r="S226" s="7">
        <f>IF($B226="","",Q226-R226)</f>
        <v/>
      </c>
      <c r="T226" s="7">
        <f>IF($B226="","",S226-J226)</f>
        <v/>
      </c>
      <c r="W226">
        <f>IF($B226="","",IF($AI226=1,0,IF($AH226=1,Settings!$C$6,Settings!$C$7))*100)</f>
        <v/>
      </c>
      <c r="AA226" s="7" t="n"/>
      <c r="AD226" s="11" t="n"/>
      <c r="AF226">
        <f>IF($B226="","",IF(COUNTIF($B$2:$B226,$B226)=1,1,0))</f>
        <v/>
      </c>
      <c r="AG226">
        <f>IF($AF226=1,SUMPRODUCT(--($AJ$2:$AJ$1501&lt;$AJ226))+1,"")</f>
        <v/>
      </c>
      <c r="AH226">
        <f>IF($B226="","",IF(OR($M226=TRUE(),$M226="TRUE"),1,0))</f>
        <v/>
      </c>
      <c r="AI226">
        <f>IF($B226="","",IF($V226="Yes",1,0))</f>
        <v/>
      </c>
      <c r="AJ226">
        <f>IF($AF226=1,IFERROR(IF(VALUE($B226)&lt;100000000,VALUE($B226),1000000000),IFERROR(IF(VALUE(MID($B226,2,20))&lt;100000000,VALUE(MID($B226,2,20)),1000000000),1000000000))+ROW()/100000,"")</f>
        <v/>
      </c>
    </row>
    <row r="227">
      <c r="C227" s="11" t="n"/>
      <c r="J227" s="7">
        <f>IF($B227="","",I227*Q227/100)</f>
        <v/>
      </c>
      <c r="P227" s="7" t="n"/>
      <c r="Q227" s="7" t="n"/>
      <c r="R227" s="7">
        <f>IF($B227="","",Q227*W227/100)</f>
        <v/>
      </c>
      <c r="S227" s="7">
        <f>IF($B227="","",Q227-R227)</f>
        <v/>
      </c>
      <c r="T227" s="7">
        <f>IF($B227="","",S227-J227)</f>
        <v/>
      </c>
      <c r="W227">
        <f>IF($B227="","",IF($AI227=1,0,IF($AH227=1,Settings!$C$6,Settings!$C$7))*100)</f>
        <v/>
      </c>
      <c r="AA227" s="7" t="n"/>
      <c r="AD227" s="11" t="n"/>
      <c r="AF227">
        <f>IF($B227="","",IF(COUNTIF($B$2:$B227,$B227)=1,1,0))</f>
        <v/>
      </c>
      <c r="AG227">
        <f>IF($AF227=1,SUMPRODUCT(--($AJ$2:$AJ$1501&lt;$AJ227))+1,"")</f>
        <v/>
      </c>
      <c r="AH227">
        <f>IF($B227="","",IF(OR($M227=TRUE(),$M227="TRUE"),1,0))</f>
        <v/>
      </c>
      <c r="AI227">
        <f>IF($B227="","",IF($V227="Yes",1,0))</f>
        <v/>
      </c>
      <c r="AJ227">
        <f>IF($AF227=1,IFERROR(IF(VALUE($B227)&lt;100000000,VALUE($B227),1000000000),IFERROR(IF(VALUE(MID($B227,2,20))&lt;100000000,VALUE(MID($B227,2,20)),1000000000),1000000000))+ROW()/100000,"")</f>
        <v/>
      </c>
    </row>
    <row r="228">
      <c r="C228" s="11" t="n"/>
      <c r="J228" s="7">
        <f>IF($B228="","",I228*Q228/100)</f>
        <v/>
      </c>
      <c r="P228" s="7" t="n"/>
      <c r="Q228" s="7" t="n"/>
      <c r="R228" s="7">
        <f>IF($B228="","",Q228*W228/100)</f>
        <v/>
      </c>
      <c r="S228" s="7">
        <f>IF($B228="","",Q228-R228)</f>
        <v/>
      </c>
      <c r="T228" s="7">
        <f>IF($B228="","",S228-J228)</f>
        <v/>
      </c>
      <c r="W228">
        <f>IF($B228="","",IF($AI228=1,0,IF($AH228=1,Settings!$C$6,Settings!$C$7))*100)</f>
        <v/>
      </c>
      <c r="AA228" s="7" t="n"/>
      <c r="AD228" s="11" t="n"/>
      <c r="AF228">
        <f>IF($B228="","",IF(COUNTIF($B$2:$B228,$B228)=1,1,0))</f>
        <v/>
      </c>
      <c r="AG228">
        <f>IF($AF228=1,SUMPRODUCT(--($AJ$2:$AJ$1501&lt;$AJ228))+1,"")</f>
        <v/>
      </c>
      <c r="AH228">
        <f>IF($B228="","",IF(OR($M228=TRUE(),$M228="TRUE"),1,0))</f>
        <v/>
      </c>
      <c r="AI228">
        <f>IF($B228="","",IF($V228="Yes",1,0))</f>
        <v/>
      </c>
      <c r="AJ228">
        <f>IF($AF228=1,IFERROR(IF(VALUE($B228)&lt;100000000,VALUE($B228),1000000000),IFERROR(IF(VALUE(MID($B228,2,20))&lt;100000000,VALUE(MID($B228,2,20)),1000000000),1000000000))+ROW()/100000,"")</f>
        <v/>
      </c>
    </row>
    <row r="229">
      <c r="C229" s="11" t="n"/>
      <c r="J229" s="7">
        <f>IF($B229="","",I229*Q229/100)</f>
        <v/>
      </c>
      <c r="P229" s="7" t="n"/>
      <c r="Q229" s="7" t="n"/>
      <c r="R229" s="7">
        <f>IF($B229="","",Q229*W229/100)</f>
        <v/>
      </c>
      <c r="S229" s="7">
        <f>IF($B229="","",Q229-R229)</f>
        <v/>
      </c>
      <c r="T229" s="7">
        <f>IF($B229="","",S229-J229)</f>
        <v/>
      </c>
      <c r="W229">
        <f>IF($B229="","",IF($AI229=1,0,IF($AH229=1,Settings!$C$6,Settings!$C$7))*100)</f>
        <v/>
      </c>
      <c r="AA229" s="7" t="n"/>
      <c r="AD229" s="11" t="n"/>
      <c r="AF229">
        <f>IF($B229="","",IF(COUNTIF($B$2:$B229,$B229)=1,1,0))</f>
        <v/>
      </c>
      <c r="AG229">
        <f>IF($AF229=1,SUMPRODUCT(--($AJ$2:$AJ$1501&lt;$AJ229))+1,"")</f>
        <v/>
      </c>
      <c r="AH229">
        <f>IF($B229="","",IF(OR($M229=TRUE(),$M229="TRUE"),1,0))</f>
        <v/>
      </c>
      <c r="AI229">
        <f>IF($B229="","",IF($V229="Yes",1,0))</f>
        <v/>
      </c>
      <c r="AJ229">
        <f>IF($AF229=1,IFERROR(IF(VALUE($B229)&lt;100000000,VALUE($B229),1000000000),IFERROR(IF(VALUE(MID($B229,2,20))&lt;100000000,VALUE(MID($B229,2,20)),1000000000),1000000000))+ROW()/100000,"")</f>
        <v/>
      </c>
    </row>
    <row r="230">
      <c r="C230" s="11" t="n"/>
      <c r="J230" s="7">
        <f>IF($B230="","",I230*Q230/100)</f>
        <v/>
      </c>
      <c r="P230" s="7" t="n"/>
      <c r="Q230" s="7" t="n"/>
      <c r="R230" s="7">
        <f>IF($B230="","",Q230*W230/100)</f>
        <v/>
      </c>
      <c r="S230" s="7">
        <f>IF($B230="","",Q230-R230)</f>
        <v/>
      </c>
      <c r="T230" s="7">
        <f>IF($B230="","",S230-J230)</f>
        <v/>
      </c>
      <c r="W230">
        <f>IF($B230="","",IF($AI230=1,0,IF($AH230=1,Settings!$C$6,Settings!$C$7))*100)</f>
        <v/>
      </c>
      <c r="AA230" s="7" t="n"/>
      <c r="AD230" s="11" t="n"/>
      <c r="AF230">
        <f>IF($B230="","",IF(COUNTIF($B$2:$B230,$B230)=1,1,0))</f>
        <v/>
      </c>
      <c r="AG230">
        <f>IF($AF230=1,SUMPRODUCT(--($AJ$2:$AJ$1501&lt;$AJ230))+1,"")</f>
        <v/>
      </c>
      <c r="AH230">
        <f>IF($B230="","",IF(OR($M230=TRUE(),$M230="TRUE"),1,0))</f>
        <v/>
      </c>
      <c r="AI230">
        <f>IF($B230="","",IF($V230="Yes",1,0))</f>
        <v/>
      </c>
      <c r="AJ230">
        <f>IF($AF230=1,IFERROR(IF(VALUE($B230)&lt;100000000,VALUE($B230),1000000000),IFERROR(IF(VALUE(MID($B230,2,20))&lt;100000000,VALUE(MID($B230,2,20)),1000000000),1000000000))+ROW()/100000,"")</f>
        <v/>
      </c>
    </row>
    <row r="231">
      <c r="C231" s="11" t="n"/>
      <c r="J231" s="7">
        <f>IF($B231="","",I231*Q231/100)</f>
        <v/>
      </c>
      <c r="P231" s="7" t="n"/>
      <c r="Q231" s="7" t="n"/>
      <c r="R231" s="7">
        <f>IF($B231="","",Q231*W231/100)</f>
        <v/>
      </c>
      <c r="S231" s="7">
        <f>IF($B231="","",Q231-R231)</f>
        <v/>
      </c>
      <c r="T231" s="7">
        <f>IF($B231="","",S231-J231)</f>
        <v/>
      </c>
      <c r="W231">
        <f>IF($B231="","",IF($AI231=1,0,IF($AH231=1,Settings!$C$6,Settings!$C$7))*100)</f>
        <v/>
      </c>
      <c r="AA231" s="7" t="n"/>
      <c r="AD231" s="11" t="n"/>
      <c r="AF231">
        <f>IF($B231="","",IF(COUNTIF($B$2:$B231,$B231)=1,1,0))</f>
        <v/>
      </c>
      <c r="AG231">
        <f>IF($AF231=1,SUMPRODUCT(--($AJ$2:$AJ$1501&lt;$AJ231))+1,"")</f>
        <v/>
      </c>
      <c r="AH231">
        <f>IF($B231="","",IF(OR($M231=TRUE(),$M231="TRUE"),1,0))</f>
        <v/>
      </c>
      <c r="AI231">
        <f>IF($B231="","",IF($V231="Yes",1,0))</f>
        <v/>
      </c>
      <c r="AJ231">
        <f>IF($AF231=1,IFERROR(IF(VALUE($B231)&lt;100000000,VALUE($B231),1000000000),IFERROR(IF(VALUE(MID($B231,2,20))&lt;100000000,VALUE(MID($B231,2,20)),1000000000),1000000000))+ROW()/100000,"")</f>
        <v/>
      </c>
    </row>
    <row r="232">
      <c r="C232" s="11" t="n"/>
      <c r="J232" s="7">
        <f>IF($B232="","",I232*Q232/100)</f>
        <v/>
      </c>
      <c r="P232" s="7" t="n"/>
      <c r="Q232" s="7" t="n"/>
      <c r="R232" s="7">
        <f>IF($B232="","",Q232*W232/100)</f>
        <v/>
      </c>
      <c r="S232" s="7">
        <f>IF($B232="","",Q232-R232)</f>
        <v/>
      </c>
      <c r="T232" s="7">
        <f>IF($B232="","",S232-J232)</f>
        <v/>
      </c>
      <c r="W232">
        <f>IF($B232="","",IF($AI232=1,0,IF($AH232=1,Settings!$C$6,Settings!$C$7))*100)</f>
        <v/>
      </c>
      <c r="AA232" s="7" t="n"/>
      <c r="AD232" s="11" t="n"/>
      <c r="AF232">
        <f>IF($B232="","",IF(COUNTIF($B$2:$B232,$B232)=1,1,0))</f>
        <v/>
      </c>
      <c r="AG232">
        <f>IF($AF232=1,SUMPRODUCT(--($AJ$2:$AJ$1501&lt;$AJ232))+1,"")</f>
        <v/>
      </c>
      <c r="AH232">
        <f>IF($B232="","",IF(OR($M232=TRUE(),$M232="TRUE"),1,0))</f>
        <v/>
      </c>
      <c r="AI232">
        <f>IF($B232="","",IF($V232="Yes",1,0))</f>
        <v/>
      </c>
      <c r="AJ232">
        <f>IF($AF232=1,IFERROR(IF(VALUE($B232)&lt;100000000,VALUE($B232),1000000000),IFERROR(IF(VALUE(MID($B232,2,20))&lt;100000000,VALUE(MID($B232,2,20)),1000000000),1000000000))+ROW()/100000,"")</f>
        <v/>
      </c>
    </row>
    <row r="233">
      <c r="C233" s="11" t="n"/>
      <c r="J233" s="7">
        <f>IF($B233="","",I233*Q233/100)</f>
        <v/>
      </c>
      <c r="P233" s="7" t="n"/>
      <c r="Q233" s="7" t="n"/>
      <c r="R233" s="7">
        <f>IF($B233="","",Q233*W233/100)</f>
        <v/>
      </c>
      <c r="S233" s="7">
        <f>IF($B233="","",Q233-R233)</f>
        <v/>
      </c>
      <c r="T233" s="7">
        <f>IF($B233="","",S233-J233)</f>
        <v/>
      </c>
      <c r="W233">
        <f>IF($B233="","",IF($AI233=1,0,IF($AH233=1,Settings!$C$6,Settings!$C$7))*100)</f>
        <v/>
      </c>
      <c r="AA233" s="7" t="n"/>
      <c r="AD233" s="11" t="n"/>
      <c r="AF233">
        <f>IF($B233="","",IF(COUNTIF($B$2:$B233,$B233)=1,1,0))</f>
        <v/>
      </c>
      <c r="AG233">
        <f>IF($AF233=1,SUMPRODUCT(--($AJ$2:$AJ$1501&lt;$AJ233))+1,"")</f>
        <v/>
      </c>
      <c r="AH233">
        <f>IF($B233="","",IF(OR($M233=TRUE(),$M233="TRUE"),1,0))</f>
        <v/>
      </c>
      <c r="AI233">
        <f>IF($B233="","",IF($V233="Yes",1,0))</f>
        <v/>
      </c>
      <c r="AJ233">
        <f>IF($AF233=1,IFERROR(IF(VALUE($B233)&lt;100000000,VALUE($B233),1000000000),IFERROR(IF(VALUE(MID($B233,2,20))&lt;100000000,VALUE(MID($B233,2,20)),1000000000),1000000000))+ROW()/100000,"")</f>
        <v/>
      </c>
    </row>
    <row r="234">
      <c r="C234" s="11" t="n"/>
      <c r="J234" s="7">
        <f>IF($B234="","",I234*Q234/100)</f>
        <v/>
      </c>
      <c r="P234" s="7" t="n"/>
      <c r="Q234" s="7" t="n"/>
      <c r="R234" s="7">
        <f>IF($B234="","",Q234*W234/100)</f>
        <v/>
      </c>
      <c r="S234" s="7">
        <f>IF($B234="","",Q234-R234)</f>
        <v/>
      </c>
      <c r="T234" s="7">
        <f>IF($B234="","",S234-J234)</f>
        <v/>
      </c>
      <c r="W234">
        <f>IF($B234="","",IF($AI234=1,0,IF($AH234=1,Settings!$C$6,Settings!$C$7))*100)</f>
        <v/>
      </c>
      <c r="AA234" s="7" t="n"/>
      <c r="AD234" s="11" t="n"/>
      <c r="AF234">
        <f>IF($B234="","",IF(COUNTIF($B$2:$B234,$B234)=1,1,0))</f>
        <v/>
      </c>
      <c r="AG234">
        <f>IF($AF234=1,SUMPRODUCT(--($AJ$2:$AJ$1501&lt;$AJ234))+1,"")</f>
        <v/>
      </c>
      <c r="AH234">
        <f>IF($B234="","",IF(OR($M234=TRUE(),$M234="TRUE"),1,0))</f>
        <v/>
      </c>
      <c r="AI234">
        <f>IF($B234="","",IF($V234="Yes",1,0))</f>
        <v/>
      </c>
      <c r="AJ234">
        <f>IF($AF234=1,IFERROR(IF(VALUE($B234)&lt;100000000,VALUE($B234),1000000000),IFERROR(IF(VALUE(MID($B234,2,20))&lt;100000000,VALUE(MID($B234,2,20)),1000000000),1000000000))+ROW()/100000,"")</f>
        <v/>
      </c>
    </row>
    <row r="235">
      <c r="C235" s="11" t="n"/>
      <c r="J235" s="7">
        <f>IF($B235="","",I235*Q235/100)</f>
        <v/>
      </c>
      <c r="P235" s="7" t="n"/>
      <c r="Q235" s="7" t="n"/>
      <c r="R235" s="7">
        <f>IF($B235="","",Q235*W235/100)</f>
        <v/>
      </c>
      <c r="S235" s="7">
        <f>IF($B235="","",Q235-R235)</f>
        <v/>
      </c>
      <c r="T235" s="7">
        <f>IF($B235="","",S235-J235)</f>
        <v/>
      </c>
      <c r="W235">
        <f>IF($B235="","",IF($AI235=1,0,IF($AH235=1,Settings!$C$6,Settings!$C$7))*100)</f>
        <v/>
      </c>
      <c r="AA235" s="7" t="n"/>
      <c r="AD235" s="11" t="n"/>
      <c r="AF235">
        <f>IF($B235="","",IF(COUNTIF($B$2:$B235,$B235)=1,1,0))</f>
        <v/>
      </c>
      <c r="AG235">
        <f>IF($AF235=1,SUMPRODUCT(--($AJ$2:$AJ$1501&lt;$AJ235))+1,"")</f>
        <v/>
      </c>
      <c r="AH235">
        <f>IF($B235="","",IF(OR($M235=TRUE(),$M235="TRUE"),1,0))</f>
        <v/>
      </c>
      <c r="AI235">
        <f>IF($B235="","",IF($V235="Yes",1,0))</f>
        <v/>
      </c>
      <c r="AJ235">
        <f>IF($AF235=1,IFERROR(IF(VALUE($B235)&lt;100000000,VALUE($B235),1000000000),IFERROR(IF(VALUE(MID($B235,2,20))&lt;100000000,VALUE(MID($B235,2,20)),1000000000),1000000000))+ROW()/100000,"")</f>
        <v/>
      </c>
    </row>
    <row r="236">
      <c r="C236" s="11" t="n"/>
      <c r="J236" s="7">
        <f>IF($B236="","",I236*Q236/100)</f>
        <v/>
      </c>
      <c r="P236" s="7" t="n"/>
      <c r="Q236" s="7" t="n"/>
      <c r="R236" s="7">
        <f>IF($B236="","",Q236*W236/100)</f>
        <v/>
      </c>
      <c r="S236" s="7">
        <f>IF($B236="","",Q236-R236)</f>
        <v/>
      </c>
      <c r="T236" s="7">
        <f>IF($B236="","",S236-J236)</f>
        <v/>
      </c>
      <c r="W236">
        <f>IF($B236="","",IF($AI236=1,0,IF($AH236=1,Settings!$C$6,Settings!$C$7))*100)</f>
        <v/>
      </c>
      <c r="AA236" s="7" t="n"/>
      <c r="AD236" s="11" t="n"/>
      <c r="AF236">
        <f>IF($B236="","",IF(COUNTIF($B$2:$B236,$B236)=1,1,0))</f>
        <v/>
      </c>
      <c r="AG236">
        <f>IF($AF236=1,SUMPRODUCT(--($AJ$2:$AJ$1501&lt;$AJ236))+1,"")</f>
        <v/>
      </c>
      <c r="AH236">
        <f>IF($B236="","",IF(OR($M236=TRUE(),$M236="TRUE"),1,0))</f>
        <v/>
      </c>
      <c r="AI236">
        <f>IF($B236="","",IF($V236="Yes",1,0))</f>
        <v/>
      </c>
      <c r="AJ236">
        <f>IF($AF236=1,IFERROR(IF(VALUE($B236)&lt;100000000,VALUE($B236),1000000000),IFERROR(IF(VALUE(MID($B236,2,20))&lt;100000000,VALUE(MID($B236,2,20)),1000000000),1000000000))+ROW()/100000,"")</f>
        <v/>
      </c>
    </row>
    <row r="237">
      <c r="C237" s="11" t="n"/>
      <c r="J237" s="7">
        <f>IF($B237="","",I237*Q237/100)</f>
        <v/>
      </c>
      <c r="P237" s="7" t="n"/>
      <c r="Q237" s="7" t="n"/>
      <c r="R237" s="7">
        <f>IF($B237="","",Q237*W237/100)</f>
        <v/>
      </c>
      <c r="S237" s="7">
        <f>IF($B237="","",Q237-R237)</f>
        <v/>
      </c>
      <c r="T237" s="7">
        <f>IF($B237="","",S237-J237)</f>
        <v/>
      </c>
      <c r="W237">
        <f>IF($B237="","",IF($AI237=1,0,IF($AH237=1,Settings!$C$6,Settings!$C$7))*100)</f>
        <v/>
      </c>
      <c r="AA237" s="7" t="n"/>
      <c r="AD237" s="11" t="n"/>
      <c r="AF237">
        <f>IF($B237="","",IF(COUNTIF($B$2:$B237,$B237)=1,1,0))</f>
        <v/>
      </c>
      <c r="AG237">
        <f>IF($AF237=1,SUMPRODUCT(--($AJ$2:$AJ$1501&lt;$AJ237))+1,"")</f>
        <v/>
      </c>
      <c r="AH237">
        <f>IF($B237="","",IF(OR($M237=TRUE(),$M237="TRUE"),1,0))</f>
        <v/>
      </c>
      <c r="AI237">
        <f>IF($B237="","",IF($V237="Yes",1,0))</f>
        <v/>
      </c>
      <c r="AJ237">
        <f>IF($AF237=1,IFERROR(IF(VALUE($B237)&lt;100000000,VALUE($B237),1000000000),IFERROR(IF(VALUE(MID($B237,2,20))&lt;100000000,VALUE(MID($B237,2,20)),1000000000),1000000000))+ROW()/100000,"")</f>
        <v/>
      </c>
    </row>
    <row r="238">
      <c r="C238" s="11" t="n"/>
      <c r="J238" s="7">
        <f>IF($B238="","",I238*Q238/100)</f>
        <v/>
      </c>
      <c r="P238" s="7" t="n"/>
      <c r="Q238" s="7" t="n"/>
      <c r="R238" s="7">
        <f>IF($B238="","",Q238*W238/100)</f>
        <v/>
      </c>
      <c r="S238" s="7">
        <f>IF($B238="","",Q238-R238)</f>
        <v/>
      </c>
      <c r="T238" s="7">
        <f>IF($B238="","",S238-J238)</f>
        <v/>
      </c>
      <c r="W238">
        <f>IF($B238="","",IF($AI238=1,0,IF($AH238=1,Settings!$C$6,Settings!$C$7))*100)</f>
        <v/>
      </c>
      <c r="AA238" s="7" t="n"/>
      <c r="AD238" s="11" t="n"/>
      <c r="AF238">
        <f>IF($B238="","",IF(COUNTIF($B$2:$B238,$B238)=1,1,0))</f>
        <v/>
      </c>
      <c r="AG238">
        <f>IF($AF238=1,SUMPRODUCT(--($AJ$2:$AJ$1501&lt;$AJ238))+1,"")</f>
        <v/>
      </c>
      <c r="AH238">
        <f>IF($B238="","",IF(OR($M238=TRUE(),$M238="TRUE"),1,0))</f>
        <v/>
      </c>
      <c r="AI238">
        <f>IF($B238="","",IF($V238="Yes",1,0))</f>
        <v/>
      </c>
      <c r="AJ238">
        <f>IF($AF238=1,IFERROR(IF(VALUE($B238)&lt;100000000,VALUE($B238),1000000000),IFERROR(IF(VALUE(MID($B238,2,20))&lt;100000000,VALUE(MID($B238,2,20)),1000000000),1000000000))+ROW()/100000,"")</f>
        <v/>
      </c>
    </row>
    <row r="239">
      <c r="C239" s="11" t="n"/>
      <c r="J239" s="7">
        <f>IF($B239="","",I239*Q239/100)</f>
        <v/>
      </c>
      <c r="P239" s="7" t="n"/>
      <c r="Q239" s="7" t="n"/>
      <c r="R239" s="7">
        <f>IF($B239="","",Q239*W239/100)</f>
        <v/>
      </c>
      <c r="S239" s="7">
        <f>IF($B239="","",Q239-R239)</f>
        <v/>
      </c>
      <c r="T239" s="7">
        <f>IF($B239="","",S239-J239)</f>
        <v/>
      </c>
      <c r="W239">
        <f>IF($B239="","",IF($AI239=1,0,IF($AH239=1,Settings!$C$6,Settings!$C$7))*100)</f>
        <v/>
      </c>
      <c r="AA239" s="7" t="n"/>
      <c r="AD239" s="11" t="n"/>
      <c r="AF239">
        <f>IF($B239="","",IF(COUNTIF($B$2:$B239,$B239)=1,1,0))</f>
        <v/>
      </c>
      <c r="AG239">
        <f>IF($AF239=1,SUMPRODUCT(--($AJ$2:$AJ$1501&lt;$AJ239))+1,"")</f>
        <v/>
      </c>
      <c r="AH239">
        <f>IF($B239="","",IF(OR($M239=TRUE(),$M239="TRUE"),1,0))</f>
        <v/>
      </c>
      <c r="AI239">
        <f>IF($B239="","",IF($V239="Yes",1,0))</f>
        <v/>
      </c>
      <c r="AJ239">
        <f>IF($AF239=1,IFERROR(IF(VALUE($B239)&lt;100000000,VALUE($B239),1000000000),IFERROR(IF(VALUE(MID($B239,2,20))&lt;100000000,VALUE(MID($B239,2,20)),1000000000),1000000000))+ROW()/100000,"")</f>
        <v/>
      </c>
    </row>
    <row r="240">
      <c r="C240" s="11" t="n"/>
      <c r="J240" s="7">
        <f>IF($B240="","",I240*Q240/100)</f>
        <v/>
      </c>
      <c r="P240" s="7" t="n"/>
      <c r="Q240" s="7" t="n"/>
      <c r="R240" s="7">
        <f>IF($B240="","",Q240*W240/100)</f>
        <v/>
      </c>
      <c r="S240" s="7">
        <f>IF($B240="","",Q240-R240)</f>
        <v/>
      </c>
      <c r="T240" s="7">
        <f>IF($B240="","",S240-J240)</f>
        <v/>
      </c>
      <c r="W240">
        <f>IF($B240="","",IF($AI240=1,0,IF($AH240=1,Settings!$C$6,Settings!$C$7))*100)</f>
        <v/>
      </c>
      <c r="AA240" s="7" t="n"/>
      <c r="AD240" s="11" t="n"/>
      <c r="AF240">
        <f>IF($B240="","",IF(COUNTIF($B$2:$B240,$B240)=1,1,0))</f>
        <v/>
      </c>
      <c r="AG240">
        <f>IF($AF240=1,SUMPRODUCT(--($AJ$2:$AJ$1501&lt;$AJ240))+1,"")</f>
        <v/>
      </c>
      <c r="AH240">
        <f>IF($B240="","",IF(OR($M240=TRUE(),$M240="TRUE"),1,0))</f>
        <v/>
      </c>
      <c r="AI240">
        <f>IF($B240="","",IF($V240="Yes",1,0))</f>
        <v/>
      </c>
      <c r="AJ240">
        <f>IF($AF240=1,IFERROR(IF(VALUE($B240)&lt;100000000,VALUE($B240),1000000000),IFERROR(IF(VALUE(MID($B240,2,20))&lt;100000000,VALUE(MID($B240,2,20)),1000000000),1000000000))+ROW()/100000,"")</f>
        <v/>
      </c>
    </row>
    <row r="241">
      <c r="C241" s="11" t="n"/>
      <c r="J241" s="7">
        <f>IF($B241="","",I241*Q241/100)</f>
        <v/>
      </c>
      <c r="P241" s="7" t="n"/>
      <c r="Q241" s="7" t="n"/>
      <c r="R241" s="7">
        <f>IF($B241="","",Q241*W241/100)</f>
        <v/>
      </c>
      <c r="S241" s="7">
        <f>IF($B241="","",Q241-R241)</f>
        <v/>
      </c>
      <c r="T241" s="7">
        <f>IF($B241="","",S241-J241)</f>
        <v/>
      </c>
      <c r="W241">
        <f>IF($B241="","",IF($AI241=1,0,IF($AH241=1,Settings!$C$6,Settings!$C$7))*100)</f>
        <v/>
      </c>
      <c r="AA241" s="7" t="n"/>
      <c r="AD241" s="11" t="n"/>
      <c r="AF241">
        <f>IF($B241="","",IF(COUNTIF($B$2:$B241,$B241)=1,1,0))</f>
        <v/>
      </c>
      <c r="AG241">
        <f>IF($AF241=1,SUMPRODUCT(--($AJ$2:$AJ$1501&lt;$AJ241))+1,"")</f>
        <v/>
      </c>
      <c r="AH241">
        <f>IF($B241="","",IF(OR($M241=TRUE(),$M241="TRUE"),1,0))</f>
        <v/>
      </c>
      <c r="AI241">
        <f>IF($B241="","",IF($V241="Yes",1,0))</f>
        <v/>
      </c>
      <c r="AJ241">
        <f>IF($AF241=1,IFERROR(IF(VALUE($B241)&lt;100000000,VALUE($B241),1000000000),IFERROR(IF(VALUE(MID($B241,2,20))&lt;100000000,VALUE(MID($B241,2,20)),1000000000),1000000000))+ROW()/100000,"")</f>
        <v/>
      </c>
    </row>
    <row r="242">
      <c r="C242" s="11" t="n"/>
      <c r="J242" s="7">
        <f>IF($B242="","",I242*Q242/100)</f>
        <v/>
      </c>
      <c r="P242" s="7" t="n"/>
      <c r="Q242" s="7" t="n"/>
      <c r="R242" s="7">
        <f>IF($B242="","",Q242*W242/100)</f>
        <v/>
      </c>
      <c r="S242" s="7">
        <f>IF($B242="","",Q242-R242)</f>
        <v/>
      </c>
      <c r="T242" s="7">
        <f>IF($B242="","",S242-J242)</f>
        <v/>
      </c>
      <c r="W242">
        <f>IF($B242="","",IF($AI242=1,0,IF($AH242=1,Settings!$C$6,Settings!$C$7))*100)</f>
        <v/>
      </c>
      <c r="AA242" s="7" t="n"/>
      <c r="AD242" s="11" t="n"/>
      <c r="AF242">
        <f>IF($B242="","",IF(COUNTIF($B$2:$B242,$B242)=1,1,0))</f>
        <v/>
      </c>
      <c r="AG242">
        <f>IF($AF242=1,SUMPRODUCT(--($AJ$2:$AJ$1501&lt;$AJ242))+1,"")</f>
        <v/>
      </c>
      <c r="AH242">
        <f>IF($B242="","",IF(OR($M242=TRUE(),$M242="TRUE"),1,0))</f>
        <v/>
      </c>
      <c r="AI242">
        <f>IF($B242="","",IF($V242="Yes",1,0))</f>
        <v/>
      </c>
      <c r="AJ242">
        <f>IF($AF242=1,IFERROR(IF(VALUE($B242)&lt;100000000,VALUE($B242),1000000000),IFERROR(IF(VALUE(MID($B242,2,20))&lt;100000000,VALUE(MID($B242,2,20)),1000000000),1000000000))+ROW()/100000,"")</f>
        <v/>
      </c>
    </row>
    <row r="243">
      <c r="C243" s="11" t="n"/>
      <c r="J243" s="7">
        <f>IF($B243="","",I243*Q243/100)</f>
        <v/>
      </c>
      <c r="P243" s="7" t="n"/>
      <c r="Q243" s="7" t="n"/>
      <c r="R243" s="7">
        <f>IF($B243="","",Q243*W243/100)</f>
        <v/>
      </c>
      <c r="S243" s="7">
        <f>IF($B243="","",Q243-R243)</f>
        <v/>
      </c>
      <c r="T243" s="7">
        <f>IF($B243="","",S243-J243)</f>
        <v/>
      </c>
      <c r="W243">
        <f>IF($B243="","",IF($AI243=1,0,IF($AH243=1,Settings!$C$6,Settings!$C$7))*100)</f>
        <v/>
      </c>
      <c r="AA243" s="7" t="n"/>
      <c r="AD243" s="11" t="n"/>
      <c r="AF243">
        <f>IF($B243="","",IF(COUNTIF($B$2:$B243,$B243)=1,1,0))</f>
        <v/>
      </c>
      <c r="AG243">
        <f>IF($AF243=1,SUMPRODUCT(--($AJ$2:$AJ$1501&lt;$AJ243))+1,"")</f>
        <v/>
      </c>
      <c r="AH243">
        <f>IF($B243="","",IF(OR($M243=TRUE(),$M243="TRUE"),1,0))</f>
        <v/>
      </c>
      <c r="AI243">
        <f>IF($B243="","",IF($V243="Yes",1,0))</f>
        <v/>
      </c>
      <c r="AJ243">
        <f>IF($AF243=1,IFERROR(IF(VALUE($B243)&lt;100000000,VALUE($B243),1000000000),IFERROR(IF(VALUE(MID($B243,2,20))&lt;100000000,VALUE(MID($B243,2,20)),1000000000),1000000000))+ROW()/100000,"")</f>
        <v/>
      </c>
    </row>
    <row r="244">
      <c r="C244" s="11" t="n"/>
      <c r="J244" s="7">
        <f>IF($B244="","",I244*Q244/100)</f>
        <v/>
      </c>
      <c r="P244" s="7" t="n"/>
      <c r="Q244" s="7" t="n"/>
      <c r="R244" s="7">
        <f>IF($B244="","",Q244*W244/100)</f>
        <v/>
      </c>
      <c r="S244" s="7">
        <f>IF($B244="","",Q244-R244)</f>
        <v/>
      </c>
      <c r="T244" s="7">
        <f>IF($B244="","",S244-J244)</f>
        <v/>
      </c>
      <c r="W244">
        <f>IF($B244="","",IF($AI244=1,0,IF($AH244=1,Settings!$C$6,Settings!$C$7))*100)</f>
        <v/>
      </c>
      <c r="AA244" s="7" t="n"/>
      <c r="AD244" s="11" t="n"/>
      <c r="AF244">
        <f>IF($B244="","",IF(COUNTIF($B$2:$B244,$B244)=1,1,0))</f>
        <v/>
      </c>
      <c r="AG244">
        <f>IF($AF244=1,SUMPRODUCT(--($AJ$2:$AJ$1501&lt;$AJ244))+1,"")</f>
        <v/>
      </c>
      <c r="AH244">
        <f>IF($B244="","",IF(OR($M244=TRUE(),$M244="TRUE"),1,0))</f>
        <v/>
      </c>
      <c r="AI244">
        <f>IF($B244="","",IF($V244="Yes",1,0))</f>
        <v/>
      </c>
      <c r="AJ244">
        <f>IF($AF244=1,IFERROR(IF(VALUE($B244)&lt;100000000,VALUE($B244),1000000000),IFERROR(IF(VALUE(MID($B244,2,20))&lt;100000000,VALUE(MID($B244,2,20)),1000000000),1000000000))+ROW()/100000,"")</f>
        <v/>
      </c>
    </row>
    <row r="245">
      <c r="C245" s="11" t="n"/>
      <c r="J245" s="7">
        <f>IF($B245="","",I245*Q245/100)</f>
        <v/>
      </c>
      <c r="P245" s="7" t="n"/>
      <c r="Q245" s="7" t="n"/>
      <c r="R245" s="7">
        <f>IF($B245="","",Q245*W245/100)</f>
        <v/>
      </c>
      <c r="S245" s="7">
        <f>IF($B245="","",Q245-R245)</f>
        <v/>
      </c>
      <c r="T245" s="7">
        <f>IF($B245="","",S245-J245)</f>
        <v/>
      </c>
      <c r="W245">
        <f>IF($B245="","",IF($AI245=1,0,IF($AH245=1,Settings!$C$6,Settings!$C$7))*100)</f>
        <v/>
      </c>
      <c r="AA245" s="7" t="n"/>
      <c r="AD245" s="11" t="n"/>
      <c r="AF245">
        <f>IF($B245="","",IF(COUNTIF($B$2:$B245,$B245)=1,1,0))</f>
        <v/>
      </c>
      <c r="AG245">
        <f>IF($AF245=1,SUMPRODUCT(--($AJ$2:$AJ$1501&lt;$AJ245))+1,"")</f>
        <v/>
      </c>
      <c r="AH245">
        <f>IF($B245="","",IF(OR($M245=TRUE(),$M245="TRUE"),1,0))</f>
        <v/>
      </c>
      <c r="AI245">
        <f>IF($B245="","",IF($V245="Yes",1,0))</f>
        <v/>
      </c>
      <c r="AJ245">
        <f>IF($AF245=1,IFERROR(IF(VALUE($B245)&lt;100000000,VALUE($B245),1000000000),IFERROR(IF(VALUE(MID($B245,2,20))&lt;100000000,VALUE(MID($B245,2,20)),1000000000),1000000000))+ROW()/100000,"")</f>
        <v/>
      </c>
    </row>
    <row r="246">
      <c r="C246" s="11" t="n"/>
      <c r="J246" s="7">
        <f>IF($B246="","",I246*Q246/100)</f>
        <v/>
      </c>
      <c r="P246" s="7" t="n"/>
      <c r="Q246" s="7" t="n"/>
      <c r="R246" s="7">
        <f>IF($B246="","",Q246*W246/100)</f>
        <v/>
      </c>
      <c r="S246" s="7">
        <f>IF($B246="","",Q246-R246)</f>
        <v/>
      </c>
      <c r="T246" s="7">
        <f>IF($B246="","",S246-J246)</f>
        <v/>
      </c>
      <c r="W246">
        <f>IF($B246="","",IF($AI246=1,0,IF($AH246=1,Settings!$C$6,Settings!$C$7))*100)</f>
        <v/>
      </c>
      <c r="AA246" s="7" t="n"/>
      <c r="AD246" s="11" t="n"/>
      <c r="AF246">
        <f>IF($B246="","",IF(COUNTIF($B$2:$B246,$B246)=1,1,0))</f>
        <v/>
      </c>
      <c r="AG246">
        <f>IF($AF246=1,SUMPRODUCT(--($AJ$2:$AJ$1501&lt;$AJ246))+1,"")</f>
        <v/>
      </c>
      <c r="AH246">
        <f>IF($B246="","",IF(OR($M246=TRUE(),$M246="TRUE"),1,0))</f>
        <v/>
      </c>
      <c r="AI246">
        <f>IF($B246="","",IF($V246="Yes",1,0))</f>
        <v/>
      </c>
      <c r="AJ246">
        <f>IF($AF246=1,IFERROR(IF(VALUE($B246)&lt;100000000,VALUE($B246),1000000000),IFERROR(IF(VALUE(MID($B246,2,20))&lt;100000000,VALUE(MID($B246,2,20)),1000000000),1000000000))+ROW()/100000,"")</f>
        <v/>
      </c>
    </row>
    <row r="247">
      <c r="C247" s="11" t="n"/>
      <c r="J247" s="7">
        <f>IF($B247="","",I247*Q247/100)</f>
        <v/>
      </c>
      <c r="P247" s="7" t="n"/>
      <c r="Q247" s="7" t="n"/>
      <c r="R247" s="7">
        <f>IF($B247="","",Q247*W247/100)</f>
        <v/>
      </c>
      <c r="S247" s="7">
        <f>IF($B247="","",Q247-R247)</f>
        <v/>
      </c>
      <c r="T247" s="7">
        <f>IF($B247="","",S247-J247)</f>
        <v/>
      </c>
      <c r="W247">
        <f>IF($B247="","",IF($AI247=1,0,IF($AH247=1,Settings!$C$6,Settings!$C$7))*100)</f>
        <v/>
      </c>
      <c r="AA247" s="7" t="n"/>
      <c r="AD247" s="11" t="n"/>
      <c r="AF247">
        <f>IF($B247="","",IF(COUNTIF($B$2:$B247,$B247)=1,1,0))</f>
        <v/>
      </c>
      <c r="AG247">
        <f>IF($AF247=1,SUMPRODUCT(--($AJ$2:$AJ$1501&lt;$AJ247))+1,"")</f>
        <v/>
      </c>
      <c r="AH247">
        <f>IF($B247="","",IF(OR($M247=TRUE(),$M247="TRUE"),1,0))</f>
        <v/>
      </c>
      <c r="AI247">
        <f>IF($B247="","",IF($V247="Yes",1,0))</f>
        <v/>
      </c>
      <c r="AJ247">
        <f>IF($AF247=1,IFERROR(IF(VALUE($B247)&lt;100000000,VALUE($B247),1000000000),IFERROR(IF(VALUE(MID($B247,2,20))&lt;100000000,VALUE(MID($B247,2,20)),1000000000),1000000000))+ROW()/100000,"")</f>
        <v/>
      </c>
    </row>
    <row r="248">
      <c r="C248" s="11" t="n"/>
      <c r="J248" s="7">
        <f>IF($B248="","",I248*Q248/100)</f>
        <v/>
      </c>
      <c r="P248" s="7" t="n"/>
      <c r="Q248" s="7" t="n"/>
      <c r="R248" s="7">
        <f>IF($B248="","",Q248*W248/100)</f>
        <v/>
      </c>
      <c r="S248" s="7">
        <f>IF($B248="","",Q248-R248)</f>
        <v/>
      </c>
      <c r="T248" s="7">
        <f>IF($B248="","",S248-J248)</f>
        <v/>
      </c>
      <c r="W248">
        <f>IF($B248="","",IF($AI248=1,0,IF($AH248=1,Settings!$C$6,Settings!$C$7))*100)</f>
        <v/>
      </c>
      <c r="AA248" s="7" t="n"/>
      <c r="AD248" s="11" t="n"/>
      <c r="AF248">
        <f>IF($B248="","",IF(COUNTIF($B$2:$B248,$B248)=1,1,0))</f>
        <v/>
      </c>
      <c r="AG248">
        <f>IF($AF248=1,SUMPRODUCT(--($AJ$2:$AJ$1501&lt;$AJ248))+1,"")</f>
        <v/>
      </c>
      <c r="AH248">
        <f>IF($B248="","",IF(OR($M248=TRUE(),$M248="TRUE"),1,0))</f>
        <v/>
      </c>
      <c r="AI248">
        <f>IF($B248="","",IF($V248="Yes",1,0))</f>
        <v/>
      </c>
      <c r="AJ248">
        <f>IF($AF248=1,IFERROR(IF(VALUE($B248)&lt;100000000,VALUE($B248),1000000000),IFERROR(IF(VALUE(MID($B248,2,20))&lt;100000000,VALUE(MID($B248,2,20)),1000000000),1000000000))+ROW()/100000,"")</f>
        <v/>
      </c>
    </row>
    <row r="249">
      <c r="C249" s="11" t="n"/>
      <c r="J249" s="7">
        <f>IF($B249="","",I249*Q249/100)</f>
        <v/>
      </c>
      <c r="P249" s="7" t="n"/>
      <c r="Q249" s="7" t="n"/>
      <c r="R249" s="7">
        <f>IF($B249="","",Q249*W249/100)</f>
        <v/>
      </c>
      <c r="S249" s="7">
        <f>IF($B249="","",Q249-R249)</f>
        <v/>
      </c>
      <c r="T249" s="7">
        <f>IF($B249="","",S249-J249)</f>
        <v/>
      </c>
      <c r="W249">
        <f>IF($B249="","",IF($AI249=1,0,IF($AH249=1,Settings!$C$6,Settings!$C$7))*100)</f>
        <v/>
      </c>
      <c r="AA249" s="7" t="n"/>
      <c r="AD249" s="11" t="n"/>
      <c r="AF249">
        <f>IF($B249="","",IF(COUNTIF($B$2:$B249,$B249)=1,1,0))</f>
        <v/>
      </c>
      <c r="AG249">
        <f>IF($AF249=1,SUMPRODUCT(--($AJ$2:$AJ$1501&lt;$AJ249))+1,"")</f>
        <v/>
      </c>
      <c r="AH249">
        <f>IF($B249="","",IF(OR($M249=TRUE(),$M249="TRUE"),1,0))</f>
        <v/>
      </c>
      <c r="AI249">
        <f>IF($B249="","",IF($V249="Yes",1,0))</f>
        <v/>
      </c>
      <c r="AJ249">
        <f>IF($AF249=1,IFERROR(IF(VALUE($B249)&lt;100000000,VALUE($B249),1000000000),IFERROR(IF(VALUE(MID($B249,2,20))&lt;100000000,VALUE(MID($B249,2,20)),1000000000),1000000000))+ROW()/100000,"")</f>
        <v/>
      </c>
    </row>
    <row r="250">
      <c r="C250" s="11" t="n"/>
      <c r="J250" s="7">
        <f>IF($B250="","",I250*Q250/100)</f>
        <v/>
      </c>
      <c r="P250" s="7" t="n"/>
      <c r="Q250" s="7" t="n"/>
      <c r="R250" s="7">
        <f>IF($B250="","",Q250*W250/100)</f>
        <v/>
      </c>
      <c r="S250" s="7">
        <f>IF($B250="","",Q250-R250)</f>
        <v/>
      </c>
      <c r="T250" s="7">
        <f>IF($B250="","",S250-J250)</f>
        <v/>
      </c>
      <c r="W250">
        <f>IF($B250="","",IF($AI250=1,0,IF($AH250=1,Settings!$C$6,Settings!$C$7))*100)</f>
        <v/>
      </c>
      <c r="AA250" s="7" t="n"/>
      <c r="AD250" s="11" t="n"/>
      <c r="AF250">
        <f>IF($B250="","",IF(COUNTIF($B$2:$B250,$B250)=1,1,0))</f>
        <v/>
      </c>
      <c r="AG250">
        <f>IF($AF250=1,SUMPRODUCT(--($AJ$2:$AJ$1501&lt;$AJ250))+1,"")</f>
        <v/>
      </c>
      <c r="AH250">
        <f>IF($B250="","",IF(OR($M250=TRUE(),$M250="TRUE"),1,0))</f>
        <v/>
      </c>
      <c r="AI250">
        <f>IF($B250="","",IF($V250="Yes",1,0))</f>
        <v/>
      </c>
      <c r="AJ250">
        <f>IF($AF250=1,IFERROR(IF(VALUE($B250)&lt;100000000,VALUE($B250),1000000000),IFERROR(IF(VALUE(MID($B250,2,20))&lt;100000000,VALUE(MID($B250,2,20)),1000000000),1000000000))+ROW()/100000,"")</f>
        <v/>
      </c>
    </row>
    <row r="251">
      <c r="C251" s="11" t="n"/>
      <c r="J251" s="7">
        <f>IF($B251="","",I251*Q251/100)</f>
        <v/>
      </c>
      <c r="P251" s="7" t="n"/>
      <c r="Q251" s="7" t="n"/>
      <c r="R251" s="7">
        <f>IF($B251="","",Q251*W251/100)</f>
        <v/>
      </c>
      <c r="S251" s="7">
        <f>IF($B251="","",Q251-R251)</f>
        <v/>
      </c>
      <c r="T251" s="7">
        <f>IF($B251="","",S251-J251)</f>
        <v/>
      </c>
      <c r="W251">
        <f>IF($B251="","",IF($AI251=1,0,IF($AH251=1,Settings!$C$6,Settings!$C$7))*100)</f>
        <v/>
      </c>
      <c r="AA251" s="7" t="n"/>
      <c r="AD251" s="11" t="n"/>
      <c r="AF251">
        <f>IF($B251="","",IF(COUNTIF($B$2:$B251,$B251)=1,1,0))</f>
        <v/>
      </c>
      <c r="AG251">
        <f>IF($AF251=1,SUMPRODUCT(--($AJ$2:$AJ$1501&lt;$AJ251))+1,"")</f>
        <v/>
      </c>
      <c r="AH251">
        <f>IF($B251="","",IF(OR($M251=TRUE(),$M251="TRUE"),1,0))</f>
        <v/>
      </c>
      <c r="AI251">
        <f>IF($B251="","",IF($V251="Yes",1,0))</f>
        <v/>
      </c>
      <c r="AJ251">
        <f>IF($AF251=1,IFERROR(IF(VALUE($B251)&lt;100000000,VALUE($B251),1000000000),IFERROR(IF(VALUE(MID($B251,2,20))&lt;100000000,VALUE(MID($B251,2,20)),1000000000),1000000000))+ROW()/100000,"")</f>
        <v/>
      </c>
    </row>
    <row r="252">
      <c r="C252" s="11" t="n"/>
      <c r="J252" s="7">
        <f>IF($B252="","",I252*Q252/100)</f>
        <v/>
      </c>
      <c r="P252" s="7" t="n"/>
      <c r="Q252" s="7" t="n"/>
      <c r="R252" s="7">
        <f>IF($B252="","",Q252*W252/100)</f>
        <v/>
      </c>
      <c r="S252" s="7">
        <f>IF($B252="","",Q252-R252)</f>
        <v/>
      </c>
      <c r="T252" s="7">
        <f>IF($B252="","",S252-J252)</f>
        <v/>
      </c>
      <c r="W252">
        <f>IF($B252="","",IF($AI252=1,0,IF($AH252=1,Settings!$C$6,Settings!$C$7))*100)</f>
        <v/>
      </c>
      <c r="AA252" s="7" t="n"/>
      <c r="AD252" s="11" t="n"/>
      <c r="AF252">
        <f>IF($B252="","",IF(COUNTIF($B$2:$B252,$B252)=1,1,0))</f>
        <v/>
      </c>
      <c r="AG252">
        <f>IF($AF252=1,SUMPRODUCT(--($AJ$2:$AJ$1501&lt;$AJ252))+1,"")</f>
        <v/>
      </c>
      <c r="AH252">
        <f>IF($B252="","",IF(OR($M252=TRUE(),$M252="TRUE"),1,0))</f>
        <v/>
      </c>
      <c r="AI252">
        <f>IF($B252="","",IF($V252="Yes",1,0))</f>
        <v/>
      </c>
      <c r="AJ252">
        <f>IF($AF252=1,IFERROR(IF(VALUE($B252)&lt;100000000,VALUE($B252),1000000000),IFERROR(IF(VALUE(MID($B252,2,20))&lt;100000000,VALUE(MID($B252,2,20)),1000000000),1000000000))+ROW()/100000,"")</f>
        <v/>
      </c>
    </row>
    <row r="253">
      <c r="C253" s="11" t="n"/>
      <c r="J253" s="7">
        <f>IF($B253="","",I253*Q253/100)</f>
        <v/>
      </c>
      <c r="P253" s="7" t="n"/>
      <c r="Q253" s="7" t="n"/>
      <c r="R253" s="7">
        <f>IF($B253="","",Q253*W253/100)</f>
        <v/>
      </c>
      <c r="S253" s="7">
        <f>IF($B253="","",Q253-R253)</f>
        <v/>
      </c>
      <c r="T253" s="7">
        <f>IF($B253="","",S253-J253)</f>
        <v/>
      </c>
      <c r="W253">
        <f>IF($B253="","",IF($AI253=1,0,IF($AH253=1,Settings!$C$6,Settings!$C$7))*100)</f>
        <v/>
      </c>
      <c r="AA253" s="7" t="n"/>
      <c r="AD253" s="11" t="n"/>
      <c r="AF253">
        <f>IF($B253="","",IF(COUNTIF($B$2:$B253,$B253)=1,1,0))</f>
        <v/>
      </c>
      <c r="AG253">
        <f>IF($AF253=1,SUMPRODUCT(--($AJ$2:$AJ$1501&lt;$AJ253))+1,"")</f>
        <v/>
      </c>
      <c r="AH253">
        <f>IF($B253="","",IF(OR($M253=TRUE(),$M253="TRUE"),1,0))</f>
        <v/>
      </c>
      <c r="AI253">
        <f>IF($B253="","",IF($V253="Yes",1,0))</f>
        <v/>
      </c>
      <c r="AJ253">
        <f>IF($AF253=1,IFERROR(IF(VALUE($B253)&lt;100000000,VALUE($B253),1000000000),IFERROR(IF(VALUE(MID($B253,2,20))&lt;100000000,VALUE(MID($B253,2,20)),1000000000),1000000000))+ROW()/100000,"")</f>
        <v/>
      </c>
    </row>
    <row r="254">
      <c r="C254" s="11" t="n"/>
      <c r="J254" s="7">
        <f>IF($B254="","",I254*Q254/100)</f>
        <v/>
      </c>
      <c r="P254" s="7" t="n"/>
      <c r="Q254" s="7" t="n"/>
      <c r="R254" s="7">
        <f>IF($B254="","",Q254*W254/100)</f>
        <v/>
      </c>
      <c r="S254" s="7">
        <f>IF($B254="","",Q254-R254)</f>
        <v/>
      </c>
      <c r="T254" s="7">
        <f>IF($B254="","",S254-J254)</f>
        <v/>
      </c>
      <c r="W254">
        <f>IF($B254="","",IF($AI254=1,0,IF($AH254=1,Settings!$C$6,Settings!$C$7))*100)</f>
        <v/>
      </c>
      <c r="AA254" s="7" t="n"/>
      <c r="AD254" s="11" t="n"/>
      <c r="AF254">
        <f>IF($B254="","",IF(COUNTIF($B$2:$B254,$B254)=1,1,0))</f>
        <v/>
      </c>
      <c r="AG254">
        <f>IF($AF254=1,SUMPRODUCT(--($AJ$2:$AJ$1501&lt;$AJ254))+1,"")</f>
        <v/>
      </c>
      <c r="AH254">
        <f>IF($B254="","",IF(OR($M254=TRUE(),$M254="TRUE"),1,0))</f>
        <v/>
      </c>
      <c r="AI254">
        <f>IF($B254="","",IF($V254="Yes",1,0))</f>
        <v/>
      </c>
      <c r="AJ254">
        <f>IF($AF254=1,IFERROR(IF(VALUE($B254)&lt;100000000,VALUE($B254),1000000000),IFERROR(IF(VALUE(MID($B254,2,20))&lt;100000000,VALUE(MID($B254,2,20)),1000000000),1000000000))+ROW()/100000,"")</f>
        <v/>
      </c>
    </row>
    <row r="255">
      <c r="C255" s="11" t="n"/>
      <c r="J255" s="7">
        <f>IF($B255="","",I255*Q255/100)</f>
        <v/>
      </c>
      <c r="P255" s="7" t="n"/>
      <c r="Q255" s="7" t="n"/>
      <c r="R255" s="7">
        <f>IF($B255="","",Q255*W255/100)</f>
        <v/>
      </c>
      <c r="S255" s="7">
        <f>IF($B255="","",Q255-R255)</f>
        <v/>
      </c>
      <c r="T255" s="7">
        <f>IF($B255="","",S255-J255)</f>
        <v/>
      </c>
      <c r="W255">
        <f>IF($B255="","",IF($AI255=1,0,IF($AH255=1,Settings!$C$6,Settings!$C$7))*100)</f>
        <v/>
      </c>
      <c r="AA255" s="7" t="n"/>
      <c r="AD255" s="11" t="n"/>
      <c r="AF255">
        <f>IF($B255="","",IF(COUNTIF($B$2:$B255,$B255)=1,1,0))</f>
        <v/>
      </c>
      <c r="AG255">
        <f>IF($AF255=1,SUMPRODUCT(--($AJ$2:$AJ$1501&lt;$AJ255))+1,"")</f>
        <v/>
      </c>
      <c r="AH255">
        <f>IF($B255="","",IF(OR($M255=TRUE(),$M255="TRUE"),1,0))</f>
        <v/>
      </c>
      <c r="AI255">
        <f>IF($B255="","",IF($V255="Yes",1,0))</f>
        <v/>
      </c>
      <c r="AJ255">
        <f>IF($AF255=1,IFERROR(IF(VALUE($B255)&lt;100000000,VALUE($B255),1000000000),IFERROR(IF(VALUE(MID($B255,2,20))&lt;100000000,VALUE(MID($B255,2,20)),1000000000),1000000000))+ROW()/100000,"")</f>
        <v/>
      </c>
    </row>
    <row r="256">
      <c r="C256" s="11" t="n"/>
      <c r="J256" s="7">
        <f>IF($B256="","",I256*Q256/100)</f>
        <v/>
      </c>
      <c r="P256" s="7" t="n"/>
      <c r="Q256" s="7" t="n"/>
      <c r="R256" s="7">
        <f>IF($B256="","",Q256*W256/100)</f>
        <v/>
      </c>
      <c r="S256" s="7">
        <f>IF($B256="","",Q256-R256)</f>
        <v/>
      </c>
      <c r="T256" s="7">
        <f>IF($B256="","",S256-J256)</f>
        <v/>
      </c>
      <c r="W256">
        <f>IF($B256="","",IF($AI256=1,0,IF($AH256=1,Settings!$C$6,Settings!$C$7))*100)</f>
        <v/>
      </c>
      <c r="AA256" s="7" t="n"/>
      <c r="AD256" s="11" t="n"/>
      <c r="AF256">
        <f>IF($B256="","",IF(COUNTIF($B$2:$B256,$B256)=1,1,0))</f>
        <v/>
      </c>
      <c r="AG256">
        <f>IF($AF256=1,SUMPRODUCT(--($AJ$2:$AJ$1501&lt;$AJ256))+1,"")</f>
        <v/>
      </c>
      <c r="AH256">
        <f>IF($B256="","",IF(OR($M256=TRUE(),$M256="TRUE"),1,0))</f>
        <v/>
      </c>
      <c r="AI256">
        <f>IF($B256="","",IF($V256="Yes",1,0))</f>
        <v/>
      </c>
      <c r="AJ256">
        <f>IF($AF256=1,IFERROR(IF(VALUE($B256)&lt;100000000,VALUE($B256),1000000000),IFERROR(IF(VALUE(MID($B256,2,20))&lt;100000000,VALUE(MID($B256,2,20)),1000000000),1000000000))+ROW()/100000,"")</f>
        <v/>
      </c>
    </row>
    <row r="257">
      <c r="C257" s="11" t="n"/>
      <c r="J257" s="7">
        <f>IF($B257="","",I257*Q257/100)</f>
        <v/>
      </c>
      <c r="P257" s="7" t="n"/>
      <c r="Q257" s="7" t="n"/>
      <c r="R257" s="7">
        <f>IF($B257="","",Q257*W257/100)</f>
        <v/>
      </c>
      <c r="S257" s="7">
        <f>IF($B257="","",Q257-R257)</f>
        <v/>
      </c>
      <c r="T257" s="7">
        <f>IF($B257="","",S257-J257)</f>
        <v/>
      </c>
      <c r="W257">
        <f>IF($B257="","",IF($AI257=1,0,IF($AH257=1,Settings!$C$6,Settings!$C$7))*100)</f>
        <v/>
      </c>
      <c r="AA257" s="7" t="n"/>
      <c r="AD257" s="11" t="n"/>
      <c r="AF257">
        <f>IF($B257="","",IF(COUNTIF($B$2:$B257,$B257)=1,1,0))</f>
        <v/>
      </c>
      <c r="AG257">
        <f>IF($AF257=1,SUMPRODUCT(--($AJ$2:$AJ$1501&lt;$AJ257))+1,"")</f>
        <v/>
      </c>
      <c r="AH257">
        <f>IF($B257="","",IF(OR($M257=TRUE(),$M257="TRUE"),1,0))</f>
        <v/>
      </c>
      <c r="AI257">
        <f>IF($B257="","",IF($V257="Yes",1,0))</f>
        <v/>
      </c>
      <c r="AJ257">
        <f>IF($AF257=1,IFERROR(IF(VALUE($B257)&lt;100000000,VALUE($B257),1000000000),IFERROR(IF(VALUE(MID($B257,2,20))&lt;100000000,VALUE(MID($B257,2,20)),1000000000),1000000000))+ROW()/100000,"")</f>
        <v/>
      </c>
    </row>
    <row r="258">
      <c r="C258" s="11" t="n"/>
      <c r="J258" s="7">
        <f>IF($B258="","",I258*Q258/100)</f>
        <v/>
      </c>
      <c r="P258" s="7" t="n"/>
      <c r="Q258" s="7" t="n"/>
      <c r="R258" s="7">
        <f>IF($B258="","",Q258*W258/100)</f>
        <v/>
      </c>
      <c r="S258" s="7">
        <f>IF($B258="","",Q258-R258)</f>
        <v/>
      </c>
      <c r="T258" s="7">
        <f>IF($B258="","",S258-J258)</f>
        <v/>
      </c>
      <c r="W258">
        <f>IF($B258="","",IF($AI258=1,0,IF($AH258=1,Settings!$C$6,Settings!$C$7))*100)</f>
        <v/>
      </c>
      <c r="AA258" s="7" t="n"/>
      <c r="AD258" s="11" t="n"/>
      <c r="AF258">
        <f>IF($B258="","",IF(COUNTIF($B$2:$B258,$B258)=1,1,0))</f>
        <v/>
      </c>
      <c r="AG258">
        <f>IF($AF258=1,SUMPRODUCT(--($AJ$2:$AJ$1501&lt;$AJ258))+1,"")</f>
        <v/>
      </c>
      <c r="AH258">
        <f>IF($B258="","",IF(OR($M258=TRUE(),$M258="TRUE"),1,0))</f>
        <v/>
      </c>
      <c r="AI258">
        <f>IF($B258="","",IF($V258="Yes",1,0))</f>
        <v/>
      </c>
      <c r="AJ258">
        <f>IF($AF258=1,IFERROR(IF(VALUE($B258)&lt;100000000,VALUE($B258),1000000000),IFERROR(IF(VALUE(MID($B258,2,20))&lt;100000000,VALUE(MID($B258,2,20)),1000000000),1000000000))+ROW()/100000,"")</f>
        <v/>
      </c>
    </row>
    <row r="259">
      <c r="C259" s="11" t="n"/>
      <c r="J259" s="7">
        <f>IF($B259="","",I259*Q259/100)</f>
        <v/>
      </c>
      <c r="P259" s="7" t="n"/>
      <c r="Q259" s="7" t="n"/>
      <c r="R259" s="7">
        <f>IF($B259="","",Q259*W259/100)</f>
        <v/>
      </c>
      <c r="S259" s="7">
        <f>IF($B259="","",Q259-R259)</f>
        <v/>
      </c>
      <c r="T259" s="7">
        <f>IF($B259="","",S259-J259)</f>
        <v/>
      </c>
      <c r="W259">
        <f>IF($B259="","",IF($AI259=1,0,IF($AH259=1,Settings!$C$6,Settings!$C$7))*100)</f>
        <v/>
      </c>
      <c r="AA259" s="7" t="n"/>
      <c r="AD259" s="11" t="n"/>
      <c r="AF259">
        <f>IF($B259="","",IF(COUNTIF($B$2:$B259,$B259)=1,1,0))</f>
        <v/>
      </c>
      <c r="AG259">
        <f>IF($AF259=1,SUMPRODUCT(--($AJ$2:$AJ$1501&lt;$AJ259))+1,"")</f>
        <v/>
      </c>
      <c r="AH259">
        <f>IF($B259="","",IF(OR($M259=TRUE(),$M259="TRUE"),1,0))</f>
        <v/>
      </c>
      <c r="AI259">
        <f>IF($B259="","",IF($V259="Yes",1,0))</f>
        <v/>
      </c>
      <c r="AJ259">
        <f>IF($AF259=1,IFERROR(IF(VALUE($B259)&lt;100000000,VALUE($B259),1000000000),IFERROR(IF(VALUE(MID($B259,2,20))&lt;100000000,VALUE(MID($B259,2,20)),1000000000),1000000000))+ROW()/100000,"")</f>
        <v/>
      </c>
    </row>
    <row r="260">
      <c r="C260" s="11" t="n"/>
      <c r="J260" s="7">
        <f>IF($B260="","",I260*Q260/100)</f>
        <v/>
      </c>
      <c r="P260" s="7" t="n"/>
      <c r="Q260" s="7" t="n"/>
      <c r="R260" s="7">
        <f>IF($B260="","",Q260*W260/100)</f>
        <v/>
      </c>
      <c r="S260" s="7">
        <f>IF($B260="","",Q260-R260)</f>
        <v/>
      </c>
      <c r="T260" s="7">
        <f>IF($B260="","",S260-J260)</f>
        <v/>
      </c>
      <c r="W260">
        <f>IF($B260="","",IF($AI260=1,0,IF($AH260=1,Settings!$C$6,Settings!$C$7))*100)</f>
        <v/>
      </c>
      <c r="AA260" s="7" t="n"/>
      <c r="AD260" s="11" t="n"/>
      <c r="AF260">
        <f>IF($B260="","",IF(COUNTIF($B$2:$B260,$B260)=1,1,0))</f>
        <v/>
      </c>
      <c r="AG260">
        <f>IF($AF260=1,SUMPRODUCT(--($AJ$2:$AJ$1501&lt;$AJ260))+1,"")</f>
        <v/>
      </c>
      <c r="AH260">
        <f>IF($B260="","",IF(OR($M260=TRUE(),$M260="TRUE"),1,0))</f>
        <v/>
      </c>
      <c r="AI260">
        <f>IF($B260="","",IF($V260="Yes",1,0))</f>
        <v/>
      </c>
      <c r="AJ260">
        <f>IF($AF260=1,IFERROR(IF(VALUE($B260)&lt;100000000,VALUE($B260),1000000000),IFERROR(IF(VALUE(MID($B260,2,20))&lt;100000000,VALUE(MID($B260,2,20)),1000000000),1000000000))+ROW()/100000,"")</f>
        <v/>
      </c>
    </row>
    <row r="261">
      <c r="C261" s="11" t="n"/>
      <c r="J261" s="7">
        <f>IF($B261="","",I261*Q261/100)</f>
        <v/>
      </c>
      <c r="P261" s="7" t="n"/>
      <c r="Q261" s="7" t="n"/>
      <c r="R261" s="7">
        <f>IF($B261="","",Q261*W261/100)</f>
        <v/>
      </c>
      <c r="S261" s="7">
        <f>IF($B261="","",Q261-R261)</f>
        <v/>
      </c>
      <c r="T261" s="7">
        <f>IF($B261="","",S261-J261)</f>
        <v/>
      </c>
      <c r="W261">
        <f>IF($B261="","",IF($AI261=1,0,IF($AH261=1,Settings!$C$6,Settings!$C$7))*100)</f>
        <v/>
      </c>
      <c r="AA261" s="7" t="n"/>
      <c r="AD261" s="11" t="n"/>
      <c r="AF261">
        <f>IF($B261="","",IF(COUNTIF($B$2:$B261,$B261)=1,1,0))</f>
        <v/>
      </c>
      <c r="AG261">
        <f>IF($AF261=1,SUMPRODUCT(--($AJ$2:$AJ$1501&lt;$AJ261))+1,"")</f>
        <v/>
      </c>
      <c r="AH261">
        <f>IF($B261="","",IF(OR($M261=TRUE(),$M261="TRUE"),1,0))</f>
        <v/>
      </c>
      <c r="AI261">
        <f>IF($B261="","",IF($V261="Yes",1,0))</f>
        <v/>
      </c>
      <c r="AJ261">
        <f>IF($AF261=1,IFERROR(IF(VALUE($B261)&lt;100000000,VALUE($B261),1000000000),IFERROR(IF(VALUE(MID($B261,2,20))&lt;100000000,VALUE(MID($B261,2,20)),1000000000),1000000000))+ROW()/100000,"")</f>
        <v/>
      </c>
    </row>
    <row r="262">
      <c r="C262" s="11" t="n"/>
      <c r="J262" s="7">
        <f>IF($B262="","",I262*Q262/100)</f>
        <v/>
      </c>
      <c r="P262" s="7" t="n"/>
      <c r="Q262" s="7" t="n"/>
      <c r="R262" s="7">
        <f>IF($B262="","",Q262*W262/100)</f>
        <v/>
      </c>
      <c r="S262" s="7">
        <f>IF($B262="","",Q262-R262)</f>
        <v/>
      </c>
      <c r="T262" s="7">
        <f>IF($B262="","",S262-J262)</f>
        <v/>
      </c>
      <c r="W262">
        <f>IF($B262="","",IF($AI262=1,0,IF($AH262=1,Settings!$C$6,Settings!$C$7))*100)</f>
        <v/>
      </c>
      <c r="AA262" s="7" t="n"/>
      <c r="AD262" s="11" t="n"/>
      <c r="AF262">
        <f>IF($B262="","",IF(COUNTIF($B$2:$B262,$B262)=1,1,0))</f>
        <v/>
      </c>
      <c r="AG262">
        <f>IF($AF262=1,SUMPRODUCT(--($AJ$2:$AJ$1501&lt;$AJ262))+1,"")</f>
        <v/>
      </c>
      <c r="AH262">
        <f>IF($B262="","",IF(OR($M262=TRUE(),$M262="TRUE"),1,0))</f>
        <v/>
      </c>
      <c r="AI262">
        <f>IF($B262="","",IF($V262="Yes",1,0))</f>
        <v/>
      </c>
      <c r="AJ262">
        <f>IF($AF262=1,IFERROR(IF(VALUE($B262)&lt;100000000,VALUE($B262),1000000000),IFERROR(IF(VALUE(MID($B262,2,20))&lt;100000000,VALUE(MID($B262,2,20)),1000000000),1000000000))+ROW()/100000,"")</f>
        <v/>
      </c>
    </row>
    <row r="263">
      <c r="C263" s="11" t="n"/>
      <c r="J263" s="7">
        <f>IF($B263="","",I263*Q263/100)</f>
        <v/>
      </c>
      <c r="P263" s="7" t="n"/>
      <c r="Q263" s="7" t="n"/>
      <c r="R263" s="7">
        <f>IF($B263="","",Q263*W263/100)</f>
        <v/>
      </c>
      <c r="S263" s="7">
        <f>IF($B263="","",Q263-R263)</f>
        <v/>
      </c>
      <c r="T263" s="7">
        <f>IF($B263="","",S263-J263)</f>
        <v/>
      </c>
      <c r="W263">
        <f>IF($B263="","",IF($AI263=1,0,IF($AH263=1,Settings!$C$6,Settings!$C$7))*100)</f>
        <v/>
      </c>
      <c r="AA263" s="7" t="n"/>
      <c r="AD263" s="11" t="n"/>
      <c r="AF263">
        <f>IF($B263="","",IF(COUNTIF($B$2:$B263,$B263)=1,1,0))</f>
        <v/>
      </c>
      <c r="AG263">
        <f>IF($AF263=1,SUMPRODUCT(--($AJ$2:$AJ$1501&lt;$AJ263))+1,"")</f>
        <v/>
      </c>
      <c r="AH263">
        <f>IF($B263="","",IF(OR($M263=TRUE(),$M263="TRUE"),1,0))</f>
        <v/>
      </c>
      <c r="AI263">
        <f>IF($B263="","",IF($V263="Yes",1,0))</f>
        <v/>
      </c>
      <c r="AJ263">
        <f>IF($AF263=1,IFERROR(IF(VALUE($B263)&lt;100000000,VALUE($B263),1000000000),IFERROR(IF(VALUE(MID($B263,2,20))&lt;100000000,VALUE(MID($B263,2,20)),1000000000),1000000000))+ROW()/100000,"")</f>
        <v/>
      </c>
    </row>
    <row r="264">
      <c r="C264" s="11" t="n"/>
      <c r="J264" s="7">
        <f>IF($B264="","",I264*Q264/100)</f>
        <v/>
      </c>
      <c r="P264" s="7" t="n"/>
      <c r="Q264" s="7" t="n"/>
      <c r="R264" s="7">
        <f>IF($B264="","",Q264*W264/100)</f>
        <v/>
      </c>
      <c r="S264" s="7">
        <f>IF($B264="","",Q264-R264)</f>
        <v/>
      </c>
      <c r="T264" s="7">
        <f>IF($B264="","",S264-J264)</f>
        <v/>
      </c>
      <c r="W264">
        <f>IF($B264="","",IF($AI264=1,0,IF($AH264=1,Settings!$C$6,Settings!$C$7))*100)</f>
        <v/>
      </c>
      <c r="AA264" s="7" t="n"/>
      <c r="AD264" s="11" t="n"/>
      <c r="AF264">
        <f>IF($B264="","",IF(COUNTIF($B$2:$B264,$B264)=1,1,0))</f>
        <v/>
      </c>
      <c r="AG264">
        <f>IF($AF264=1,SUMPRODUCT(--($AJ$2:$AJ$1501&lt;$AJ264))+1,"")</f>
        <v/>
      </c>
      <c r="AH264">
        <f>IF($B264="","",IF(OR($M264=TRUE(),$M264="TRUE"),1,0))</f>
        <v/>
      </c>
      <c r="AI264">
        <f>IF($B264="","",IF($V264="Yes",1,0))</f>
        <v/>
      </c>
      <c r="AJ264">
        <f>IF($AF264=1,IFERROR(IF(VALUE($B264)&lt;100000000,VALUE($B264),1000000000),IFERROR(IF(VALUE(MID($B264,2,20))&lt;100000000,VALUE(MID($B264,2,20)),1000000000),1000000000))+ROW()/100000,"")</f>
        <v/>
      </c>
    </row>
    <row r="265">
      <c r="C265" s="11" t="n"/>
      <c r="J265" s="7">
        <f>IF($B265="","",I265*Q265/100)</f>
        <v/>
      </c>
      <c r="P265" s="7" t="n"/>
      <c r="Q265" s="7" t="n"/>
      <c r="R265" s="7">
        <f>IF($B265="","",Q265*W265/100)</f>
        <v/>
      </c>
      <c r="S265" s="7">
        <f>IF($B265="","",Q265-R265)</f>
        <v/>
      </c>
      <c r="T265" s="7">
        <f>IF($B265="","",S265-J265)</f>
        <v/>
      </c>
      <c r="W265">
        <f>IF($B265="","",IF($AI265=1,0,IF($AH265=1,Settings!$C$6,Settings!$C$7))*100)</f>
        <v/>
      </c>
      <c r="AA265" s="7" t="n"/>
      <c r="AD265" s="11" t="n"/>
      <c r="AF265">
        <f>IF($B265="","",IF(COUNTIF($B$2:$B265,$B265)=1,1,0))</f>
        <v/>
      </c>
      <c r="AG265">
        <f>IF($AF265=1,SUMPRODUCT(--($AJ$2:$AJ$1501&lt;$AJ265))+1,"")</f>
        <v/>
      </c>
      <c r="AH265">
        <f>IF($B265="","",IF(OR($M265=TRUE(),$M265="TRUE"),1,0))</f>
        <v/>
      </c>
      <c r="AI265">
        <f>IF($B265="","",IF($V265="Yes",1,0))</f>
        <v/>
      </c>
      <c r="AJ265">
        <f>IF($AF265=1,IFERROR(IF(VALUE($B265)&lt;100000000,VALUE($B265),1000000000),IFERROR(IF(VALUE(MID($B265,2,20))&lt;100000000,VALUE(MID($B265,2,20)),1000000000),1000000000))+ROW()/100000,"")</f>
        <v/>
      </c>
    </row>
    <row r="266">
      <c r="C266" s="11" t="n"/>
      <c r="J266" s="7">
        <f>IF($B266="","",I266*Q266/100)</f>
        <v/>
      </c>
      <c r="P266" s="7" t="n"/>
      <c r="Q266" s="7" t="n"/>
      <c r="R266" s="7">
        <f>IF($B266="","",Q266*W266/100)</f>
        <v/>
      </c>
      <c r="S266" s="7">
        <f>IF($B266="","",Q266-R266)</f>
        <v/>
      </c>
      <c r="T266" s="7">
        <f>IF($B266="","",S266-J266)</f>
        <v/>
      </c>
      <c r="W266">
        <f>IF($B266="","",IF($AI266=1,0,IF($AH266=1,Settings!$C$6,Settings!$C$7))*100)</f>
        <v/>
      </c>
      <c r="AA266" s="7" t="n"/>
      <c r="AD266" s="11" t="n"/>
      <c r="AF266">
        <f>IF($B266="","",IF(COUNTIF($B$2:$B266,$B266)=1,1,0))</f>
        <v/>
      </c>
      <c r="AG266">
        <f>IF($AF266=1,SUMPRODUCT(--($AJ$2:$AJ$1501&lt;$AJ266))+1,"")</f>
        <v/>
      </c>
      <c r="AH266">
        <f>IF($B266="","",IF(OR($M266=TRUE(),$M266="TRUE"),1,0))</f>
        <v/>
      </c>
      <c r="AI266">
        <f>IF($B266="","",IF($V266="Yes",1,0))</f>
        <v/>
      </c>
      <c r="AJ266">
        <f>IF($AF266=1,IFERROR(IF(VALUE($B266)&lt;100000000,VALUE($B266),1000000000),IFERROR(IF(VALUE(MID($B266,2,20))&lt;100000000,VALUE(MID($B266,2,20)),1000000000),1000000000))+ROW()/100000,"")</f>
        <v/>
      </c>
    </row>
    <row r="267">
      <c r="C267" s="11" t="n"/>
      <c r="J267" s="7">
        <f>IF($B267="","",I267*Q267/100)</f>
        <v/>
      </c>
      <c r="P267" s="7" t="n"/>
      <c r="Q267" s="7" t="n"/>
      <c r="R267" s="7">
        <f>IF($B267="","",Q267*W267/100)</f>
        <v/>
      </c>
      <c r="S267" s="7">
        <f>IF($B267="","",Q267-R267)</f>
        <v/>
      </c>
      <c r="T267" s="7">
        <f>IF($B267="","",S267-J267)</f>
        <v/>
      </c>
      <c r="W267">
        <f>IF($B267="","",IF($AI267=1,0,IF($AH267=1,Settings!$C$6,Settings!$C$7))*100)</f>
        <v/>
      </c>
      <c r="AA267" s="7" t="n"/>
      <c r="AD267" s="11" t="n"/>
      <c r="AF267">
        <f>IF($B267="","",IF(COUNTIF($B$2:$B267,$B267)=1,1,0))</f>
        <v/>
      </c>
      <c r="AG267">
        <f>IF($AF267=1,SUMPRODUCT(--($AJ$2:$AJ$1501&lt;$AJ267))+1,"")</f>
        <v/>
      </c>
      <c r="AH267">
        <f>IF($B267="","",IF(OR($M267=TRUE(),$M267="TRUE"),1,0))</f>
        <v/>
      </c>
      <c r="AI267">
        <f>IF($B267="","",IF($V267="Yes",1,0))</f>
        <v/>
      </c>
      <c r="AJ267">
        <f>IF($AF267=1,IFERROR(IF(VALUE($B267)&lt;100000000,VALUE($B267),1000000000),IFERROR(IF(VALUE(MID($B267,2,20))&lt;100000000,VALUE(MID($B267,2,20)),1000000000),1000000000))+ROW()/100000,"")</f>
        <v/>
      </c>
    </row>
    <row r="268">
      <c r="C268" s="11" t="n"/>
      <c r="J268" s="7">
        <f>IF($B268="","",I268*Q268/100)</f>
        <v/>
      </c>
      <c r="P268" s="7" t="n"/>
      <c r="Q268" s="7" t="n"/>
      <c r="R268" s="7">
        <f>IF($B268="","",Q268*W268/100)</f>
        <v/>
      </c>
      <c r="S268" s="7">
        <f>IF($B268="","",Q268-R268)</f>
        <v/>
      </c>
      <c r="T268" s="7">
        <f>IF($B268="","",S268-J268)</f>
        <v/>
      </c>
      <c r="W268">
        <f>IF($B268="","",IF($AI268=1,0,IF($AH268=1,Settings!$C$6,Settings!$C$7))*100)</f>
        <v/>
      </c>
      <c r="AA268" s="7" t="n"/>
      <c r="AD268" s="11" t="n"/>
      <c r="AF268">
        <f>IF($B268="","",IF(COUNTIF($B$2:$B268,$B268)=1,1,0))</f>
        <v/>
      </c>
      <c r="AG268">
        <f>IF($AF268=1,SUMPRODUCT(--($AJ$2:$AJ$1501&lt;$AJ268))+1,"")</f>
        <v/>
      </c>
      <c r="AH268">
        <f>IF($B268="","",IF(OR($M268=TRUE(),$M268="TRUE"),1,0))</f>
        <v/>
      </c>
      <c r="AI268">
        <f>IF($B268="","",IF($V268="Yes",1,0))</f>
        <v/>
      </c>
      <c r="AJ268">
        <f>IF($AF268=1,IFERROR(IF(VALUE($B268)&lt;100000000,VALUE($B268),1000000000),IFERROR(IF(VALUE(MID($B268,2,20))&lt;100000000,VALUE(MID($B268,2,20)),1000000000),1000000000))+ROW()/100000,"")</f>
        <v/>
      </c>
    </row>
    <row r="269">
      <c r="C269" s="11" t="n"/>
      <c r="J269" s="7">
        <f>IF($B269="","",I269*Q269/100)</f>
        <v/>
      </c>
      <c r="P269" s="7" t="n"/>
      <c r="Q269" s="7" t="n"/>
      <c r="R269" s="7">
        <f>IF($B269="","",Q269*W269/100)</f>
        <v/>
      </c>
      <c r="S269" s="7">
        <f>IF($B269="","",Q269-R269)</f>
        <v/>
      </c>
      <c r="T269" s="7">
        <f>IF($B269="","",S269-J269)</f>
        <v/>
      </c>
      <c r="W269">
        <f>IF($B269="","",IF($AI269=1,0,IF($AH269=1,Settings!$C$6,Settings!$C$7))*100)</f>
        <v/>
      </c>
      <c r="AA269" s="7" t="n"/>
      <c r="AD269" s="11" t="n"/>
      <c r="AF269">
        <f>IF($B269="","",IF(COUNTIF($B$2:$B269,$B269)=1,1,0))</f>
        <v/>
      </c>
      <c r="AG269">
        <f>IF($AF269=1,SUMPRODUCT(--($AJ$2:$AJ$1501&lt;$AJ269))+1,"")</f>
        <v/>
      </c>
      <c r="AH269">
        <f>IF($B269="","",IF(OR($M269=TRUE(),$M269="TRUE"),1,0))</f>
        <v/>
      </c>
      <c r="AI269">
        <f>IF($B269="","",IF($V269="Yes",1,0))</f>
        <v/>
      </c>
      <c r="AJ269">
        <f>IF($AF269=1,IFERROR(IF(VALUE($B269)&lt;100000000,VALUE($B269),1000000000),IFERROR(IF(VALUE(MID($B269,2,20))&lt;100000000,VALUE(MID($B269,2,20)),1000000000),1000000000))+ROW()/100000,"")</f>
        <v/>
      </c>
    </row>
    <row r="270">
      <c r="C270" s="11" t="n"/>
      <c r="J270" s="7">
        <f>IF($B270="","",I270*Q270/100)</f>
        <v/>
      </c>
      <c r="P270" s="7" t="n"/>
      <c r="Q270" s="7" t="n"/>
      <c r="R270" s="7">
        <f>IF($B270="","",Q270*W270/100)</f>
        <v/>
      </c>
      <c r="S270" s="7">
        <f>IF($B270="","",Q270-R270)</f>
        <v/>
      </c>
      <c r="T270" s="7">
        <f>IF($B270="","",S270-J270)</f>
        <v/>
      </c>
      <c r="W270">
        <f>IF($B270="","",IF($AI270=1,0,IF($AH270=1,Settings!$C$6,Settings!$C$7))*100)</f>
        <v/>
      </c>
      <c r="AA270" s="7" t="n"/>
      <c r="AD270" s="11" t="n"/>
      <c r="AF270">
        <f>IF($B270="","",IF(COUNTIF($B$2:$B270,$B270)=1,1,0))</f>
        <v/>
      </c>
      <c r="AG270">
        <f>IF($AF270=1,SUMPRODUCT(--($AJ$2:$AJ$1501&lt;$AJ270))+1,"")</f>
        <v/>
      </c>
      <c r="AH270">
        <f>IF($B270="","",IF(OR($M270=TRUE(),$M270="TRUE"),1,0))</f>
        <v/>
      </c>
      <c r="AI270">
        <f>IF($B270="","",IF($V270="Yes",1,0))</f>
        <v/>
      </c>
      <c r="AJ270">
        <f>IF($AF270=1,IFERROR(IF(VALUE($B270)&lt;100000000,VALUE($B270),1000000000),IFERROR(IF(VALUE(MID($B270,2,20))&lt;100000000,VALUE(MID($B270,2,20)),1000000000),1000000000))+ROW()/100000,"")</f>
        <v/>
      </c>
    </row>
    <row r="271">
      <c r="C271" s="11" t="n"/>
      <c r="J271" s="7">
        <f>IF($B271="","",I271*Q271/100)</f>
        <v/>
      </c>
      <c r="P271" s="7" t="n"/>
      <c r="Q271" s="7" t="n"/>
      <c r="R271" s="7">
        <f>IF($B271="","",Q271*W271/100)</f>
        <v/>
      </c>
      <c r="S271" s="7">
        <f>IF($B271="","",Q271-R271)</f>
        <v/>
      </c>
      <c r="T271" s="7">
        <f>IF($B271="","",S271-J271)</f>
        <v/>
      </c>
      <c r="W271">
        <f>IF($B271="","",IF($AI271=1,0,IF($AH271=1,Settings!$C$6,Settings!$C$7))*100)</f>
        <v/>
      </c>
      <c r="AA271" s="7" t="n"/>
      <c r="AD271" s="11" t="n"/>
      <c r="AF271">
        <f>IF($B271="","",IF(COUNTIF($B$2:$B271,$B271)=1,1,0))</f>
        <v/>
      </c>
      <c r="AG271">
        <f>IF($AF271=1,SUMPRODUCT(--($AJ$2:$AJ$1501&lt;$AJ271))+1,"")</f>
        <v/>
      </c>
      <c r="AH271">
        <f>IF($B271="","",IF(OR($M271=TRUE(),$M271="TRUE"),1,0))</f>
        <v/>
      </c>
      <c r="AI271">
        <f>IF($B271="","",IF($V271="Yes",1,0))</f>
        <v/>
      </c>
      <c r="AJ271">
        <f>IF($AF271=1,IFERROR(IF(VALUE($B271)&lt;100000000,VALUE($B271),1000000000),IFERROR(IF(VALUE(MID($B271,2,20))&lt;100000000,VALUE(MID($B271,2,20)),1000000000),1000000000))+ROW()/100000,"")</f>
        <v/>
      </c>
    </row>
    <row r="272">
      <c r="C272" s="11" t="n"/>
      <c r="J272" s="7">
        <f>IF($B272="","",I272*Q272/100)</f>
        <v/>
      </c>
      <c r="P272" s="7" t="n"/>
      <c r="Q272" s="7" t="n"/>
      <c r="R272" s="7">
        <f>IF($B272="","",Q272*W272/100)</f>
        <v/>
      </c>
      <c r="S272" s="7">
        <f>IF($B272="","",Q272-R272)</f>
        <v/>
      </c>
      <c r="T272" s="7">
        <f>IF($B272="","",S272-J272)</f>
        <v/>
      </c>
      <c r="W272">
        <f>IF($B272="","",IF($AI272=1,0,IF($AH272=1,Settings!$C$6,Settings!$C$7))*100)</f>
        <v/>
      </c>
      <c r="AA272" s="7" t="n"/>
      <c r="AD272" s="11" t="n"/>
      <c r="AF272">
        <f>IF($B272="","",IF(COUNTIF($B$2:$B272,$B272)=1,1,0))</f>
        <v/>
      </c>
      <c r="AG272">
        <f>IF($AF272=1,SUMPRODUCT(--($AJ$2:$AJ$1501&lt;$AJ272))+1,"")</f>
        <v/>
      </c>
      <c r="AH272">
        <f>IF($B272="","",IF(OR($M272=TRUE(),$M272="TRUE"),1,0))</f>
        <v/>
      </c>
      <c r="AI272">
        <f>IF($B272="","",IF($V272="Yes",1,0))</f>
        <v/>
      </c>
      <c r="AJ272">
        <f>IF($AF272=1,IFERROR(IF(VALUE($B272)&lt;100000000,VALUE($B272),1000000000),IFERROR(IF(VALUE(MID($B272,2,20))&lt;100000000,VALUE(MID($B272,2,20)),1000000000),1000000000))+ROW()/100000,"")</f>
        <v/>
      </c>
    </row>
    <row r="273">
      <c r="C273" s="11" t="n"/>
      <c r="J273" s="7">
        <f>IF($B273="","",I273*Q273/100)</f>
        <v/>
      </c>
      <c r="P273" s="7" t="n"/>
      <c r="Q273" s="7" t="n"/>
      <c r="R273" s="7">
        <f>IF($B273="","",Q273*W273/100)</f>
        <v/>
      </c>
      <c r="S273" s="7">
        <f>IF($B273="","",Q273-R273)</f>
        <v/>
      </c>
      <c r="T273" s="7">
        <f>IF($B273="","",S273-J273)</f>
        <v/>
      </c>
      <c r="W273">
        <f>IF($B273="","",IF($AI273=1,0,IF($AH273=1,Settings!$C$6,Settings!$C$7))*100)</f>
        <v/>
      </c>
      <c r="AA273" s="7" t="n"/>
      <c r="AD273" s="11" t="n"/>
      <c r="AF273">
        <f>IF($B273="","",IF(COUNTIF($B$2:$B273,$B273)=1,1,0))</f>
        <v/>
      </c>
      <c r="AG273">
        <f>IF($AF273=1,SUMPRODUCT(--($AJ$2:$AJ$1501&lt;$AJ273))+1,"")</f>
        <v/>
      </c>
      <c r="AH273">
        <f>IF($B273="","",IF(OR($M273=TRUE(),$M273="TRUE"),1,0))</f>
        <v/>
      </c>
      <c r="AI273">
        <f>IF($B273="","",IF($V273="Yes",1,0))</f>
        <v/>
      </c>
      <c r="AJ273">
        <f>IF($AF273=1,IFERROR(IF(VALUE($B273)&lt;100000000,VALUE($B273),1000000000),IFERROR(IF(VALUE(MID($B273,2,20))&lt;100000000,VALUE(MID($B273,2,20)),1000000000),1000000000))+ROW()/100000,"")</f>
        <v/>
      </c>
    </row>
    <row r="274">
      <c r="C274" s="11" t="n"/>
      <c r="J274" s="7">
        <f>IF($B274="","",I274*Q274/100)</f>
        <v/>
      </c>
      <c r="P274" s="7" t="n"/>
      <c r="Q274" s="7" t="n"/>
      <c r="R274" s="7">
        <f>IF($B274="","",Q274*W274/100)</f>
        <v/>
      </c>
      <c r="S274" s="7">
        <f>IF($B274="","",Q274-R274)</f>
        <v/>
      </c>
      <c r="T274" s="7">
        <f>IF($B274="","",S274-J274)</f>
        <v/>
      </c>
      <c r="W274">
        <f>IF($B274="","",IF($AI274=1,0,IF($AH274=1,Settings!$C$6,Settings!$C$7))*100)</f>
        <v/>
      </c>
      <c r="AA274" s="7" t="n"/>
      <c r="AD274" s="11" t="n"/>
      <c r="AF274">
        <f>IF($B274="","",IF(COUNTIF($B$2:$B274,$B274)=1,1,0))</f>
        <v/>
      </c>
      <c r="AG274">
        <f>IF($AF274=1,SUMPRODUCT(--($AJ$2:$AJ$1501&lt;$AJ274))+1,"")</f>
        <v/>
      </c>
      <c r="AH274">
        <f>IF($B274="","",IF(OR($M274=TRUE(),$M274="TRUE"),1,0))</f>
        <v/>
      </c>
      <c r="AI274">
        <f>IF($B274="","",IF($V274="Yes",1,0))</f>
        <v/>
      </c>
      <c r="AJ274">
        <f>IF($AF274=1,IFERROR(IF(VALUE($B274)&lt;100000000,VALUE($B274),1000000000),IFERROR(IF(VALUE(MID($B274,2,20))&lt;100000000,VALUE(MID($B274,2,20)),1000000000),1000000000))+ROW()/100000,"")</f>
        <v/>
      </c>
    </row>
    <row r="275">
      <c r="C275" s="11" t="n"/>
      <c r="J275" s="7">
        <f>IF($B275="","",I275*Q275/100)</f>
        <v/>
      </c>
      <c r="P275" s="7" t="n"/>
      <c r="Q275" s="7" t="n"/>
      <c r="R275" s="7">
        <f>IF($B275="","",Q275*W275/100)</f>
        <v/>
      </c>
      <c r="S275" s="7">
        <f>IF($B275="","",Q275-R275)</f>
        <v/>
      </c>
      <c r="T275" s="7">
        <f>IF($B275="","",S275-J275)</f>
        <v/>
      </c>
      <c r="W275">
        <f>IF($B275="","",IF($AI275=1,0,IF($AH275=1,Settings!$C$6,Settings!$C$7))*100)</f>
        <v/>
      </c>
      <c r="AA275" s="7" t="n"/>
      <c r="AD275" s="11" t="n"/>
      <c r="AF275">
        <f>IF($B275="","",IF(COUNTIF($B$2:$B275,$B275)=1,1,0))</f>
        <v/>
      </c>
      <c r="AG275">
        <f>IF($AF275=1,SUMPRODUCT(--($AJ$2:$AJ$1501&lt;$AJ275))+1,"")</f>
        <v/>
      </c>
      <c r="AH275">
        <f>IF($B275="","",IF(OR($M275=TRUE(),$M275="TRUE"),1,0))</f>
        <v/>
      </c>
      <c r="AI275">
        <f>IF($B275="","",IF($V275="Yes",1,0))</f>
        <v/>
      </c>
      <c r="AJ275">
        <f>IF($AF275=1,IFERROR(IF(VALUE($B275)&lt;100000000,VALUE($B275),1000000000),IFERROR(IF(VALUE(MID($B275,2,20))&lt;100000000,VALUE(MID($B275,2,20)),1000000000),1000000000))+ROW()/100000,"")</f>
        <v/>
      </c>
    </row>
    <row r="276">
      <c r="C276" s="11" t="n"/>
      <c r="J276" s="7">
        <f>IF($B276="","",I276*Q276/100)</f>
        <v/>
      </c>
      <c r="P276" s="7" t="n"/>
      <c r="Q276" s="7" t="n"/>
      <c r="R276" s="7">
        <f>IF($B276="","",Q276*W276/100)</f>
        <v/>
      </c>
      <c r="S276" s="7">
        <f>IF($B276="","",Q276-R276)</f>
        <v/>
      </c>
      <c r="T276" s="7">
        <f>IF($B276="","",S276-J276)</f>
        <v/>
      </c>
      <c r="W276">
        <f>IF($B276="","",IF($AI276=1,0,IF($AH276=1,Settings!$C$6,Settings!$C$7))*100)</f>
        <v/>
      </c>
      <c r="AA276" s="7" t="n"/>
      <c r="AD276" s="11" t="n"/>
      <c r="AF276">
        <f>IF($B276="","",IF(COUNTIF($B$2:$B276,$B276)=1,1,0))</f>
        <v/>
      </c>
      <c r="AG276">
        <f>IF($AF276=1,SUMPRODUCT(--($AJ$2:$AJ$1501&lt;$AJ276))+1,"")</f>
        <v/>
      </c>
      <c r="AH276">
        <f>IF($B276="","",IF(OR($M276=TRUE(),$M276="TRUE"),1,0))</f>
        <v/>
      </c>
      <c r="AI276">
        <f>IF($B276="","",IF($V276="Yes",1,0))</f>
        <v/>
      </c>
      <c r="AJ276">
        <f>IF($AF276=1,IFERROR(IF(VALUE($B276)&lt;100000000,VALUE($B276),1000000000),IFERROR(IF(VALUE(MID($B276,2,20))&lt;100000000,VALUE(MID($B276,2,20)),1000000000),1000000000))+ROW()/100000,"")</f>
        <v/>
      </c>
    </row>
    <row r="277">
      <c r="C277" s="11" t="n"/>
      <c r="J277" s="7">
        <f>IF($B277="","",I277*Q277/100)</f>
        <v/>
      </c>
      <c r="P277" s="7" t="n"/>
      <c r="Q277" s="7" t="n"/>
      <c r="R277" s="7">
        <f>IF($B277="","",Q277*W277/100)</f>
        <v/>
      </c>
      <c r="S277" s="7">
        <f>IF($B277="","",Q277-R277)</f>
        <v/>
      </c>
      <c r="T277" s="7">
        <f>IF($B277="","",S277-J277)</f>
        <v/>
      </c>
      <c r="W277">
        <f>IF($B277="","",IF($AI277=1,0,IF($AH277=1,Settings!$C$6,Settings!$C$7))*100)</f>
        <v/>
      </c>
      <c r="AA277" s="7" t="n"/>
      <c r="AD277" s="11" t="n"/>
      <c r="AF277">
        <f>IF($B277="","",IF(COUNTIF($B$2:$B277,$B277)=1,1,0))</f>
        <v/>
      </c>
      <c r="AG277">
        <f>IF($AF277=1,SUMPRODUCT(--($AJ$2:$AJ$1501&lt;$AJ277))+1,"")</f>
        <v/>
      </c>
      <c r="AH277">
        <f>IF($B277="","",IF(OR($M277=TRUE(),$M277="TRUE"),1,0))</f>
        <v/>
      </c>
      <c r="AI277">
        <f>IF($B277="","",IF($V277="Yes",1,0))</f>
        <v/>
      </c>
      <c r="AJ277">
        <f>IF($AF277=1,IFERROR(IF(VALUE($B277)&lt;100000000,VALUE($B277),1000000000),IFERROR(IF(VALUE(MID($B277,2,20))&lt;100000000,VALUE(MID($B277,2,20)),1000000000),1000000000))+ROW()/100000,"")</f>
        <v/>
      </c>
    </row>
    <row r="278">
      <c r="C278" s="11" t="n"/>
      <c r="J278" s="7">
        <f>IF($B278="","",I278*Q278/100)</f>
        <v/>
      </c>
      <c r="P278" s="7" t="n"/>
      <c r="Q278" s="7" t="n"/>
      <c r="R278" s="7">
        <f>IF($B278="","",Q278*W278/100)</f>
        <v/>
      </c>
      <c r="S278" s="7">
        <f>IF($B278="","",Q278-R278)</f>
        <v/>
      </c>
      <c r="T278" s="7">
        <f>IF($B278="","",S278-J278)</f>
        <v/>
      </c>
      <c r="W278">
        <f>IF($B278="","",IF($AI278=1,0,IF($AH278=1,Settings!$C$6,Settings!$C$7))*100)</f>
        <v/>
      </c>
      <c r="AA278" s="7" t="n"/>
      <c r="AD278" s="11" t="n"/>
      <c r="AF278">
        <f>IF($B278="","",IF(COUNTIF($B$2:$B278,$B278)=1,1,0))</f>
        <v/>
      </c>
      <c r="AG278">
        <f>IF($AF278=1,SUMPRODUCT(--($AJ$2:$AJ$1501&lt;$AJ278))+1,"")</f>
        <v/>
      </c>
      <c r="AH278">
        <f>IF($B278="","",IF(OR($M278=TRUE(),$M278="TRUE"),1,0))</f>
        <v/>
      </c>
      <c r="AI278">
        <f>IF($B278="","",IF($V278="Yes",1,0))</f>
        <v/>
      </c>
      <c r="AJ278">
        <f>IF($AF278=1,IFERROR(IF(VALUE($B278)&lt;100000000,VALUE($B278),1000000000),IFERROR(IF(VALUE(MID($B278,2,20))&lt;100000000,VALUE(MID($B278,2,20)),1000000000),1000000000))+ROW()/100000,"")</f>
        <v/>
      </c>
    </row>
    <row r="279">
      <c r="C279" s="11" t="n"/>
      <c r="J279" s="7">
        <f>IF($B279="","",I279*Q279/100)</f>
        <v/>
      </c>
      <c r="P279" s="7" t="n"/>
      <c r="Q279" s="7" t="n"/>
      <c r="R279" s="7">
        <f>IF($B279="","",Q279*W279/100)</f>
        <v/>
      </c>
      <c r="S279" s="7">
        <f>IF($B279="","",Q279-R279)</f>
        <v/>
      </c>
      <c r="T279" s="7">
        <f>IF($B279="","",S279-J279)</f>
        <v/>
      </c>
      <c r="W279">
        <f>IF($B279="","",IF($AI279=1,0,IF($AH279=1,Settings!$C$6,Settings!$C$7))*100)</f>
        <v/>
      </c>
      <c r="AA279" s="7" t="n"/>
      <c r="AD279" s="11" t="n"/>
      <c r="AF279">
        <f>IF($B279="","",IF(COUNTIF($B$2:$B279,$B279)=1,1,0))</f>
        <v/>
      </c>
      <c r="AG279">
        <f>IF($AF279=1,SUMPRODUCT(--($AJ$2:$AJ$1501&lt;$AJ279))+1,"")</f>
        <v/>
      </c>
      <c r="AH279">
        <f>IF($B279="","",IF(OR($M279=TRUE(),$M279="TRUE"),1,0))</f>
        <v/>
      </c>
      <c r="AI279">
        <f>IF($B279="","",IF($V279="Yes",1,0))</f>
        <v/>
      </c>
      <c r="AJ279">
        <f>IF($AF279=1,IFERROR(IF(VALUE($B279)&lt;100000000,VALUE($B279),1000000000),IFERROR(IF(VALUE(MID($B279,2,20))&lt;100000000,VALUE(MID($B279,2,20)),1000000000),1000000000))+ROW()/100000,"")</f>
        <v/>
      </c>
    </row>
    <row r="280">
      <c r="C280" s="11" t="n"/>
      <c r="J280" s="7">
        <f>IF($B280="","",I280*Q280/100)</f>
        <v/>
      </c>
      <c r="P280" s="7" t="n"/>
      <c r="Q280" s="7" t="n"/>
      <c r="R280" s="7">
        <f>IF($B280="","",Q280*W280/100)</f>
        <v/>
      </c>
      <c r="S280" s="7">
        <f>IF($B280="","",Q280-R280)</f>
        <v/>
      </c>
      <c r="T280" s="7">
        <f>IF($B280="","",S280-J280)</f>
        <v/>
      </c>
      <c r="W280">
        <f>IF($B280="","",IF($AI280=1,0,IF($AH280=1,Settings!$C$6,Settings!$C$7))*100)</f>
        <v/>
      </c>
      <c r="AA280" s="7" t="n"/>
      <c r="AD280" s="11" t="n"/>
      <c r="AF280">
        <f>IF($B280="","",IF(COUNTIF($B$2:$B280,$B280)=1,1,0))</f>
        <v/>
      </c>
      <c r="AG280">
        <f>IF($AF280=1,SUMPRODUCT(--($AJ$2:$AJ$1501&lt;$AJ280))+1,"")</f>
        <v/>
      </c>
      <c r="AH280">
        <f>IF($B280="","",IF(OR($M280=TRUE(),$M280="TRUE"),1,0))</f>
        <v/>
      </c>
      <c r="AI280">
        <f>IF($B280="","",IF($V280="Yes",1,0))</f>
        <v/>
      </c>
      <c r="AJ280">
        <f>IF($AF280=1,IFERROR(IF(VALUE($B280)&lt;100000000,VALUE($B280),1000000000),IFERROR(IF(VALUE(MID($B280,2,20))&lt;100000000,VALUE(MID($B280,2,20)),1000000000),1000000000))+ROW()/100000,"")</f>
        <v/>
      </c>
    </row>
    <row r="281">
      <c r="C281" s="11" t="n"/>
      <c r="J281" s="7">
        <f>IF($B281="","",I281*Q281/100)</f>
        <v/>
      </c>
      <c r="P281" s="7" t="n"/>
      <c r="Q281" s="7" t="n"/>
      <c r="R281" s="7">
        <f>IF($B281="","",Q281*W281/100)</f>
        <v/>
      </c>
      <c r="S281" s="7">
        <f>IF($B281="","",Q281-R281)</f>
        <v/>
      </c>
      <c r="T281" s="7">
        <f>IF($B281="","",S281-J281)</f>
        <v/>
      </c>
      <c r="W281">
        <f>IF($B281="","",IF($AI281=1,0,IF($AH281=1,Settings!$C$6,Settings!$C$7))*100)</f>
        <v/>
      </c>
      <c r="AA281" s="7" t="n"/>
      <c r="AD281" s="11" t="n"/>
      <c r="AF281">
        <f>IF($B281="","",IF(COUNTIF($B$2:$B281,$B281)=1,1,0))</f>
        <v/>
      </c>
      <c r="AG281">
        <f>IF($AF281=1,SUMPRODUCT(--($AJ$2:$AJ$1501&lt;$AJ281))+1,"")</f>
        <v/>
      </c>
      <c r="AH281">
        <f>IF($B281="","",IF(OR($M281=TRUE(),$M281="TRUE"),1,0))</f>
        <v/>
      </c>
      <c r="AI281">
        <f>IF($B281="","",IF($V281="Yes",1,0))</f>
        <v/>
      </c>
      <c r="AJ281">
        <f>IF($AF281=1,IFERROR(IF(VALUE($B281)&lt;100000000,VALUE($B281),1000000000),IFERROR(IF(VALUE(MID($B281,2,20))&lt;100000000,VALUE(MID($B281,2,20)),1000000000),1000000000))+ROW()/100000,"")</f>
        <v/>
      </c>
    </row>
    <row r="282">
      <c r="C282" s="11" t="n"/>
      <c r="J282" s="7">
        <f>IF($B282="","",I282*Q282/100)</f>
        <v/>
      </c>
      <c r="P282" s="7" t="n"/>
      <c r="Q282" s="7" t="n"/>
      <c r="R282" s="7">
        <f>IF($B282="","",Q282*W282/100)</f>
        <v/>
      </c>
      <c r="S282" s="7">
        <f>IF($B282="","",Q282-R282)</f>
        <v/>
      </c>
      <c r="T282" s="7">
        <f>IF($B282="","",S282-J282)</f>
        <v/>
      </c>
      <c r="W282">
        <f>IF($B282="","",IF($AI282=1,0,IF($AH282=1,Settings!$C$6,Settings!$C$7))*100)</f>
        <v/>
      </c>
      <c r="AA282" s="7" t="n"/>
      <c r="AD282" s="11" t="n"/>
      <c r="AF282">
        <f>IF($B282="","",IF(COUNTIF($B$2:$B282,$B282)=1,1,0))</f>
        <v/>
      </c>
      <c r="AG282">
        <f>IF($AF282=1,SUMPRODUCT(--($AJ$2:$AJ$1501&lt;$AJ282))+1,"")</f>
        <v/>
      </c>
      <c r="AH282">
        <f>IF($B282="","",IF(OR($M282=TRUE(),$M282="TRUE"),1,0))</f>
        <v/>
      </c>
      <c r="AI282">
        <f>IF($B282="","",IF($V282="Yes",1,0))</f>
        <v/>
      </c>
      <c r="AJ282">
        <f>IF($AF282=1,IFERROR(IF(VALUE($B282)&lt;100000000,VALUE($B282),1000000000),IFERROR(IF(VALUE(MID($B282,2,20))&lt;100000000,VALUE(MID($B282,2,20)),1000000000),1000000000))+ROW()/100000,"")</f>
        <v/>
      </c>
    </row>
    <row r="283">
      <c r="C283" s="11" t="n"/>
      <c r="J283" s="7">
        <f>IF($B283="","",I283*Q283/100)</f>
        <v/>
      </c>
      <c r="P283" s="7" t="n"/>
      <c r="Q283" s="7" t="n"/>
      <c r="R283" s="7">
        <f>IF($B283="","",Q283*W283/100)</f>
        <v/>
      </c>
      <c r="S283" s="7">
        <f>IF($B283="","",Q283-R283)</f>
        <v/>
      </c>
      <c r="T283" s="7">
        <f>IF($B283="","",S283-J283)</f>
        <v/>
      </c>
      <c r="W283">
        <f>IF($B283="","",IF($AI283=1,0,IF($AH283=1,Settings!$C$6,Settings!$C$7))*100)</f>
        <v/>
      </c>
      <c r="AA283" s="7" t="n"/>
      <c r="AD283" s="11" t="n"/>
      <c r="AF283">
        <f>IF($B283="","",IF(COUNTIF($B$2:$B283,$B283)=1,1,0))</f>
        <v/>
      </c>
      <c r="AG283">
        <f>IF($AF283=1,SUMPRODUCT(--($AJ$2:$AJ$1501&lt;$AJ283))+1,"")</f>
        <v/>
      </c>
      <c r="AH283">
        <f>IF($B283="","",IF(OR($M283=TRUE(),$M283="TRUE"),1,0))</f>
        <v/>
      </c>
      <c r="AI283">
        <f>IF($B283="","",IF($V283="Yes",1,0))</f>
        <v/>
      </c>
      <c r="AJ283">
        <f>IF($AF283=1,IFERROR(IF(VALUE($B283)&lt;100000000,VALUE($B283),1000000000),IFERROR(IF(VALUE(MID($B283,2,20))&lt;100000000,VALUE(MID($B283,2,20)),1000000000),1000000000))+ROW()/100000,"")</f>
        <v/>
      </c>
    </row>
    <row r="284">
      <c r="C284" s="11" t="n"/>
      <c r="J284" s="7">
        <f>IF($B284="","",I284*Q284/100)</f>
        <v/>
      </c>
      <c r="P284" s="7" t="n"/>
      <c r="Q284" s="7" t="n"/>
      <c r="R284" s="7">
        <f>IF($B284="","",Q284*W284/100)</f>
        <v/>
      </c>
      <c r="S284" s="7">
        <f>IF($B284="","",Q284-R284)</f>
        <v/>
      </c>
      <c r="T284" s="7">
        <f>IF($B284="","",S284-J284)</f>
        <v/>
      </c>
      <c r="W284">
        <f>IF($B284="","",IF($AI284=1,0,IF($AH284=1,Settings!$C$6,Settings!$C$7))*100)</f>
        <v/>
      </c>
      <c r="AA284" s="7" t="n"/>
      <c r="AD284" s="11" t="n"/>
      <c r="AF284">
        <f>IF($B284="","",IF(COUNTIF($B$2:$B284,$B284)=1,1,0))</f>
        <v/>
      </c>
      <c r="AG284">
        <f>IF($AF284=1,SUMPRODUCT(--($AJ$2:$AJ$1501&lt;$AJ284))+1,"")</f>
        <v/>
      </c>
      <c r="AH284">
        <f>IF($B284="","",IF(OR($M284=TRUE(),$M284="TRUE"),1,0))</f>
        <v/>
      </c>
      <c r="AI284">
        <f>IF($B284="","",IF($V284="Yes",1,0))</f>
        <v/>
      </c>
      <c r="AJ284">
        <f>IF($AF284=1,IFERROR(IF(VALUE($B284)&lt;100000000,VALUE($B284),1000000000),IFERROR(IF(VALUE(MID($B284,2,20))&lt;100000000,VALUE(MID($B284,2,20)),1000000000),1000000000))+ROW()/100000,"")</f>
        <v/>
      </c>
    </row>
    <row r="285">
      <c r="C285" s="11" t="n"/>
      <c r="J285" s="7">
        <f>IF($B285="","",I285*Q285/100)</f>
        <v/>
      </c>
      <c r="P285" s="7" t="n"/>
      <c r="Q285" s="7" t="n"/>
      <c r="R285" s="7">
        <f>IF($B285="","",Q285*W285/100)</f>
        <v/>
      </c>
      <c r="S285" s="7">
        <f>IF($B285="","",Q285-R285)</f>
        <v/>
      </c>
      <c r="T285" s="7">
        <f>IF($B285="","",S285-J285)</f>
        <v/>
      </c>
      <c r="W285">
        <f>IF($B285="","",IF($AI285=1,0,IF($AH285=1,Settings!$C$6,Settings!$C$7))*100)</f>
        <v/>
      </c>
      <c r="AA285" s="7" t="n"/>
      <c r="AD285" s="11" t="n"/>
      <c r="AF285">
        <f>IF($B285="","",IF(COUNTIF($B$2:$B285,$B285)=1,1,0))</f>
        <v/>
      </c>
      <c r="AG285">
        <f>IF($AF285=1,SUMPRODUCT(--($AJ$2:$AJ$1501&lt;$AJ285))+1,"")</f>
        <v/>
      </c>
      <c r="AH285">
        <f>IF($B285="","",IF(OR($M285=TRUE(),$M285="TRUE"),1,0))</f>
        <v/>
      </c>
      <c r="AI285">
        <f>IF($B285="","",IF($V285="Yes",1,0))</f>
        <v/>
      </c>
      <c r="AJ285">
        <f>IF($AF285=1,IFERROR(IF(VALUE($B285)&lt;100000000,VALUE($B285),1000000000),IFERROR(IF(VALUE(MID($B285,2,20))&lt;100000000,VALUE(MID($B285,2,20)),1000000000),1000000000))+ROW()/100000,"")</f>
        <v/>
      </c>
    </row>
    <row r="286">
      <c r="C286" s="11" t="n"/>
      <c r="J286" s="7">
        <f>IF($B286="","",I286*Q286/100)</f>
        <v/>
      </c>
      <c r="P286" s="7" t="n"/>
      <c r="Q286" s="7" t="n"/>
      <c r="R286" s="7">
        <f>IF($B286="","",Q286*W286/100)</f>
        <v/>
      </c>
      <c r="S286" s="7">
        <f>IF($B286="","",Q286-R286)</f>
        <v/>
      </c>
      <c r="T286" s="7">
        <f>IF($B286="","",S286-J286)</f>
        <v/>
      </c>
      <c r="W286">
        <f>IF($B286="","",IF($AI286=1,0,IF($AH286=1,Settings!$C$6,Settings!$C$7))*100)</f>
        <v/>
      </c>
      <c r="AA286" s="7" t="n"/>
      <c r="AD286" s="11" t="n"/>
      <c r="AF286">
        <f>IF($B286="","",IF(COUNTIF($B$2:$B286,$B286)=1,1,0))</f>
        <v/>
      </c>
      <c r="AG286">
        <f>IF($AF286=1,SUMPRODUCT(--($AJ$2:$AJ$1501&lt;$AJ286))+1,"")</f>
        <v/>
      </c>
      <c r="AH286">
        <f>IF($B286="","",IF(OR($M286=TRUE(),$M286="TRUE"),1,0))</f>
        <v/>
      </c>
      <c r="AI286">
        <f>IF($B286="","",IF($V286="Yes",1,0))</f>
        <v/>
      </c>
      <c r="AJ286">
        <f>IF($AF286=1,IFERROR(IF(VALUE($B286)&lt;100000000,VALUE($B286),1000000000),IFERROR(IF(VALUE(MID($B286,2,20))&lt;100000000,VALUE(MID($B286,2,20)),1000000000),1000000000))+ROW()/100000,"")</f>
        <v/>
      </c>
    </row>
    <row r="287">
      <c r="C287" s="11" t="n"/>
      <c r="J287" s="7">
        <f>IF($B287="","",I287*Q287/100)</f>
        <v/>
      </c>
      <c r="P287" s="7" t="n"/>
      <c r="Q287" s="7" t="n"/>
      <c r="R287" s="7">
        <f>IF($B287="","",Q287*W287/100)</f>
        <v/>
      </c>
      <c r="S287" s="7">
        <f>IF($B287="","",Q287-R287)</f>
        <v/>
      </c>
      <c r="T287" s="7">
        <f>IF($B287="","",S287-J287)</f>
        <v/>
      </c>
      <c r="W287">
        <f>IF($B287="","",IF($AI287=1,0,IF($AH287=1,Settings!$C$6,Settings!$C$7))*100)</f>
        <v/>
      </c>
      <c r="AA287" s="7" t="n"/>
      <c r="AD287" s="11" t="n"/>
      <c r="AF287">
        <f>IF($B287="","",IF(COUNTIF($B$2:$B287,$B287)=1,1,0))</f>
        <v/>
      </c>
      <c r="AG287">
        <f>IF($AF287=1,SUMPRODUCT(--($AJ$2:$AJ$1501&lt;$AJ287))+1,"")</f>
        <v/>
      </c>
      <c r="AH287">
        <f>IF($B287="","",IF(OR($M287=TRUE(),$M287="TRUE"),1,0))</f>
        <v/>
      </c>
      <c r="AI287">
        <f>IF($B287="","",IF($V287="Yes",1,0))</f>
        <v/>
      </c>
      <c r="AJ287">
        <f>IF($AF287=1,IFERROR(IF(VALUE($B287)&lt;100000000,VALUE($B287),1000000000),IFERROR(IF(VALUE(MID($B287,2,20))&lt;100000000,VALUE(MID($B287,2,20)),1000000000),1000000000))+ROW()/100000,"")</f>
        <v/>
      </c>
    </row>
    <row r="288">
      <c r="C288" s="11" t="n"/>
      <c r="J288" s="7">
        <f>IF($B288="","",I288*Q288/100)</f>
        <v/>
      </c>
      <c r="P288" s="7" t="n"/>
      <c r="Q288" s="7" t="n"/>
      <c r="R288" s="7">
        <f>IF($B288="","",Q288*W288/100)</f>
        <v/>
      </c>
      <c r="S288" s="7">
        <f>IF($B288="","",Q288-R288)</f>
        <v/>
      </c>
      <c r="T288" s="7">
        <f>IF($B288="","",S288-J288)</f>
        <v/>
      </c>
      <c r="W288">
        <f>IF($B288="","",IF($AI288=1,0,IF($AH288=1,Settings!$C$6,Settings!$C$7))*100)</f>
        <v/>
      </c>
      <c r="AA288" s="7" t="n"/>
      <c r="AD288" s="11" t="n"/>
      <c r="AF288">
        <f>IF($B288="","",IF(COUNTIF($B$2:$B288,$B288)=1,1,0))</f>
        <v/>
      </c>
      <c r="AG288">
        <f>IF($AF288=1,SUMPRODUCT(--($AJ$2:$AJ$1501&lt;$AJ288))+1,"")</f>
        <v/>
      </c>
      <c r="AH288">
        <f>IF($B288="","",IF(OR($M288=TRUE(),$M288="TRUE"),1,0))</f>
        <v/>
      </c>
      <c r="AI288">
        <f>IF($B288="","",IF($V288="Yes",1,0))</f>
        <v/>
      </c>
      <c r="AJ288">
        <f>IF($AF288=1,IFERROR(IF(VALUE($B288)&lt;100000000,VALUE($B288),1000000000),IFERROR(IF(VALUE(MID($B288,2,20))&lt;100000000,VALUE(MID($B288,2,20)),1000000000),1000000000))+ROW()/100000,"")</f>
        <v/>
      </c>
    </row>
    <row r="289">
      <c r="C289" s="11" t="n"/>
      <c r="J289" s="7">
        <f>IF($B289="","",I289*Q289/100)</f>
        <v/>
      </c>
      <c r="P289" s="7" t="n"/>
      <c r="Q289" s="7" t="n"/>
      <c r="R289" s="7">
        <f>IF($B289="","",Q289*W289/100)</f>
        <v/>
      </c>
      <c r="S289" s="7">
        <f>IF($B289="","",Q289-R289)</f>
        <v/>
      </c>
      <c r="T289" s="7">
        <f>IF($B289="","",S289-J289)</f>
        <v/>
      </c>
      <c r="W289">
        <f>IF($B289="","",IF($AI289=1,0,IF($AH289=1,Settings!$C$6,Settings!$C$7))*100)</f>
        <v/>
      </c>
      <c r="AA289" s="7" t="n"/>
      <c r="AD289" s="11" t="n"/>
      <c r="AF289">
        <f>IF($B289="","",IF(COUNTIF($B$2:$B289,$B289)=1,1,0))</f>
        <v/>
      </c>
      <c r="AG289">
        <f>IF($AF289=1,SUMPRODUCT(--($AJ$2:$AJ$1501&lt;$AJ289))+1,"")</f>
        <v/>
      </c>
      <c r="AH289">
        <f>IF($B289="","",IF(OR($M289=TRUE(),$M289="TRUE"),1,0))</f>
        <v/>
      </c>
      <c r="AI289">
        <f>IF($B289="","",IF($V289="Yes",1,0))</f>
        <v/>
      </c>
      <c r="AJ289">
        <f>IF($AF289=1,IFERROR(IF(VALUE($B289)&lt;100000000,VALUE($B289),1000000000),IFERROR(IF(VALUE(MID($B289,2,20))&lt;100000000,VALUE(MID($B289,2,20)),1000000000),1000000000))+ROW()/100000,"")</f>
        <v/>
      </c>
    </row>
    <row r="290">
      <c r="C290" s="11" t="n"/>
      <c r="J290" s="7">
        <f>IF($B290="","",I290*Q290/100)</f>
        <v/>
      </c>
      <c r="P290" s="7" t="n"/>
      <c r="Q290" s="7" t="n"/>
      <c r="R290" s="7">
        <f>IF($B290="","",Q290*W290/100)</f>
        <v/>
      </c>
      <c r="S290" s="7">
        <f>IF($B290="","",Q290-R290)</f>
        <v/>
      </c>
      <c r="T290" s="7">
        <f>IF($B290="","",S290-J290)</f>
        <v/>
      </c>
      <c r="W290">
        <f>IF($B290="","",IF($AI290=1,0,IF($AH290=1,Settings!$C$6,Settings!$C$7))*100)</f>
        <v/>
      </c>
      <c r="AA290" s="7" t="n"/>
      <c r="AD290" s="11" t="n"/>
      <c r="AF290">
        <f>IF($B290="","",IF(COUNTIF($B$2:$B290,$B290)=1,1,0))</f>
        <v/>
      </c>
      <c r="AG290">
        <f>IF($AF290=1,SUMPRODUCT(--($AJ$2:$AJ$1501&lt;$AJ290))+1,"")</f>
        <v/>
      </c>
      <c r="AH290">
        <f>IF($B290="","",IF(OR($M290=TRUE(),$M290="TRUE"),1,0))</f>
        <v/>
      </c>
      <c r="AI290">
        <f>IF($B290="","",IF($V290="Yes",1,0))</f>
        <v/>
      </c>
      <c r="AJ290">
        <f>IF($AF290=1,IFERROR(IF(VALUE($B290)&lt;100000000,VALUE($B290),1000000000),IFERROR(IF(VALUE(MID($B290,2,20))&lt;100000000,VALUE(MID($B290,2,20)),1000000000),1000000000))+ROW()/100000,"")</f>
        <v/>
      </c>
    </row>
    <row r="291">
      <c r="C291" s="11" t="n"/>
      <c r="J291" s="7">
        <f>IF($B291="","",I291*Q291/100)</f>
        <v/>
      </c>
      <c r="P291" s="7" t="n"/>
      <c r="Q291" s="7" t="n"/>
      <c r="R291" s="7">
        <f>IF($B291="","",Q291*W291/100)</f>
        <v/>
      </c>
      <c r="S291" s="7">
        <f>IF($B291="","",Q291-R291)</f>
        <v/>
      </c>
      <c r="T291" s="7">
        <f>IF($B291="","",S291-J291)</f>
        <v/>
      </c>
      <c r="W291">
        <f>IF($B291="","",IF($AI291=1,0,IF($AH291=1,Settings!$C$6,Settings!$C$7))*100)</f>
        <v/>
      </c>
      <c r="AA291" s="7" t="n"/>
      <c r="AD291" s="11" t="n"/>
      <c r="AF291">
        <f>IF($B291="","",IF(COUNTIF($B$2:$B291,$B291)=1,1,0))</f>
        <v/>
      </c>
      <c r="AG291">
        <f>IF($AF291=1,SUMPRODUCT(--($AJ$2:$AJ$1501&lt;$AJ291))+1,"")</f>
        <v/>
      </c>
      <c r="AH291">
        <f>IF($B291="","",IF(OR($M291=TRUE(),$M291="TRUE"),1,0))</f>
        <v/>
      </c>
      <c r="AI291">
        <f>IF($B291="","",IF($V291="Yes",1,0))</f>
        <v/>
      </c>
      <c r="AJ291">
        <f>IF($AF291=1,IFERROR(IF(VALUE($B291)&lt;100000000,VALUE($B291),1000000000),IFERROR(IF(VALUE(MID($B291,2,20))&lt;100000000,VALUE(MID($B291,2,20)),1000000000),1000000000))+ROW()/100000,"")</f>
        <v/>
      </c>
    </row>
    <row r="292">
      <c r="C292" s="11" t="n"/>
      <c r="J292" s="7">
        <f>IF($B292="","",I292*Q292/100)</f>
        <v/>
      </c>
      <c r="P292" s="7" t="n"/>
      <c r="Q292" s="7" t="n"/>
      <c r="R292" s="7">
        <f>IF($B292="","",Q292*W292/100)</f>
        <v/>
      </c>
      <c r="S292" s="7">
        <f>IF($B292="","",Q292-R292)</f>
        <v/>
      </c>
      <c r="T292" s="7">
        <f>IF($B292="","",S292-J292)</f>
        <v/>
      </c>
      <c r="W292">
        <f>IF($B292="","",IF($AI292=1,0,IF($AH292=1,Settings!$C$6,Settings!$C$7))*100)</f>
        <v/>
      </c>
      <c r="AA292" s="7" t="n"/>
      <c r="AD292" s="11" t="n"/>
      <c r="AF292">
        <f>IF($B292="","",IF(COUNTIF($B$2:$B292,$B292)=1,1,0))</f>
        <v/>
      </c>
      <c r="AG292">
        <f>IF($AF292=1,SUMPRODUCT(--($AJ$2:$AJ$1501&lt;$AJ292))+1,"")</f>
        <v/>
      </c>
      <c r="AH292">
        <f>IF($B292="","",IF(OR($M292=TRUE(),$M292="TRUE"),1,0))</f>
        <v/>
      </c>
      <c r="AI292">
        <f>IF($B292="","",IF($V292="Yes",1,0))</f>
        <v/>
      </c>
      <c r="AJ292">
        <f>IF($AF292=1,IFERROR(IF(VALUE($B292)&lt;100000000,VALUE($B292),1000000000),IFERROR(IF(VALUE(MID($B292,2,20))&lt;100000000,VALUE(MID($B292,2,20)),1000000000),1000000000))+ROW()/100000,"")</f>
        <v/>
      </c>
    </row>
    <row r="293">
      <c r="C293" s="11" t="n"/>
      <c r="J293" s="7">
        <f>IF($B293="","",I293*Q293/100)</f>
        <v/>
      </c>
      <c r="P293" s="7" t="n"/>
      <c r="Q293" s="7" t="n"/>
      <c r="R293" s="7">
        <f>IF($B293="","",Q293*W293/100)</f>
        <v/>
      </c>
      <c r="S293" s="7">
        <f>IF($B293="","",Q293-R293)</f>
        <v/>
      </c>
      <c r="T293" s="7">
        <f>IF($B293="","",S293-J293)</f>
        <v/>
      </c>
      <c r="W293">
        <f>IF($B293="","",IF($AI293=1,0,IF($AH293=1,Settings!$C$6,Settings!$C$7))*100)</f>
        <v/>
      </c>
      <c r="AA293" s="7" t="n"/>
      <c r="AD293" s="11" t="n"/>
      <c r="AF293">
        <f>IF($B293="","",IF(COUNTIF($B$2:$B293,$B293)=1,1,0))</f>
        <v/>
      </c>
      <c r="AG293">
        <f>IF($AF293=1,SUMPRODUCT(--($AJ$2:$AJ$1501&lt;$AJ293))+1,"")</f>
        <v/>
      </c>
      <c r="AH293">
        <f>IF($B293="","",IF(OR($M293=TRUE(),$M293="TRUE"),1,0))</f>
        <v/>
      </c>
      <c r="AI293">
        <f>IF($B293="","",IF($V293="Yes",1,0))</f>
        <v/>
      </c>
      <c r="AJ293">
        <f>IF($AF293=1,IFERROR(IF(VALUE($B293)&lt;100000000,VALUE($B293),1000000000),IFERROR(IF(VALUE(MID($B293,2,20))&lt;100000000,VALUE(MID($B293,2,20)),1000000000),1000000000))+ROW()/100000,"")</f>
        <v/>
      </c>
    </row>
    <row r="294">
      <c r="C294" s="11" t="n"/>
      <c r="J294" s="7">
        <f>IF($B294="","",I294*Q294/100)</f>
        <v/>
      </c>
      <c r="P294" s="7" t="n"/>
      <c r="Q294" s="7" t="n"/>
      <c r="R294" s="7">
        <f>IF($B294="","",Q294*W294/100)</f>
        <v/>
      </c>
      <c r="S294" s="7">
        <f>IF($B294="","",Q294-R294)</f>
        <v/>
      </c>
      <c r="T294" s="7">
        <f>IF($B294="","",S294-J294)</f>
        <v/>
      </c>
      <c r="W294">
        <f>IF($B294="","",IF($AI294=1,0,IF($AH294=1,Settings!$C$6,Settings!$C$7))*100)</f>
        <v/>
      </c>
      <c r="AA294" s="7" t="n"/>
      <c r="AD294" s="11" t="n"/>
      <c r="AF294">
        <f>IF($B294="","",IF(COUNTIF($B$2:$B294,$B294)=1,1,0))</f>
        <v/>
      </c>
      <c r="AG294">
        <f>IF($AF294=1,SUMPRODUCT(--($AJ$2:$AJ$1501&lt;$AJ294))+1,"")</f>
        <v/>
      </c>
      <c r="AH294">
        <f>IF($B294="","",IF(OR($M294=TRUE(),$M294="TRUE"),1,0))</f>
        <v/>
      </c>
      <c r="AI294">
        <f>IF($B294="","",IF($V294="Yes",1,0))</f>
        <v/>
      </c>
      <c r="AJ294">
        <f>IF($AF294=1,IFERROR(IF(VALUE($B294)&lt;100000000,VALUE($B294),1000000000),IFERROR(IF(VALUE(MID($B294,2,20))&lt;100000000,VALUE(MID($B294,2,20)),1000000000),1000000000))+ROW()/100000,"")</f>
        <v/>
      </c>
    </row>
    <row r="295">
      <c r="C295" s="11" t="n"/>
      <c r="J295" s="7">
        <f>IF($B295="","",I295*Q295/100)</f>
        <v/>
      </c>
      <c r="P295" s="7" t="n"/>
      <c r="Q295" s="7" t="n"/>
      <c r="R295" s="7">
        <f>IF($B295="","",Q295*W295/100)</f>
        <v/>
      </c>
      <c r="S295" s="7">
        <f>IF($B295="","",Q295-R295)</f>
        <v/>
      </c>
      <c r="T295" s="7">
        <f>IF($B295="","",S295-J295)</f>
        <v/>
      </c>
      <c r="W295">
        <f>IF($B295="","",IF($AI295=1,0,IF($AH295=1,Settings!$C$6,Settings!$C$7))*100)</f>
        <v/>
      </c>
      <c r="AA295" s="7" t="n"/>
      <c r="AD295" s="11" t="n"/>
      <c r="AF295">
        <f>IF($B295="","",IF(COUNTIF($B$2:$B295,$B295)=1,1,0))</f>
        <v/>
      </c>
      <c r="AG295">
        <f>IF($AF295=1,SUMPRODUCT(--($AJ$2:$AJ$1501&lt;$AJ295))+1,"")</f>
        <v/>
      </c>
      <c r="AH295">
        <f>IF($B295="","",IF(OR($M295=TRUE(),$M295="TRUE"),1,0))</f>
        <v/>
      </c>
      <c r="AI295">
        <f>IF($B295="","",IF($V295="Yes",1,0))</f>
        <v/>
      </c>
      <c r="AJ295">
        <f>IF($AF295=1,IFERROR(IF(VALUE($B295)&lt;100000000,VALUE($B295),1000000000),IFERROR(IF(VALUE(MID($B295,2,20))&lt;100000000,VALUE(MID($B295,2,20)),1000000000),1000000000))+ROW()/100000,"")</f>
        <v/>
      </c>
    </row>
    <row r="296">
      <c r="C296" s="11" t="n"/>
      <c r="J296" s="7">
        <f>IF($B296="","",I296*Q296/100)</f>
        <v/>
      </c>
      <c r="P296" s="7" t="n"/>
      <c r="Q296" s="7" t="n"/>
      <c r="R296" s="7">
        <f>IF($B296="","",Q296*W296/100)</f>
        <v/>
      </c>
      <c r="S296" s="7">
        <f>IF($B296="","",Q296-R296)</f>
        <v/>
      </c>
      <c r="T296" s="7">
        <f>IF($B296="","",S296-J296)</f>
        <v/>
      </c>
      <c r="W296">
        <f>IF($B296="","",IF($AI296=1,0,IF($AH296=1,Settings!$C$6,Settings!$C$7))*100)</f>
        <v/>
      </c>
      <c r="AA296" s="7" t="n"/>
      <c r="AD296" s="11" t="n"/>
      <c r="AF296">
        <f>IF($B296="","",IF(COUNTIF($B$2:$B296,$B296)=1,1,0))</f>
        <v/>
      </c>
      <c r="AG296">
        <f>IF($AF296=1,SUMPRODUCT(--($AJ$2:$AJ$1501&lt;$AJ296))+1,"")</f>
        <v/>
      </c>
      <c r="AH296">
        <f>IF($B296="","",IF(OR($M296=TRUE(),$M296="TRUE"),1,0))</f>
        <v/>
      </c>
      <c r="AI296">
        <f>IF($B296="","",IF($V296="Yes",1,0))</f>
        <v/>
      </c>
      <c r="AJ296">
        <f>IF($AF296=1,IFERROR(IF(VALUE($B296)&lt;100000000,VALUE($B296),1000000000),IFERROR(IF(VALUE(MID($B296,2,20))&lt;100000000,VALUE(MID($B296,2,20)),1000000000),1000000000))+ROW()/100000,"")</f>
        <v/>
      </c>
    </row>
    <row r="297">
      <c r="C297" s="11" t="n"/>
      <c r="J297" s="7">
        <f>IF($B297="","",I297*Q297/100)</f>
        <v/>
      </c>
      <c r="P297" s="7" t="n"/>
      <c r="Q297" s="7" t="n"/>
      <c r="R297" s="7">
        <f>IF($B297="","",Q297*W297/100)</f>
        <v/>
      </c>
      <c r="S297" s="7">
        <f>IF($B297="","",Q297-R297)</f>
        <v/>
      </c>
      <c r="T297" s="7">
        <f>IF($B297="","",S297-J297)</f>
        <v/>
      </c>
      <c r="W297">
        <f>IF($B297="","",IF($AI297=1,0,IF($AH297=1,Settings!$C$6,Settings!$C$7))*100)</f>
        <v/>
      </c>
      <c r="AA297" s="7" t="n"/>
      <c r="AD297" s="11" t="n"/>
      <c r="AF297">
        <f>IF($B297="","",IF(COUNTIF($B$2:$B297,$B297)=1,1,0))</f>
        <v/>
      </c>
      <c r="AG297">
        <f>IF($AF297=1,SUMPRODUCT(--($AJ$2:$AJ$1501&lt;$AJ297))+1,"")</f>
        <v/>
      </c>
      <c r="AH297">
        <f>IF($B297="","",IF(OR($M297=TRUE(),$M297="TRUE"),1,0))</f>
        <v/>
      </c>
      <c r="AI297">
        <f>IF($B297="","",IF($V297="Yes",1,0))</f>
        <v/>
      </c>
      <c r="AJ297">
        <f>IF($AF297=1,IFERROR(IF(VALUE($B297)&lt;100000000,VALUE($B297),1000000000),IFERROR(IF(VALUE(MID($B297,2,20))&lt;100000000,VALUE(MID($B297,2,20)),1000000000),1000000000))+ROW()/100000,"")</f>
        <v/>
      </c>
    </row>
    <row r="298">
      <c r="C298" s="11" t="n"/>
      <c r="J298" s="7">
        <f>IF($B298="","",I298*Q298/100)</f>
        <v/>
      </c>
      <c r="P298" s="7" t="n"/>
      <c r="Q298" s="7" t="n"/>
      <c r="R298" s="7">
        <f>IF($B298="","",Q298*W298/100)</f>
        <v/>
      </c>
      <c r="S298" s="7">
        <f>IF($B298="","",Q298-R298)</f>
        <v/>
      </c>
      <c r="T298" s="7">
        <f>IF($B298="","",S298-J298)</f>
        <v/>
      </c>
      <c r="W298">
        <f>IF($B298="","",IF($AI298=1,0,IF($AH298=1,Settings!$C$6,Settings!$C$7))*100)</f>
        <v/>
      </c>
      <c r="AA298" s="7" t="n"/>
      <c r="AD298" s="11" t="n"/>
      <c r="AF298">
        <f>IF($B298="","",IF(COUNTIF($B$2:$B298,$B298)=1,1,0))</f>
        <v/>
      </c>
      <c r="AG298">
        <f>IF($AF298=1,SUMPRODUCT(--($AJ$2:$AJ$1501&lt;$AJ298))+1,"")</f>
        <v/>
      </c>
      <c r="AH298">
        <f>IF($B298="","",IF(OR($M298=TRUE(),$M298="TRUE"),1,0))</f>
        <v/>
      </c>
      <c r="AI298">
        <f>IF($B298="","",IF($V298="Yes",1,0))</f>
        <v/>
      </c>
      <c r="AJ298">
        <f>IF($AF298=1,IFERROR(IF(VALUE($B298)&lt;100000000,VALUE($B298),1000000000),IFERROR(IF(VALUE(MID($B298,2,20))&lt;100000000,VALUE(MID($B298,2,20)),1000000000),1000000000))+ROW()/100000,"")</f>
        <v/>
      </c>
    </row>
    <row r="299">
      <c r="C299" s="11" t="n"/>
      <c r="J299" s="7">
        <f>IF($B299="","",I299*Q299/100)</f>
        <v/>
      </c>
      <c r="P299" s="7" t="n"/>
      <c r="Q299" s="7" t="n"/>
      <c r="R299" s="7">
        <f>IF($B299="","",Q299*W299/100)</f>
        <v/>
      </c>
      <c r="S299" s="7">
        <f>IF($B299="","",Q299-R299)</f>
        <v/>
      </c>
      <c r="T299" s="7">
        <f>IF($B299="","",S299-J299)</f>
        <v/>
      </c>
      <c r="W299">
        <f>IF($B299="","",IF($AI299=1,0,IF($AH299=1,Settings!$C$6,Settings!$C$7))*100)</f>
        <v/>
      </c>
      <c r="AA299" s="7" t="n"/>
      <c r="AD299" s="11" t="n"/>
      <c r="AF299">
        <f>IF($B299="","",IF(COUNTIF($B$2:$B299,$B299)=1,1,0))</f>
        <v/>
      </c>
      <c r="AG299">
        <f>IF($AF299=1,SUMPRODUCT(--($AJ$2:$AJ$1501&lt;$AJ299))+1,"")</f>
        <v/>
      </c>
      <c r="AH299">
        <f>IF($B299="","",IF(OR($M299=TRUE(),$M299="TRUE"),1,0))</f>
        <v/>
      </c>
      <c r="AI299">
        <f>IF($B299="","",IF($V299="Yes",1,0))</f>
        <v/>
      </c>
      <c r="AJ299">
        <f>IF($AF299=1,IFERROR(IF(VALUE($B299)&lt;100000000,VALUE($B299),1000000000),IFERROR(IF(VALUE(MID($B299,2,20))&lt;100000000,VALUE(MID($B299,2,20)),1000000000),1000000000))+ROW()/100000,"")</f>
        <v/>
      </c>
    </row>
    <row r="300">
      <c r="C300" s="11" t="n"/>
      <c r="J300" s="7">
        <f>IF($B300="","",I300*Q300/100)</f>
        <v/>
      </c>
      <c r="P300" s="7" t="n"/>
      <c r="Q300" s="7" t="n"/>
      <c r="R300" s="7">
        <f>IF($B300="","",Q300*W300/100)</f>
        <v/>
      </c>
      <c r="S300" s="7">
        <f>IF($B300="","",Q300-R300)</f>
        <v/>
      </c>
      <c r="T300" s="7">
        <f>IF($B300="","",S300-J300)</f>
        <v/>
      </c>
      <c r="W300">
        <f>IF($B300="","",IF($AI300=1,0,IF($AH300=1,Settings!$C$6,Settings!$C$7))*100)</f>
        <v/>
      </c>
      <c r="AA300" s="7" t="n"/>
      <c r="AD300" s="11" t="n"/>
      <c r="AF300">
        <f>IF($B300="","",IF(COUNTIF($B$2:$B300,$B300)=1,1,0))</f>
        <v/>
      </c>
      <c r="AG300">
        <f>IF($AF300=1,SUMPRODUCT(--($AJ$2:$AJ$1501&lt;$AJ300))+1,"")</f>
        <v/>
      </c>
      <c r="AH300">
        <f>IF($B300="","",IF(OR($M300=TRUE(),$M300="TRUE"),1,0))</f>
        <v/>
      </c>
      <c r="AI300">
        <f>IF($B300="","",IF($V300="Yes",1,0))</f>
        <v/>
      </c>
      <c r="AJ300">
        <f>IF($AF300=1,IFERROR(IF(VALUE($B300)&lt;100000000,VALUE($B300),1000000000),IFERROR(IF(VALUE(MID($B300,2,20))&lt;100000000,VALUE(MID($B300,2,20)),1000000000),1000000000))+ROW()/100000,"")</f>
        <v/>
      </c>
    </row>
    <row r="301">
      <c r="C301" s="11" t="n"/>
      <c r="J301" s="7">
        <f>IF($B301="","",I301*Q301/100)</f>
        <v/>
      </c>
      <c r="P301" s="7" t="n"/>
      <c r="Q301" s="7" t="n"/>
      <c r="R301" s="7">
        <f>IF($B301="","",Q301*W301/100)</f>
        <v/>
      </c>
      <c r="S301" s="7">
        <f>IF($B301="","",Q301-R301)</f>
        <v/>
      </c>
      <c r="T301" s="7">
        <f>IF($B301="","",S301-J301)</f>
        <v/>
      </c>
      <c r="W301">
        <f>IF($B301="","",IF($AI301=1,0,IF($AH301=1,Settings!$C$6,Settings!$C$7))*100)</f>
        <v/>
      </c>
      <c r="AA301" s="7" t="n"/>
      <c r="AD301" s="11" t="n"/>
      <c r="AF301">
        <f>IF($B301="","",IF(COUNTIF($B$2:$B301,$B301)=1,1,0))</f>
        <v/>
      </c>
      <c r="AG301">
        <f>IF($AF301=1,SUMPRODUCT(--($AJ$2:$AJ$1501&lt;$AJ301))+1,"")</f>
        <v/>
      </c>
      <c r="AH301">
        <f>IF($B301="","",IF(OR($M301=TRUE(),$M301="TRUE"),1,0))</f>
        <v/>
      </c>
      <c r="AI301">
        <f>IF($B301="","",IF($V301="Yes",1,0))</f>
        <v/>
      </c>
      <c r="AJ301">
        <f>IF($AF301=1,IFERROR(IF(VALUE($B301)&lt;100000000,VALUE($B301),1000000000),IFERROR(IF(VALUE(MID($B301,2,20))&lt;100000000,VALUE(MID($B301,2,20)),1000000000),1000000000))+ROW()/100000,"")</f>
        <v/>
      </c>
    </row>
    <row r="302">
      <c r="C302" s="11" t="n"/>
      <c r="J302" s="7">
        <f>IF($B302="","",I302*Q302/100)</f>
        <v/>
      </c>
      <c r="P302" s="7" t="n"/>
      <c r="Q302" s="7" t="n"/>
      <c r="R302" s="7">
        <f>IF($B302="","",Q302*W302/100)</f>
        <v/>
      </c>
      <c r="S302" s="7">
        <f>IF($B302="","",Q302-R302)</f>
        <v/>
      </c>
      <c r="T302" s="7">
        <f>IF($B302="","",S302-J302)</f>
        <v/>
      </c>
      <c r="W302">
        <f>IF($B302="","",IF($AI302=1,0,IF($AH302=1,Settings!$C$6,Settings!$C$7))*100)</f>
        <v/>
      </c>
      <c r="AA302" s="7" t="n"/>
      <c r="AD302" s="11" t="n"/>
      <c r="AF302">
        <f>IF($B302="","",IF(COUNTIF($B$2:$B302,$B302)=1,1,0))</f>
        <v/>
      </c>
      <c r="AG302">
        <f>IF($AF302=1,SUMPRODUCT(--($AJ$2:$AJ$1501&lt;$AJ302))+1,"")</f>
        <v/>
      </c>
      <c r="AH302">
        <f>IF($B302="","",IF(OR($M302=TRUE(),$M302="TRUE"),1,0))</f>
        <v/>
      </c>
      <c r="AI302">
        <f>IF($B302="","",IF($V302="Yes",1,0))</f>
        <v/>
      </c>
      <c r="AJ302">
        <f>IF($AF302=1,IFERROR(IF(VALUE($B302)&lt;100000000,VALUE($B302),1000000000),IFERROR(IF(VALUE(MID($B302,2,20))&lt;100000000,VALUE(MID($B302,2,20)),1000000000),1000000000))+ROW()/100000,"")</f>
        <v/>
      </c>
    </row>
    <row r="303">
      <c r="C303" s="11" t="n"/>
      <c r="J303" s="7">
        <f>IF($B303="","",I303*Q303/100)</f>
        <v/>
      </c>
      <c r="P303" s="7" t="n"/>
      <c r="Q303" s="7" t="n"/>
      <c r="R303" s="7">
        <f>IF($B303="","",Q303*W303/100)</f>
        <v/>
      </c>
      <c r="S303" s="7">
        <f>IF($B303="","",Q303-R303)</f>
        <v/>
      </c>
      <c r="T303" s="7">
        <f>IF($B303="","",S303-J303)</f>
        <v/>
      </c>
      <c r="W303">
        <f>IF($B303="","",IF($AI303=1,0,IF($AH303=1,Settings!$C$6,Settings!$C$7))*100)</f>
        <v/>
      </c>
      <c r="AA303" s="7" t="n"/>
      <c r="AD303" s="11" t="n"/>
      <c r="AF303">
        <f>IF($B303="","",IF(COUNTIF($B$2:$B303,$B303)=1,1,0))</f>
        <v/>
      </c>
      <c r="AG303">
        <f>IF($AF303=1,SUMPRODUCT(--($AJ$2:$AJ$1501&lt;$AJ303))+1,"")</f>
        <v/>
      </c>
      <c r="AH303">
        <f>IF($B303="","",IF(OR($M303=TRUE(),$M303="TRUE"),1,0))</f>
        <v/>
      </c>
      <c r="AI303">
        <f>IF($B303="","",IF($V303="Yes",1,0))</f>
        <v/>
      </c>
      <c r="AJ303">
        <f>IF($AF303=1,IFERROR(IF(VALUE($B303)&lt;100000000,VALUE($B303),1000000000),IFERROR(IF(VALUE(MID($B303,2,20))&lt;100000000,VALUE(MID($B303,2,20)),1000000000),1000000000))+ROW()/100000,"")</f>
        <v/>
      </c>
    </row>
    <row r="304">
      <c r="C304" s="11" t="n"/>
      <c r="J304" s="7">
        <f>IF($B304="","",I304*Q304/100)</f>
        <v/>
      </c>
      <c r="P304" s="7" t="n"/>
      <c r="Q304" s="7" t="n"/>
      <c r="R304" s="7">
        <f>IF($B304="","",Q304*W304/100)</f>
        <v/>
      </c>
      <c r="S304" s="7">
        <f>IF($B304="","",Q304-R304)</f>
        <v/>
      </c>
      <c r="T304" s="7">
        <f>IF($B304="","",S304-J304)</f>
        <v/>
      </c>
      <c r="W304">
        <f>IF($B304="","",IF($AI304=1,0,IF($AH304=1,Settings!$C$6,Settings!$C$7))*100)</f>
        <v/>
      </c>
      <c r="AA304" s="7" t="n"/>
      <c r="AD304" s="11" t="n"/>
      <c r="AF304">
        <f>IF($B304="","",IF(COUNTIF($B$2:$B304,$B304)=1,1,0))</f>
        <v/>
      </c>
      <c r="AG304">
        <f>IF($AF304=1,SUMPRODUCT(--($AJ$2:$AJ$1501&lt;$AJ304))+1,"")</f>
        <v/>
      </c>
      <c r="AH304">
        <f>IF($B304="","",IF(OR($M304=TRUE(),$M304="TRUE"),1,0))</f>
        <v/>
      </c>
      <c r="AI304">
        <f>IF($B304="","",IF($V304="Yes",1,0))</f>
        <v/>
      </c>
      <c r="AJ304">
        <f>IF($AF304=1,IFERROR(IF(VALUE($B304)&lt;100000000,VALUE($B304),1000000000),IFERROR(IF(VALUE(MID($B304,2,20))&lt;100000000,VALUE(MID($B304,2,20)),1000000000),1000000000))+ROW()/100000,"")</f>
        <v/>
      </c>
    </row>
    <row r="305">
      <c r="C305" s="11" t="n"/>
      <c r="J305" s="7">
        <f>IF($B305="","",I305*Q305/100)</f>
        <v/>
      </c>
      <c r="P305" s="7" t="n"/>
      <c r="Q305" s="7" t="n"/>
      <c r="R305" s="7">
        <f>IF($B305="","",Q305*W305/100)</f>
        <v/>
      </c>
      <c r="S305" s="7">
        <f>IF($B305="","",Q305-R305)</f>
        <v/>
      </c>
      <c r="T305" s="7">
        <f>IF($B305="","",S305-J305)</f>
        <v/>
      </c>
      <c r="W305">
        <f>IF($B305="","",IF($AI305=1,0,IF($AH305=1,Settings!$C$6,Settings!$C$7))*100)</f>
        <v/>
      </c>
      <c r="AA305" s="7" t="n"/>
      <c r="AD305" s="11" t="n"/>
      <c r="AF305">
        <f>IF($B305="","",IF(COUNTIF($B$2:$B305,$B305)=1,1,0))</f>
        <v/>
      </c>
      <c r="AG305">
        <f>IF($AF305=1,SUMPRODUCT(--($AJ$2:$AJ$1501&lt;$AJ305))+1,"")</f>
        <v/>
      </c>
      <c r="AH305">
        <f>IF($B305="","",IF(OR($M305=TRUE(),$M305="TRUE"),1,0))</f>
        <v/>
      </c>
      <c r="AI305">
        <f>IF($B305="","",IF($V305="Yes",1,0))</f>
        <v/>
      </c>
      <c r="AJ305">
        <f>IF($AF305=1,IFERROR(IF(VALUE($B305)&lt;100000000,VALUE($B305),1000000000),IFERROR(IF(VALUE(MID($B305,2,20))&lt;100000000,VALUE(MID($B305,2,20)),1000000000),1000000000))+ROW()/100000,"")</f>
        <v/>
      </c>
    </row>
    <row r="306">
      <c r="C306" s="11" t="n"/>
      <c r="J306" s="7">
        <f>IF($B306="","",I306*Q306/100)</f>
        <v/>
      </c>
      <c r="P306" s="7" t="n"/>
      <c r="Q306" s="7" t="n"/>
      <c r="R306" s="7">
        <f>IF($B306="","",Q306*W306/100)</f>
        <v/>
      </c>
      <c r="S306" s="7">
        <f>IF($B306="","",Q306-R306)</f>
        <v/>
      </c>
      <c r="T306" s="7">
        <f>IF($B306="","",S306-J306)</f>
        <v/>
      </c>
      <c r="W306">
        <f>IF($B306="","",IF($AI306=1,0,IF($AH306=1,Settings!$C$6,Settings!$C$7))*100)</f>
        <v/>
      </c>
      <c r="AA306" s="7" t="n"/>
      <c r="AD306" s="11" t="n"/>
      <c r="AF306">
        <f>IF($B306="","",IF(COUNTIF($B$2:$B306,$B306)=1,1,0))</f>
        <v/>
      </c>
      <c r="AG306">
        <f>IF($AF306=1,SUMPRODUCT(--($AJ$2:$AJ$1501&lt;$AJ306))+1,"")</f>
        <v/>
      </c>
      <c r="AH306">
        <f>IF($B306="","",IF(OR($M306=TRUE(),$M306="TRUE"),1,0))</f>
        <v/>
      </c>
      <c r="AI306">
        <f>IF($B306="","",IF($V306="Yes",1,0))</f>
        <v/>
      </c>
      <c r="AJ306">
        <f>IF($AF306=1,IFERROR(IF(VALUE($B306)&lt;100000000,VALUE($B306),1000000000),IFERROR(IF(VALUE(MID($B306,2,20))&lt;100000000,VALUE(MID($B306,2,20)),1000000000),1000000000))+ROW()/100000,"")</f>
        <v/>
      </c>
    </row>
    <row r="307">
      <c r="C307" s="11" t="n"/>
      <c r="J307" s="7">
        <f>IF($B307="","",I307*Q307/100)</f>
        <v/>
      </c>
      <c r="P307" s="7" t="n"/>
      <c r="Q307" s="7" t="n"/>
      <c r="R307" s="7">
        <f>IF($B307="","",Q307*W307/100)</f>
        <v/>
      </c>
      <c r="S307" s="7">
        <f>IF($B307="","",Q307-R307)</f>
        <v/>
      </c>
      <c r="T307" s="7">
        <f>IF($B307="","",S307-J307)</f>
        <v/>
      </c>
      <c r="W307">
        <f>IF($B307="","",IF($AI307=1,0,IF($AH307=1,Settings!$C$6,Settings!$C$7))*100)</f>
        <v/>
      </c>
      <c r="AA307" s="7" t="n"/>
      <c r="AD307" s="11" t="n"/>
      <c r="AF307">
        <f>IF($B307="","",IF(COUNTIF($B$2:$B307,$B307)=1,1,0))</f>
        <v/>
      </c>
      <c r="AG307">
        <f>IF($AF307=1,SUMPRODUCT(--($AJ$2:$AJ$1501&lt;$AJ307))+1,"")</f>
        <v/>
      </c>
      <c r="AH307">
        <f>IF($B307="","",IF(OR($M307=TRUE(),$M307="TRUE"),1,0))</f>
        <v/>
      </c>
      <c r="AI307">
        <f>IF($B307="","",IF($V307="Yes",1,0))</f>
        <v/>
      </c>
      <c r="AJ307">
        <f>IF($AF307=1,IFERROR(IF(VALUE($B307)&lt;100000000,VALUE($B307),1000000000),IFERROR(IF(VALUE(MID($B307,2,20))&lt;100000000,VALUE(MID($B307,2,20)),1000000000),1000000000))+ROW()/100000,"")</f>
        <v/>
      </c>
    </row>
    <row r="308">
      <c r="C308" s="11" t="n"/>
      <c r="J308" s="7">
        <f>IF($B308="","",I308*Q308/100)</f>
        <v/>
      </c>
      <c r="P308" s="7" t="n"/>
      <c r="Q308" s="7" t="n"/>
      <c r="R308" s="7">
        <f>IF($B308="","",Q308*W308/100)</f>
        <v/>
      </c>
      <c r="S308" s="7">
        <f>IF($B308="","",Q308-R308)</f>
        <v/>
      </c>
      <c r="T308" s="7">
        <f>IF($B308="","",S308-J308)</f>
        <v/>
      </c>
      <c r="W308">
        <f>IF($B308="","",IF($AI308=1,0,IF($AH308=1,Settings!$C$6,Settings!$C$7))*100)</f>
        <v/>
      </c>
      <c r="AA308" s="7" t="n"/>
      <c r="AD308" s="11" t="n"/>
      <c r="AF308">
        <f>IF($B308="","",IF(COUNTIF($B$2:$B308,$B308)=1,1,0))</f>
        <v/>
      </c>
      <c r="AG308">
        <f>IF($AF308=1,SUMPRODUCT(--($AJ$2:$AJ$1501&lt;$AJ308))+1,"")</f>
        <v/>
      </c>
      <c r="AH308">
        <f>IF($B308="","",IF(OR($M308=TRUE(),$M308="TRUE"),1,0))</f>
        <v/>
      </c>
      <c r="AI308">
        <f>IF($B308="","",IF($V308="Yes",1,0))</f>
        <v/>
      </c>
      <c r="AJ308">
        <f>IF($AF308=1,IFERROR(IF(VALUE($B308)&lt;100000000,VALUE($B308),1000000000),IFERROR(IF(VALUE(MID($B308,2,20))&lt;100000000,VALUE(MID($B308,2,20)),1000000000),1000000000))+ROW()/100000,"")</f>
        <v/>
      </c>
    </row>
    <row r="309">
      <c r="C309" s="11" t="n"/>
      <c r="J309" s="7">
        <f>IF($B309="","",I309*Q309/100)</f>
        <v/>
      </c>
      <c r="P309" s="7" t="n"/>
      <c r="Q309" s="7" t="n"/>
      <c r="R309" s="7">
        <f>IF($B309="","",Q309*W309/100)</f>
        <v/>
      </c>
      <c r="S309" s="7">
        <f>IF($B309="","",Q309-R309)</f>
        <v/>
      </c>
      <c r="T309" s="7">
        <f>IF($B309="","",S309-J309)</f>
        <v/>
      </c>
      <c r="W309">
        <f>IF($B309="","",IF($AI309=1,0,IF($AH309=1,Settings!$C$6,Settings!$C$7))*100)</f>
        <v/>
      </c>
      <c r="AA309" s="7" t="n"/>
      <c r="AD309" s="11" t="n"/>
      <c r="AF309">
        <f>IF($B309="","",IF(COUNTIF($B$2:$B309,$B309)=1,1,0))</f>
        <v/>
      </c>
      <c r="AG309">
        <f>IF($AF309=1,SUMPRODUCT(--($AJ$2:$AJ$1501&lt;$AJ309))+1,"")</f>
        <v/>
      </c>
      <c r="AH309">
        <f>IF($B309="","",IF(OR($M309=TRUE(),$M309="TRUE"),1,0))</f>
        <v/>
      </c>
      <c r="AI309">
        <f>IF($B309="","",IF($V309="Yes",1,0))</f>
        <v/>
      </c>
      <c r="AJ309">
        <f>IF($AF309=1,IFERROR(IF(VALUE($B309)&lt;100000000,VALUE($B309),1000000000),IFERROR(IF(VALUE(MID($B309,2,20))&lt;100000000,VALUE(MID($B309,2,20)),1000000000),1000000000))+ROW()/100000,"")</f>
        <v/>
      </c>
    </row>
    <row r="310">
      <c r="C310" s="11" t="n"/>
      <c r="J310" s="7">
        <f>IF($B310="","",I310*Q310/100)</f>
        <v/>
      </c>
      <c r="P310" s="7" t="n"/>
      <c r="Q310" s="7" t="n"/>
      <c r="R310" s="7">
        <f>IF($B310="","",Q310*W310/100)</f>
        <v/>
      </c>
      <c r="S310" s="7">
        <f>IF($B310="","",Q310-R310)</f>
        <v/>
      </c>
      <c r="T310" s="7">
        <f>IF($B310="","",S310-J310)</f>
        <v/>
      </c>
      <c r="W310">
        <f>IF($B310="","",IF($AI310=1,0,IF($AH310=1,Settings!$C$6,Settings!$C$7))*100)</f>
        <v/>
      </c>
      <c r="AA310" s="7" t="n"/>
      <c r="AD310" s="11" t="n"/>
      <c r="AF310">
        <f>IF($B310="","",IF(COUNTIF($B$2:$B310,$B310)=1,1,0))</f>
        <v/>
      </c>
      <c r="AG310">
        <f>IF($AF310=1,SUMPRODUCT(--($AJ$2:$AJ$1501&lt;$AJ310))+1,"")</f>
        <v/>
      </c>
      <c r="AH310">
        <f>IF($B310="","",IF(OR($M310=TRUE(),$M310="TRUE"),1,0))</f>
        <v/>
      </c>
      <c r="AI310">
        <f>IF($B310="","",IF($V310="Yes",1,0))</f>
        <v/>
      </c>
      <c r="AJ310">
        <f>IF($AF310=1,IFERROR(IF(VALUE($B310)&lt;100000000,VALUE($B310),1000000000),IFERROR(IF(VALUE(MID($B310,2,20))&lt;100000000,VALUE(MID($B310,2,20)),1000000000),1000000000))+ROW()/100000,"")</f>
        <v/>
      </c>
    </row>
    <row r="311">
      <c r="C311" s="11" t="n"/>
      <c r="J311" s="7">
        <f>IF($B311="","",I311*Q311/100)</f>
        <v/>
      </c>
      <c r="P311" s="7" t="n"/>
      <c r="Q311" s="7" t="n"/>
      <c r="R311" s="7">
        <f>IF($B311="","",Q311*W311/100)</f>
        <v/>
      </c>
      <c r="S311" s="7">
        <f>IF($B311="","",Q311-R311)</f>
        <v/>
      </c>
      <c r="T311" s="7">
        <f>IF($B311="","",S311-J311)</f>
        <v/>
      </c>
      <c r="W311">
        <f>IF($B311="","",IF($AI311=1,0,IF($AH311=1,Settings!$C$6,Settings!$C$7))*100)</f>
        <v/>
      </c>
      <c r="AA311" s="7" t="n"/>
      <c r="AD311" s="11" t="n"/>
      <c r="AF311">
        <f>IF($B311="","",IF(COUNTIF($B$2:$B311,$B311)=1,1,0))</f>
        <v/>
      </c>
      <c r="AG311">
        <f>IF($AF311=1,SUMPRODUCT(--($AJ$2:$AJ$1501&lt;$AJ311))+1,"")</f>
        <v/>
      </c>
      <c r="AH311">
        <f>IF($B311="","",IF(OR($M311=TRUE(),$M311="TRUE"),1,0))</f>
        <v/>
      </c>
      <c r="AI311">
        <f>IF($B311="","",IF($V311="Yes",1,0))</f>
        <v/>
      </c>
      <c r="AJ311">
        <f>IF($AF311=1,IFERROR(IF(VALUE($B311)&lt;100000000,VALUE($B311),1000000000),IFERROR(IF(VALUE(MID($B311,2,20))&lt;100000000,VALUE(MID($B311,2,20)),1000000000),1000000000))+ROW()/100000,"")</f>
        <v/>
      </c>
    </row>
    <row r="312">
      <c r="C312" s="11" t="n"/>
      <c r="J312" s="7">
        <f>IF($B312="","",I312*Q312/100)</f>
        <v/>
      </c>
      <c r="P312" s="7" t="n"/>
      <c r="Q312" s="7" t="n"/>
      <c r="R312" s="7">
        <f>IF($B312="","",Q312*W312/100)</f>
        <v/>
      </c>
      <c r="S312" s="7">
        <f>IF($B312="","",Q312-R312)</f>
        <v/>
      </c>
      <c r="T312" s="7">
        <f>IF($B312="","",S312-J312)</f>
        <v/>
      </c>
      <c r="W312">
        <f>IF($B312="","",IF($AI312=1,0,IF($AH312=1,Settings!$C$6,Settings!$C$7))*100)</f>
        <v/>
      </c>
      <c r="AA312" s="7" t="n"/>
      <c r="AD312" s="11" t="n"/>
      <c r="AF312">
        <f>IF($B312="","",IF(COUNTIF($B$2:$B312,$B312)=1,1,0))</f>
        <v/>
      </c>
      <c r="AG312">
        <f>IF($AF312=1,SUMPRODUCT(--($AJ$2:$AJ$1501&lt;$AJ312))+1,"")</f>
        <v/>
      </c>
      <c r="AH312">
        <f>IF($B312="","",IF(OR($M312=TRUE(),$M312="TRUE"),1,0))</f>
        <v/>
      </c>
      <c r="AI312">
        <f>IF($B312="","",IF($V312="Yes",1,0))</f>
        <v/>
      </c>
      <c r="AJ312">
        <f>IF($AF312=1,IFERROR(IF(VALUE($B312)&lt;100000000,VALUE($B312),1000000000),IFERROR(IF(VALUE(MID($B312,2,20))&lt;100000000,VALUE(MID($B312,2,20)),1000000000),1000000000))+ROW()/100000,"")</f>
        <v/>
      </c>
    </row>
    <row r="313">
      <c r="C313" s="11" t="n"/>
      <c r="J313" s="7">
        <f>IF($B313="","",I313*Q313/100)</f>
        <v/>
      </c>
      <c r="P313" s="7" t="n"/>
      <c r="Q313" s="7" t="n"/>
      <c r="R313" s="7">
        <f>IF($B313="","",Q313*W313/100)</f>
        <v/>
      </c>
      <c r="S313" s="7">
        <f>IF($B313="","",Q313-R313)</f>
        <v/>
      </c>
      <c r="T313" s="7">
        <f>IF($B313="","",S313-J313)</f>
        <v/>
      </c>
      <c r="W313">
        <f>IF($B313="","",IF($AI313=1,0,IF($AH313=1,Settings!$C$6,Settings!$C$7))*100)</f>
        <v/>
      </c>
      <c r="AA313" s="7" t="n"/>
      <c r="AD313" s="11" t="n"/>
      <c r="AF313">
        <f>IF($B313="","",IF(COUNTIF($B$2:$B313,$B313)=1,1,0))</f>
        <v/>
      </c>
      <c r="AG313">
        <f>IF($AF313=1,SUMPRODUCT(--($AJ$2:$AJ$1501&lt;$AJ313))+1,"")</f>
        <v/>
      </c>
      <c r="AH313">
        <f>IF($B313="","",IF(OR($M313=TRUE(),$M313="TRUE"),1,0))</f>
        <v/>
      </c>
      <c r="AI313">
        <f>IF($B313="","",IF($V313="Yes",1,0))</f>
        <v/>
      </c>
      <c r="AJ313">
        <f>IF($AF313=1,IFERROR(IF(VALUE($B313)&lt;100000000,VALUE($B313),1000000000),IFERROR(IF(VALUE(MID($B313,2,20))&lt;100000000,VALUE(MID($B313,2,20)),1000000000),1000000000))+ROW()/100000,"")</f>
        <v/>
      </c>
    </row>
    <row r="314">
      <c r="C314" s="11" t="n"/>
      <c r="J314" s="7">
        <f>IF($B314="","",I314*Q314/100)</f>
        <v/>
      </c>
      <c r="P314" s="7" t="n"/>
      <c r="Q314" s="7" t="n"/>
      <c r="R314" s="7">
        <f>IF($B314="","",Q314*W314/100)</f>
        <v/>
      </c>
      <c r="S314" s="7">
        <f>IF($B314="","",Q314-R314)</f>
        <v/>
      </c>
      <c r="T314" s="7">
        <f>IF($B314="","",S314-J314)</f>
        <v/>
      </c>
      <c r="W314">
        <f>IF($B314="","",IF($AI314=1,0,IF($AH314=1,Settings!$C$6,Settings!$C$7))*100)</f>
        <v/>
      </c>
      <c r="AA314" s="7" t="n"/>
      <c r="AD314" s="11" t="n"/>
      <c r="AF314">
        <f>IF($B314="","",IF(COUNTIF($B$2:$B314,$B314)=1,1,0))</f>
        <v/>
      </c>
      <c r="AG314">
        <f>IF($AF314=1,SUMPRODUCT(--($AJ$2:$AJ$1501&lt;$AJ314))+1,"")</f>
        <v/>
      </c>
      <c r="AH314">
        <f>IF($B314="","",IF(OR($M314=TRUE(),$M314="TRUE"),1,0))</f>
        <v/>
      </c>
      <c r="AI314">
        <f>IF($B314="","",IF($V314="Yes",1,0))</f>
        <v/>
      </c>
      <c r="AJ314">
        <f>IF($AF314=1,IFERROR(IF(VALUE($B314)&lt;100000000,VALUE($B314),1000000000),IFERROR(IF(VALUE(MID($B314,2,20))&lt;100000000,VALUE(MID($B314,2,20)),1000000000),1000000000))+ROW()/100000,"")</f>
        <v/>
      </c>
    </row>
    <row r="315">
      <c r="C315" s="11" t="n"/>
      <c r="J315" s="7">
        <f>IF($B315="","",I315*Q315/100)</f>
        <v/>
      </c>
      <c r="P315" s="7" t="n"/>
      <c r="Q315" s="7" t="n"/>
      <c r="R315" s="7">
        <f>IF($B315="","",Q315*W315/100)</f>
        <v/>
      </c>
      <c r="S315" s="7">
        <f>IF($B315="","",Q315-R315)</f>
        <v/>
      </c>
      <c r="T315" s="7">
        <f>IF($B315="","",S315-J315)</f>
        <v/>
      </c>
      <c r="W315">
        <f>IF($B315="","",IF($AI315=1,0,IF($AH315=1,Settings!$C$6,Settings!$C$7))*100)</f>
        <v/>
      </c>
      <c r="AA315" s="7" t="n"/>
      <c r="AD315" s="11" t="n"/>
      <c r="AF315">
        <f>IF($B315="","",IF(COUNTIF($B$2:$B315,$B315)=1,1,0))</f>
        <v/>
      </c>
      <c r="AG315">
        <f>IF($AF315=1,SUMPRODUCT(--($AJ$2:$AJ$1501&lt;$AJ315))+1,"")</f>
        <v/>
      </c>
      <c r="AH315">
        <f>IF($B315="","",IF(OR($M315=TRUE(),$M315="TRUE"),1,0))</f>
        <v/>
      </c>
      <c r="AI315">
        <f>IF($B315="","",IF($V315="Yes",1,0))</f>
        <v/>
      </c>
      <c r="AJ315">
        <f>IF($AF315=1,IFERROR(IF(VALUE($B315)&lt;100000000,VALUE($B315),1000000000),IFERROR(IF(VALUE(MID($B315,2,20))&lt;100000000,VALUE(MID($B315,2,20)),1000000000),1000000000))+ROW()/100000,"")</f>
        <v/>
      </c>
    </row>
    <row r="316">
      <c r="C316" s="11" t="n"/>
      <c r="J316" s="7">
        <f>IF($B316="","",I316*Q316/100)</f>
        <v/>
      </c>
      <c r="P316" s="7" t="n"/>
      <c r="Q316" s="7" t="n"/>
      <c r="R316" s="7">
        <f>IF($B316="","",Q316*W316/100)</f>
        <v/>
      </c>
      <c r="S316" s="7">
        <f>IF($B316="","",Q316-R316)</f>
        <v/>
      </c>
      <c r="T316" s="7">
        <f>IF($B316="","",S316-J316)</f>
        <v/>
      </c>
      <c r="W316">
        <f>IF($B316="","",IF($AI316=1,0,IF($AH316=1,Settings!$C$6,Settings!$C$7))*100)</f>
        <v/>
      </c>
      <c r="AA316" s="7" t="n"/>
      <c r="AD316" s="11" t="n"/>
      <c r="AF316">
        <f>IF($B316="","",IF(COUNTIF($B$2:$B316,$B316)=1,1,0))</f>
        <v/>
      </c>
      <c r="AG316">
        <f>IF($AF316=1,SUMPRODUCT(--($AJ$2:$AJ$1501&lt;$AJ316))+1,"")</f>
        <v/>
      </c>
      <c r="AH316">
        <f>IF($B316="","",IF(OR($M316=TRUE(),$M316="TRUE"),1,0))</f>
        <v/>
      </c>
      <c r="AI316">
        <f>IF($B316="","",IF($V316="Yes",1,0))</f>
        <v/>
      </c>
      <c r="AJ316">
        <f>IF($AF316=1,IFERROR(IF(VALUE($B316)&lt;100000000,VALUE($B316),1000000000),IFERROR(IF(VALUE(MID($B316,2,20))&lt;100000000,VALUE(MID($B316,2,20)),1000000000),1000000000))+ROW()/100000,"")</f>
        <v/>
      </c>
    </row>
    <row r="317">
      <c r="C317" s="11" t="n"/>
      <c r="J317" s="7">
        <f>IF($B317="","",I317*Q317/100)</f>
        <v/>
      </c>
      <c r="P317" s="7" t="n"/>
      <c r="Q317" s="7" t="n"/>
      <c r="R317" s="7">
        <f>IF($B317="","",Q317*W317/100)</f>
        <v/>
      </c>
      <c r="S317" s="7">
        <f>IF($B317="","",Q317-R317)</f>
        <v/>
      </c>
      <c r="T317" s="7">
        <f>IF($B317="","",S317-J317)</f>
        <v/>
      </c>
      <c r="W317">
        <f>IF($B317="","",IF($AI317=1,0,IF($AH317=1,Settings!$C$6,Settings!$C$7))*100)</f>
        <v/>
      </c>
      <c r="AA317" s="7" t="n"/>
      <c r="AD317" s="11" t="n"/>
      <c r="AF317">
        <f>IF($B317="","",IF(COUNTIF($B$2:$B317,$B317)=1,1,0))</f>
        <v/>
      </c>
      <c r="AG317">
        <f>IF($AF317=1,SUMPRODUCT(--($AJ$2:$AJ$1501&lt;$AJ317))+1,"")</f>
        <v/>
      </c>
      <c r="AH317">
        <f>IF($B317="","",IF(OR($M317=TRUE(),$M317="TRUE"),1,0))</f>
        <v/>
      </c>
      <c r="AI317">
        <f>IF($B317="","",IF($V317="Yes",1,0))</f>
        <v/>
      </c>
      <c r="AJ317">
        <f>IF($AF317=1,IFERROR(IF(VALUE($B317)&lt;100000000,VALUE($B317),1000000000),IFERROR(IF(VALUE(MID($B317,2,20))&lt;100000000,VALUE(MID($B317,2,20)),1000000000),1000000000))+ROW()/100000,"")</f>
        <v/>
      </c>
    </row>
    <row r="318">
      <c r="C318" s="11" t="n"/>
      <c r="J318" s="7">
        <f>IF($B318="","",I318*Q318/100)</f>
        <v/>
      </c>
      <c r="P318" s="7" t="n"/>
      <c r="Q318" s="7" t="n"/>
      <c r="R318" s="7">
        <f>IF($B318="","",Q318*W318/100)</f>
        <v/>
      </c>
      <c r="S318" s="7">
        <f>IF($B318="","",Q318-R318)</f>
        <v/>
      </c>
      <c r="T318" s="7">
        <f>IF($B318="","",S318-J318)</f>
        <v/>
      </c>
      <c r="W318">
        <f>IF($B318="","",IF($AI318=1,0,IF($AH318=1,Settings!$C$6,Settings!$C$7))*100)</f>
        <v/>
      </c>
      <c r="AA318" s="7" t="n"/>
      <c r="AD318" s="11" t="n"/>
      <c r="AF318">
        <f>IF($B318="","",IF(COUNTIF($B$2:$B318,$B318)=1,1,0))</f>
        <v/>
      </c>
      <c r="AG318">
        <f>IF($AF318=1,SUMPRODUCT(--($AJ$2:$AJ$1501&lt;$AJ318))+1,"")</f>
        <v/>
      </c>
      <c r="AH318">
        <f>IF($B318="","",IF(OR($M318=TRUE(),$M318="TRUE"),1,0))</f>
        <v/>
      </c>
      <c r="AI318">
        <f>IF($B318="","",IF($V318="Yes",1,0))</f>
        <v/>
      </c>
      <c r="AJ318">
        <f>IF($AF318=1,IFERROR(IF(VALUE($B318)&lt;100000000,VALUE($B318),1000000000),IFERROR(IF(VALUE(MID($B318,2,20))&lt;100000000,VALUE(MID($B318,2,20)),1000000000),1000000000))+ROW()/100000,"")</f>
        <v/>
      </c>
    </row>
    <row r="319">
      <c r="C319" s="11" t="n"/>
      <c r="J319" s="7">
        <f>IF($B319="","",I319*Q319/100)</f>
        <v/>
      </c>
      <c r="P319" s="7" t="n"/>
      <c r="Q319" s="7" t="n"/>
      <c r="R319" s="7">
        <f>IF($B319="","",Q319*W319/100)</f>
        <v/>
      </c>
      <c r="S319" s="7">
        <f>IF($B319="","",Q319-R319)</f>
        <v/>
      </c>
      <c r="T319" s="7">
        <f>IF($B319="","",S319-J319)</f>
        <v/>
      </c>
      <c r="W319">
        <f>IF($B319="","",IF($AI319=1,0,IF($AH319=1,Settings!$C$6,Settings!$C$7))*100)</f>
        <v/>
      </c>
      <c r="AA319" s="7" t="n"/>
      <c r="AD319" s="11" t="n"/>
      <c r="AF319">
        <f>IF($B319="","",IF(COUNTIF($B$2:$B319,$B319)=1,1,0))</f>
        <v/>
      </c>
      <c r="AG319">
        <f>IF($AF319=1,SUMPRODUCT(--($AJ$2:$AJ$1501&lt;$AJ319))+1,"")</f>
        <v/>
      </c>
      <c r="AH319">
        <f>IF($B319="","",IF(OR($M319=TRUE(),$M319="TRUE"),1,0))</f>
        <v/>
      </c>
      <c r="AI319">
        <f>IF($B319="","",IF($V319="Yes",1,0))</f>
        <v/>
      </c>
      <c r="AJ319">
        <f>IF($AF319=1,IFERROR(IF(VALUE($B319)&lt;100000000,VALUE($B319),1000000000),IFERROR(IF(VALUE(MID($B319,2,20))&lt;100000000,VALUE(MID($B319,2,20)),1000000000),1000000000))+ROW()/100000,"")</f>
        <v/>
      </c>
    </row>
    <row r="320">
      <c r="C320" s="11" t="n"/>
      <c r="J320" s="7">
        <f>IF($B320="","",I320*Q320/100)</f>
        <v/>
      </c>
      <c r="P320" s="7" t="n"/>
      <c r="Q320" s="7" t="n"/>
      <c r="R320" s="7">
        <f>IF($B320="","",Q320*W320/100)</f>
        <v/>
      </c>
      <c r="S320" s="7">
        <f>IF($B320="","",Q320-R320)</f>
        <v/>
      </c>
      <c r="T320" s="7">
        <f>IF($B320="","",S320-J320)</f>
        <v/>
      </c>
      <c r="W320">
        <f>IF($B320="","",IF($AI320=1,0,IF($AH320=1,Settings!$C$6,Settings!$C$7))*100)</f>
        <v/>
      </c>
      <c r="AA320" s="7" t="n"/>
      <c r="AD320" s="11" t="n"/>
      <c r="AF320">
        <f>IF($B320="","",IF(COUNTIF($B$2:$B320,$B320)=1,1,0))</f>
        <v/>
      </c>
      <c r="AG320">
        <f>IF($AF320=1,SUMPRODUCT(--($AJ$2:$AJ$1501&lt;$AJ320))+1,"")</f>
        <v/>
      </c>
      <c r="AH320">
        <f>IF($B320="","",IF(OR($M320=TRUE(),$M320="TRUE"),1,0))</f>
        <v/>
      </c>
      <c r="AI320">
        <f>IF($B320="","",IF($V320="Yes",1,0))</f>
        <v/>
      </c>
      <c r="AJ320">
        <f>IF($AF320=1,IFERROR(IF(VALUE($B320)&lt;100000000,VALUE($B320),1000000000),IFERROR(IF(VALUE(MID($B320,2,20))&lt;100000000,VALUE(MID($B320,2,20)),1000000000),1000000000))+ROW()/100000,"")</f>
        <v/>
      </c>
    </row>
    <row r="321">
      <c r="C321" s="11" t="n"/>
      <c r="J321" s="7">
        <f>IF($B321="","",I321*Q321/100)</f>
        <v/>
      </c>
      <c r="P321" s="7" t="n"/>
      <c r="Q321" s="7" t="n"/>
      <c r="R321" s="7">
        <f>IF($B321="","",Q321*W321/100)</f>
        <v/>
      </c>
      <c r="S321" s="7">
        <f>IF($B321="","",Q321-R321)</f>
        <v/>
      </c>
      <c r="T321" s="7">
        <f>IF($B321="","",S321-J321)</f>
        <v/>
      </c>
      <c r="W321">
        <f>IF($B321="","",IF($AI321=1,0,IF($AH321=1,Settings!$C$6,Settings!$C$7))*100)</f>
        <v/>
      </c>
      <c r="AA321" s="7" t="n"/>
      <c r="AD321" s="11" t="n"/>
      <c r="AF321">
        <f>IF($B321="","",IF(COUNTIF($B$2:$B321,$B321)=1,1,0))</f>
        <v/>
      </c>
      <c r="AG321">
        <f>IF($AF321=1,SUMPRODUCT(--($AJ$2:$AJ$1501&lt;$AJ321))+1,"")</f>
        <v/>
      </c>
      <c r="AH321">
        <f>IF($B321="","",IF(OR($M321=TRUE(),$M321="TRUE"),1,0))</f>
        <v/>
      </c>
      <c r="AI321">
        <f>IF($B321="","",IF($V321="Yes",1,0))</f>
        <v/>
      </c>
      <c r="AJ321">
        <f>IF($AF321=1,IFERROR(IF(VALUE($B321)&lt;100000000,VALUE($B321),1000000000),IFERROR(IF(VALUE(MID($B321,2,20))&lt;100000000,VALUE(MID($B321,2,20)),1000000000),1000000000))+ROW()/100000,"")</f>
        <v/>
      </c>
    </row>
    <row r="322">
      <c r="C322" s="11" t="n"/>
      <c r="J322" s="7">
        <f>IF($B322="","",I322*Q322/100)</f>
        <v/>
      </c>
      <c r="P322" s="7" t="n"/>
      <c r="Q322" s="7" t="n"/>
      <c r="R322" s="7">
        <f>IF($B322="","",Q322*W322/100)</f>
        <v/>
      </c>
      <c r="S322" s="7">
        <f>IF($B322="","",Q322-R322)</f>
        <v/>
      </c>
      <c r="T322" s="7">
        <f>IF($B322="","",S322-J322)</f>
        <v/>
      </c>
      <c r="W322">
        <f>IF($B322="","",IF($AI322=1,0,IF($AH322=1,Settings!$C$6,Settings!$C$7))*100)</f>
        <v/>
      </c>
      <c r="AA322" s="7" t="n"/>
      <c r="AD322" s="11" t="n"/>
      <c r="AF322">
        <f>IF($B322="","",IF(COUNTIF($B$2:$B322,$B322)=1,1,0))</f>
        <v/>
      </c>
      <c r="AG322">
        <f>IF($AF322=1,SUMPRODUCT(--($AJ$2:$AJ$1501&lt;$AJ322))+1,"")</f>
        <v/>
      </c>
      <c r="AH322">
        <f>IF($B322="","",IF(OR($M322=TRUE(),$M322="TRUE"),1,0))</f>
        <v/>
      </c>
      <c r="AI322">
        <f>IF($B322="","",IF($V322="Yes",1,0))</f>
        <v/>
      </c>
      <c r="AJ322">
        <f>IF($AF322=1,IFERROR(IF(VALUE($B322)&lt;100000000,VALUE($B322),1000000000),IFERROR(IF(VALUE(MID($B322,2,20))&lt;100000000,VALUE(MID($B322,2,20)),1000000000),1000000000))+ROW()/100000,"")</f>
        <v/>
      </c>
    </row>
    <row r="323">
      <c r="C323" s="11" t="n"/>
      <c r="J323" s="7">
        <f>IF($B323="","",I323*Q323/100)</f>
        <v/>
      </c>
      <c r="P323" s="7" t="n"/>
      <c r="Q323" s="7" t="n"/>
      <c r="R323" s="7">
        <f>IF($B323="","",Q323*W323/100)</f>
        <v/>
      </c>
      <c r="S323" s="7">
        <f>IF($B323="","",Q323-R323)</f>
        <v/>
      </c>
      <c r="T323" s="7">
        <f>IF($B323="","",S323-J323)</f>
        <v/>
      </c>
      <c r="W323">
        <f>IF($B323="","",IF($AI323=1,0,IF($AH323=1,Settings!$C$6,Settings!$C$7))*100)</f>
        <v/>
      </c>
      <c r="AA323" s="7" t="n"/>
      <c r="AD323" s="11" t="n"/>
      <c r="AF323">
        <f>IF($B323="","",IF(COUNTIF($B$2:$B323,$B323)=1,1,0))</f>
        <v/>
      </c>
      <c r="AG323">
        <f>IF($AF323=1,SUMPRODUCT(--($AJ$2:$AJ$1501&lt;$AJ323))+1,"")</f>
        <v/>
      </c>
      <c r="AH323">
        <f>IF($B323="","",IF(OR($M323=TRUE(),$M323="TRUE"),1,0))</f>
        <v/>
      </c>
      <c r="AI323">
        <f>IF($B323="","",IF($V323="Yes",1,0))</f>
        <v/>
      </c>
      <c r="AJ323">
        <f>IF($AF323=1,IFERROR(IF(VALUE($B323)&lt;100000000,VALUE($B323),1000000000),IFERROR(IF(VALUE(MID($B323,2,20))&lt;100000000,VALUE(MID($B323,2,20)),1000000000),1000000000))+ROW()/100000,"")</f>
        <v/>
      </c>
    </row>
    <row r="324">
      <c r="C324" s="11" t="n"/>
      <c r="J324" s="7">
        <f>IF($B324="","",I324*Q324/100)</f>
        <v/>
      </c>
      <c r="P324" s="7" t="n"/>
      <c r="Q324" s="7" t="n"/>
      <c r="R324" s="7">
        <f>IF($B324="","",Q324*W324/100)</f>
        <v/>
      </c>
      <c r="S324" s="7">
        <f>IF($B324="","",Q324-R324)</f>
        <v/>
      </c>
      <c r="T324" s="7">
        <f>IF($B324="","",S324-J324)</f>
        <v/>
      </c>
      <c r="W324">
        <f>IF($B324="","",IF($AI324=1,0,IF($AH324=1,Settings!$C$6,Settings!$C$7))*100)</f>
        <v/>
      </c>
      <c r="AA324" s="7" t="n"/>
      <c r="AD324" s="11" t="n"/>
      <c r="AF324">
        <f>IF($B324="","",IF(COUNTIF($B$2:$B324,$B324)=1,1,0))</f>
        <v/>
      </c>
      <c r="AG324">
        <f>IF($AF324=1,SUMPRODUCT(--($AJ$2:$AJ$1501&lt;$AJ324))+1,"")</f>
        <v/>
      </c>
      <c r="AH324">
        <f>IF($B324="","",IF(OR($M324=TRUE(),$M324="TRUE"),1,0))</f>
        <v/>
      </c>
      <c r="AI324">
        <f>IF($B324="","",IF($V324="Yes",1,0))</f>
        <v/>
      </c>
      <c r="AJ324">
        <f>IF($AF324=1,IFERROR(IF(VALUE($B324)&lt;100000000,VALUE($B324),1000000000),IFERROR(IF(VALUE(MID($B324,2,20))&lt;100000000,VALUE(MID($B324,2,20)),1000000000),1000000000))+ROW()/100000,"")</f>
        <v/>
      </c>
    </row>
    <row r="325">
      <c r="C325" s="11" t="n"/>
      <c r="J325" s="7">
        <f>IF($B325="","",I325*Q325/100)</f>
        <v/>
      </c>
      <c r="P325" s="7" t="n"/>
      <c r="Q325" s="7" t="n"/>
      <c r="R325" s="7">
        <f>IF($B325="","",Q325*W325/100)</f>
        <v/>
      </c>
      <c r="S325" s="7">
        <f>IF($B325="","",Q325-R325)</f>
        <v/>
      </c>
      <c r="T325" s="7">
        <f>IF($B325="","",S325-J325)</f>
        <v/>
      </c>
      <c r="W325">
        <f>IF($B325="","",IF($AI325=1,0,IF($AH325=1,Settings!$C$6,Settings!$C$7))*100)</f>
        <v/>
      </c>
      <c r="AA325" s="7" t="n"/>
      <c r="AD325" s="11" t="n"/>
      <c r="AF325">
        <f>IF($B325="","",IF(COUNTIF($B$2:$B325,$B325)=1,1,0))</f>
        <v/>
      </c>
      <c r="AG325">
        <f>IF($AF325=1,SUMPRODUCT(--($AJ$2:$AJ$1501&lt;$AJ325))+1,"")</f>
        <v/>
      </c>
      <c r="AH325">
        <f>IF($B325="","",IF(OR($M325=TRUE(),$M325="TRUE"),1,0))</f>
        <v/>
      </c>
      <c r="AI325">
        <f>IF($B325="","",IF($V325="Yes",1,0))</f>
        <v/>
      </c>
      <c r="AJ325">
        <f>IF($AF325=1,IFERROR(IF(VALUE($B325)&lt;100000000,VALUE($B325),1000000000),IFERROR(IF(VALUE(MID($B325,2,20))&lt;100000000,VALUE(MID($B325,2,20)),1000000000),1000000000))+ROW()/100000,"")</f>
        <v/>
      </c>
    </row>
    <row r="326">
      <c r="C326" s="11" t="n"/>
      <c r="J326" s="7">
        <f>IF($B326="","",I326*Q326/100)</f>
        <v/>
      </c>
      <c r="P326" s="7" t="n"/>
      <c r="Q326" s="7" t="n"/>
      <c r="R326" s="7">
        <f>IF($B326="","",Q326*W326/100)</f>
        <v/>
      </c>
      <c r="S326" s="7">
        <f>IF($B326="","",Q326-R326)</f>
        <v/>
      </c>
      <c r="T326" s="7">
        <f>IF($B326="","",S326-J326)</f>
        <v/>
      </c>
      <c r="W326">
        <f>IF($B326="","",IF($AI326=1,0,IF($AH326=1,Settings!$C$6,Settings!$C$7))*100)</f>
        <v/>
      </c>
      <c r="AA326" s="7" t="n"/>
      <c r="AD326" s="11" t="n"/>
      <c r="AF326">
        <f>IF($B326="","",IF(COUNTIF($B$2:$B326,$B326)=1,1,0))</f>
        <v/>
      </c>
      <c r="AG326">
        <f>IF($AF326=1,SUMPRODUCT(--($AJ$2:$AJ$1501&lt;$AJ326))+1,"")</f>
        <v/>
      </c>
      <c r="AH326">
        <f>IF($B326="","",IF(OR($M326=TRUE(),$M326="TRUE"),1,0))</f>
        <v/>
      </c>
      <c r="AI326">
        <f>IF($B326="","",IF($V326="Yes",1,0))</f>
        <v/>
      </c>
      <c r="AJ326">
        <f>IF($AF326=1,IFERROR(IF(VALUE($B326)&lt;100000000,VALUE($B326),1000000000),IFERROR(IF(VALUE(MID($B326,2,20))&lt;100000000,VALUE(MID($B326,2,20)),1000000000),1000000000))+ROW()/100000,"")</f>
        <v/>
      </c>
    </row>
    <row r="327">
      <c r="C327" s="11" t="n"/>
      <c r="J327" s="7">
        <f>IF($B327="","",I327*Q327/100)</f>
        <v/>
      </c>
      <c r="P327" s="7" t="n"/>
      <c r="Q327" s="7" t="n"/>
      <c r="R327" s="7">
        <f>IF($B327="","",Q327*W327/100)</f>
        <v/>
      </c>
      <c r="S327" s="7">
        <f>IF($B327="","",Q327-R327)</f>
        <v/>
      </c>
      <c r="T327" s="7">
        <f>IF($B327="","",S327-J327)</f>
        <v/>
      </c>
      <c r="W327">
        <f>IF($B327="","",IF($AI327=1,0,IF($AH327=1,Settings!$C$6,Settings!$C$7))*100)</f>
        <v/>
      </c>
      <c r="AA327" s="7" t="n"/>
      <c r="AD327" s="11" t="n"/>
      <c r="AF327">
        <f>IF($B327="","",IF(COUNTIF($B$2:$B327,$B327)=1,1,0))</f>
        <v/>
      </c>
      <c r="AG327">
        <f>IF($AF327=1,SUMPRODUCT(--($AJ$2:$AJ$1501&lt;$AJ327))+1,"")</f>
        <v/>
      </c>
      <c r="AH327">
        <f>IF($B327="","",IF(OR($M327=TRUE(),$M327="TRUE"),1,0))</f>
        <v/>
      </c>
      <c r="AI327">
        <f>IF($B327="","",IF($V327="Yes",1,0))</f>
        <v/>
      </c>
      <c r="AJ327">
        <f>IF($AF327=1,IFERROR(IF(VALUE($B327)&lt;100000000,VALUE($B327),1000000000),IFERROR(IF(VALUE(MID($B327,2,20))&lt;100000000,VALUE(MID($B327,2,20)),1000000000),1000000000))+ROW()/100000,"")</f>
        <v/>
      </c>
    </row>
    <row r="328">
      <c r="C328" s="11" t="n"/>
      <c r="J328" s="7">
        <f>IF($B328="","",I328*Q328/100)</f>
        <v/>
      </c>
      <c r="P328" s="7" t="n"/>
      <c r="Q328" s="7" t="n"/>
      <c r="R328" s="7">
        <f>IF($B328="","",Q328*W328/100)</f>
        <v/>
      </c>
      <c r="S328" s="7">
        <f>IF($B328="","",Q328-R328)</f>
        <v/>
      </c>
      <c r="T328" s="7">
        <f>IF($B328="","",S328-J328)</f>
        <v/>
      </c>
      <c r="W328">
        <f>IF($B328="","",IF($AI328=1,0,IF($AH328=1,Settings!$C$6,Settings!$C$7))*100)</f>
        <v/>
      </c>
      <c r="AA328" s="7" t="n"/>
      <c r="AD328" s="11" t="n"/>
      <c r="AF328">
        <f>IF($B328="","",IF(COUNTIF($B$2:$B328,$B328)=1,1,0))</f>
        <v/>
      </c>
      <c r="AG328">
        <f>IF($AF328=1,SUMPRODUCT(--($AJ$2:$AJ$1501&lt;$AJ328))+1,"")</f>
        <v/>
      </c>
      <c r="AH328">
        <f>IF($B328="","",IF(OR($M328=TRUE(),$M328="TRUE"),1,0))</f>
        <v/>
      </c>
      <c r="AI328">
        <f>IF($B328="","",IF($V328="Yes",1,0))</f>
        <v/>
      </c>
      <c r="AJ328">
        <f>IF($AF328=1,IFERROR(IF(VALUE($B328)&lt;100000000,VALUE($B328),1000000000),IFERROR(IF(VALUE(MID($B328,2,20))&lt;100000000,VALUE(MID($B328,2,20)),1000000000),1000000000))+ROW()/100000,"")</f>
        <v/>
      </c>
    </row>
    <row r="329">
      <c r="C329" s="11" t="n"/>
      <c r="J329" s="7">
        <f>IF($B329="","",I329*Q329/100)</f>
        <v/>
      </c>
      <c r="P329" s="7" t="n"/>
      <c r="Q329" s="7" t="n"/>
      <c r="R329" s="7">
        <f>IF($B329="","",Q329*W329/100)</f>
        <v/>
      </c>
      <c r="S329" s="7">
        <f>IF($B329="","",Q329-R329)</f>
        <v/>
      </c>
      <c r="T329" s="7">
        <f>IF($B329="","",S329-J329)</f>
        <v/>
      </c>
      <c r="W329">
        <f>IF($B329="","",IF($AI329=1,0,IF($AH329=1,Settings!$C$6,Settings!$C$7))*100)</f>
        <v/>
      </c>
      <c r="AA329" s="7" t="n"/>
      <c r="AD329" s="11" t="n"/>
      <c r="AF329">
        <f>IF($B329="","",IF(COUNTIF($B$2:$B329,$B329)=1,1,0))</f>
        <v/>
      </c>
      <c r="AG329">
        <f>IF($AF329=1,SUMPRODUCT(--($AJ$2:$AJ$1501&lt;$AJ329))+1,"")</f>
        <v/>
      </c>
      <c r="AH329">
        <f>IF($B329="","",IF(OR($M329=TRUE(),$M329="TRUE"),1,0))</f>
        <v/>
      </c>
      <c r="AI329">
        <f>IF($B329="","",IF($V329="Yes",1,0))</f>
        <v/>
      </c>
      <c r="AJ329">
        <f>IF($AF329=1,IFERROR(IF(VALUE($B329)&lt;100000000,VALUE($B329),1000000000),IFERROR(IF(VALUE(MID($B329,2,20))&lt;100000000,VALUE(MID($B329,2,20)),1000000000),1000000000))+ROW()/100000,"")</f>
        <v/>
      </c>
    </row>
    <row r="330">
      <c r="C330" s="11" t="n"/>
      <c r="J330" s="7">
        <f>IF($B330="","",I330*Q330/100)</f>
        <v/>
      </c>
      <c r="P330" s="7" t="n"/>
      <c r="Q330" s="7" t="n"/>
      <c r="R330" s="7">
        <f>IF($B330="","",Q330*W330/100)</f>
        <v/>
      </c>
      <c r="S330" s="7">
        <f>IF($B330="","",Q330-R330)</f>
        <v/>
      </c>
      <c r="T330" s="7">
        <f>IF($B330="","",S330-J330)</f>
        <v/>
      </c>
      <c r="W330">
        <f>IF($B330="","",IF($AI330=1,0,IF($AH330=1,Settings!$C$6,Settings!$C$7))*100)</f>
        <v/>
      </c>
      <c r="AA330" s="7" t="n"/>
      <c r="AD330" s="11" t="n"/>
      <c r="AF330">
        <f>IF($B330="","",IF(COUNTIF($B$2:$B330,$B330)=1,1,0))</f>
        <v/>
      </c>
      <c r="AG330">
        <f>IF($AF330=1,SUMPRODUCT(--($AJ$2:$AJ$1501&lt;$AJ330))+1,"")</f>
        <v/>
      </c>
      <c r="AH330">
        <f>IF($B330="","",IF(OR($M330=TRUE(),$M330="TRUE"),1,0))</f>
        <v/>
      </c>
      <c r="AI330">
        <f>IF($B330="","",IF($V330="Yes",1,0))</f>
        <v/>
      </c>
      <c r="AJ330">
        <f>IF($AF330=1,IFERROR(IF(VALUE($B330)&lt;100000000,VALUE($B330),1000000000),IFERROR(IF(VALUE(MID($B330,2,20))&lt;100000000,VALUE(MID($B330,2,20)),1000000000),1000000000))+ROW()/100000,"")</f>
        <v/>
      </c>
    </row>
    <row r="331">
      <c r="C331" s="11" t="n"/>
      <c r="J331" s="7">
        <f>IF($B331="","",I331*Q331/100)</f>
        <v/>
      </c>
      <c r="P331" s="7" t="n"/>
      <c r="Q331" s="7" t="n"/>
      <c r="R331" s="7">
        <f>IF($B331="","",Q331*W331/100)</f>
        <v/>
      </c>
      <c r="S331" s="7">
        <f>IF($B331="","",Q331-R331)</f>
        <v/>
      </c>
      <c r="T331" s="7">
        <f>IF($B331="","",S331-J331)</f>
        <v/>
      </c>
      <c r="W331">
        <f>IF($B331="","",IF($AI331=1,0,IF($AH331=1,Settings!$C$6,Settings!$C$7))*100)</f>
        <v/>
      </c>
      <c r="AA331" s="7" t="n"/>
      <c r="AD331" s="11" t="n"/>
      <c r="AF331">
        <f>IF($B331="","",IF(COUNTIF($B$2:$B331,$B331)=1,1,0))</f>
        <v/>
      </c>
      <c r="AG331">
        <f>IF($AF331=1,SUMPRODUCT(--($AJ$2:$AJ$1501&lt;$AJ331))+1,"")</f>
        <v/>
      </c>
      <c r="AH331">
        <f>IF($B331="","",IF(OR($M331=TRUE(),$M331="TRUE"),1,0))</f>
        <v/>
      </c>
      <c r="AI331">
        <f>IF($B331="","",IF($V331="Yes",1,0))</f>
        <v/>
      </c>
      <c r="AJ331">
        <f>IF($AF331=1,IFERROR(IF(VALUE($B331)&lt;100000000,VALUE($B331),1000000000),IFERROR(IF(VALUE(MID($B331,2,20))&lt;100000000,VALUE(MID($B331,2,20)),1000000000),1000000000))+ROW()/100000,"")</f>
        <v/>
      </c>
    </row>
    <row r="332">
      <c r="C332" s="11" t="n"/>
      <c r="J332" s="7">
        <f>IF($B332="","",I332*Q332/100)</f>
        <v/>
      </c>
      <c r="P332" s="7" t="n"/>
      <c r="Q332" s="7" t="n"/>
      <c r="R332" s="7">
        <f>IF($B332="","",Q332*W332/100)</f>
        <v/>
      </c>
      <c r="S332" s="7">
        <f>IF($B332="","",Q332-R332)</f>
        <v/>
      </c>
      <c r="T332" s="7">
        <f>IF($B332="","",S332-J332)</f>
        <v/>
      </c>
      <c r="W332">
        <f>IF($B332="","",IF($AI332=1,0,IF($AH332=1,Settings!$C$6,Settings!$C$7))*100)</f>
        <v/>
      </c>
      <c r="AA332" s="7" t="n"/>
      <c r="AD332" s="11" t="n"/>
      <c r="AF332">
        <f>IF($B332="","",IF(COUNTIF($B$2:$B332,$B332)=1,1,0))</f>
        <v/>
      </c>
      <c r="AG332">
        <f>IF($AF332=1,SUMPRODUCT(--($AJ$2:$AJ$1501&lt;$AJ332))+1,"")</f>
        <v/>
      </c>
      <c r="AH332">
        <f>IF($B332="","",IF(OR($M332=TRUE(),$M332="TRUE"),1,0))</f>
        <v/>
      </c>
      <c r="AI332">
        <f>IF($B332="","",IF($V332="Yes",1,0))</f>
        <v/>
      </c>
      <c r="AJ332">
        <f>IF($AF332=1,IFERROR(IF(VALUE($B332)&lt;100000000,VALUE($B332),1000000000),IFERROR(IF(VALUE(MID($B332,2,20))&lt;100000000,VALUE(MID($B332,2,20)),1000000000),1000000000))+ROW()/100000,"")</f>
        <v/>
      </c>
    </row>
    <row r="333">
      <c r="C333" s="11" t="n"/>
      <c r="J333" s="7">
        <f>IF($B333="","",I333*Q333/100)</f>
        <v/>
      </c>
      <c r="P333" s="7" t="n"/>
      <c r="Q333" s="7" t="n"/>
      <c r="R333" s="7">
        <f>IF($B333="","",Q333*W333/100)</f>
        <v/>
      </c>
      <c r="S333" s="7">
        <f>IF($B333="","",Q333-R333)</f>
        <v/>
      </c>
      <c r="T333" s="7">
        <f>IF($B333="","",S333-J333)</f>
        <v/>
      </c>
      <c r="W333">
        <f>IF($B333="","",IF($AI333=1,0,IF($AH333=1,Settings!$C$6,Settings!$C$7))*100)</f>
        <v/>
      </c>
      <c r="AA333" s="7" t="n"/>
      <c r="AD333" s="11" t="n"/>
      <c r="AF333">
        <f>IF($B333="","",IF(COUNTIF($B$2:$B333,$B333)=1,1,0))</f>
        <v/>
      </c>
      <c r="AG333">
        <f>IF($AF333=1,SUMPRODUCT(--($AJ$2:$AJ$1501&lt;$AJ333))+1,"")</f>
        <v/>
      </c>
      <c r="AH333">
        <f>IF($B333="","",IF(OR($M333=TRUE(),$M333="TRUE"),1,0))</f>
        <v/>
      </c>
      <c r="AI333">
        <f>IF($B333="","",IF($V333="Yes",1,0))</f>
        <v/>
      </c>
      <c r="AJ333">
        <f>IF($AF333=1,IFERROR(IF(VALUE($B333)&lt;100000000,VALUE($B333),1000000000),IFERROR(IF(VALUE(MID($B333,2,20))&lt;100000000,VALUE(MID($B333,2,20)),1000000000),1000000000))+ROW()/100000,"")</f>
        <v/>
      </c>
    </row>
    <row r="334">
      <c r="C334" s="11" t="n"/>
      <c r="J334" s="7">
        <f>IF($B334="","",I334*Q334/100)</f>
        <v/>
      </c>
      <c r="P334" s="7" t="n"/>
      <c r="Q334" s="7" t="n"/>
      <c r="R334" s="7">
        <f>IF($B334="","",Q334*W334/100)</f>
        <v/>
      </c>
      <c r="S334" s="7">
        <f>IF($B334="","",Q334-R334)</f>
        <v/>
      </c>
      <c r="T334" s="7">
        <f>IF($B334="","",S334-J334)</f>
        <v/>
      </c>
      <c r="W334">
        <f>IF($B334="","",IF($AI334=1,0,IF($AH334=1,Settings!$C$6,Settings!$C$7))*100)</f>
        <v/>
      </c>
      <c r="AA334" s="7" t="n"/>
      <c r="AD334" s="11" t="n"/>
      <c r="AF334">
        <f>IF($B334="","",IF(COUNTIF($B$2:$B334,$B334)=1,1,0))</f>
        <v/>
      </c>
      <c r="AG334">
        <f>IF($AF334=1,SUMPRODUCT(--($AJ$2:$AJ$1501&lt;$AJ334))+1,"")</f>
        <v/>
      </c>
      <c r="AH334">
        <f>IF($B334="","",IF(OR($M334=TRUE(),$M334="TRUE"),1,0))</f>
        <v/>
      </c>
      <c r="AI334">
        <f>IF($B334="","",IF($V334="Yes",1,0))</f>
        <v/>
      </c>
      <c r="AJ334">
        <f>IF($AF334=1,IFERROR(IF(VALUE($B334)&lt;100000000,VALUE($B334),1000000000),IFERROR(IF(VALUE(MID($B334,2,20))&lt;100000000,VALUE(MID($B334,2,20)),1000000000),1000000000))+ROW()/100000,"")</f>
        <v/>
      </c>
    </row>
    <row r="335">
      <c r="C335" s="11" t="n"/>
      <c r="J335" s="7">
        <f>IF($B335="","",I335*Q335/100)</f>
        <v/>
      </c>
      <c r="P335" s="7" t="n"/>
      <c r="Q335" s="7" t="n"/>
      <c r="R335" s="7">
        <f>IF($B335="","",Q335*W335/100)</f>
        <v/>
      </c>
      <c r="S335" s="7">
        <f>IF($B335="","",Q335-R335)</f>
        <v/>
      </c>
      <c r="T335" s="7">
        <f>IF($B335="","",S335-J335)</f>
        <v/>
      </c>
      <c r="W335">
        <f>IF($B335="","",IF($AI335=1,0,IF($AH335=1,Settings!$C$6,Settings!$C$7))*100)</f>
        <v/>
      </c>
      <c r="AA335" s="7" t="n"/>
      <c r="AD335" s="11" t="n"/>
      <c r="AF335">
        <f>IF($B335="","",IF(COUNTIF($B$2:$B335,$B335)=1,1,0))</f>
        <v/>
      </c>
      <c r="AG335">
        <f>IF($AF335=1,SUMPRODUCT(--($AJ$2:$AJ$1501&lt;$AJ335))+1,"")</f>
        <v/>
      </c>
      <c r="AH335">
        <f>IF($B335="","",IF(OR($M335=TRUE(),$M335="TRUE"),1,0))</f>
        <v/>
      </c>
      <c r="AI335">
        <f>IF($B335="","",IF($V335="Yes",1,0))</f>
        <v/>
      </c>
      <c r="AJ335">
        <f>IF($AF335=1,IFERROR(IF(VALUE($B335)&lt;100000000,VALUE($B335),1000000000),IFERROR(IF(VALUE(MID($B335,2,20))&lt;100000000,VALUE(MID($B335,2,20)),1000000000),1000000000))+ROW()/100000,"")</f>
        <v/>
      </c>
    </row>
    <row r="336">
      <c r="C336" s="11" t="n"/>
      <c r="J336" s="7">
        <f>IF($B336="","",I336*Q336/100)</f>
        <v/>
      </c>
      <c r="P336" s="7" t="n"/>
      <c r="Q336" s="7" t="n"/>
      <c r="R336" s="7">
        <f>IF($B336="","",Q336*W336/100)</f>
        <v/>
      </c>
      <c r="S336" s="7">
        <f>IF($B336="","",Q336-R336)</f>
        <v/>
      </c>
      <c r="T336" s="7">
        <f>IF($B336="","",S336-J336)</f>
        <v/>
      </c>
      <c r="W336">
        <f>IF($B336="","",IF($AI336=1,0,IF($AH336=1,Settings!$C$6,Settings!$C$7))*100)</f>
        <v/>
      </c>
      <c r="AA336" s="7" t="n"/>
      <c r="AD336" s="11" t="n"/>
      <c r="AF336">
        <f>IF($B336="","",IF(COUNTIF($B$2:$B336,$B336)=1,1,0))</f>
        <v/>
      </c>
      <c r="AG336">
        <f>IF($AF336=1,SUMPRODUCT(--($AJ$2:$AJ$1501&lt;$AJ336))+1,"")</f>
        <v/>
      </c>
      <c r="AH336">
        <f>IF($B336="","",IF(OR($M336=TRUE(),$M336="TRUE"),1,0))</f>
        <v/>
      </c>
      <c r="AI336">
        <f>IF($B336="","",IF($V336="Yes",1,0))</f>
        <v/>
      </c>
      <c r="AJ336">
        <f>IF($AF336=1,IFERROR(IF(VALUE($B336)&lt;100000000,VALUE($B336),1000000000),IFERROR(IF(VALUE(MID($B336,2,20))&lt;100000000,VALUE(MID($B336,2,20)),1000000000),1000000000))+ROW()/100000,"")</f>
        <v/>
      </c>
    </row>
    <row r="337">
      <c r="C337" s="11" t="n"/>
      <c r="J337" s="7">
        <f>IF($B337="","",I337*Q337/100)</f>
        <v/>
      </c>
      <c r="P337" s="7" t="n"/>
      <c r="Q337" s="7" t="n"/>
      <c r="R337" s="7">
        <f>IF($B337="","",Q337*W337/100)</f>
        <v/>
      </c>
      <c r="S337" s="7">
        <f>IF($B337="","",Q337-R337)</f>
        <v/>
      </c>
      <c r="T337" s="7">
        <f>IF($B337="","",S337-J337)</f>
        <v/>
      </c>
      <c r="W337">
        <f>IF($B337="","",IF($AI337=1,0,IF($AH337=1,Settings!$C$6,Settings!$C$7))*100)</f>
        <v/>
      </c>
      <c r="AA337" s="7" t="n"/>
      <c r="AD337" s="11" t="n"/>
      <c r="AF337">
        <f>IF($B337="","",IF(COUNTIF($B$2:$B337,$B337)=1,1,0))</f>
        <v/>
      </c>
      <c r="AG337">
        <f>IF($AF337=1,SUMPRODUCT(--($AJ$2:$AJ$1501&lt;$AJ337))+1,"")</f>
        <v/>
      </c>
      <c r="AH337">
        <f>IF($B337="","",IF(OR($M337=TRUE(),$M337="TRUE"),1,0))</f>
        <v/>
      </c>
      <c r="AI337">
        <f>IF($B337="","",IF($V337="Yes",1,0))</f>
        <v/>
      </c>
      <c r="AJ337">
        <f>IF($AF337=1,IFERROR(IF(VALUE($B337)&lt;100000000,VALUE($B337),1000000000),IFERROR(IF(VALUE(MID($B337,2,20))&lt;100000000,VALUE(MID($B337,2,20)),1000000000),1000000000))+ROW()/100000,"")</f>
        <v/>
      </c>
    </row>
    <row r="338">
      <c r="C338" s="11" t="n"/>
      <c r="J338" s="7">
        <f>IF($B338="","",I338*Q338/100)</f>
        <v/>
      </c>
      <c r="P338" s="7" t="n"/>
      <c r="Q338" s="7" t="n"/>
      <c r="R338" s="7">
        <f>IF($B338="","",Q338*W338/100)</f>
        <v/>
      </c>
      <c r="S338" s="7">
        <f>IF($B338="","",Q338-R338)</f>
        <v/>
      </c>
      <c r="T338" s="7">
        <f>IF($B338="","",S338-J338)</f>
        <v/>
      </c>
      <c r="W338">
        <f>IF($B338="","",IF($AI338=1,0,IF($AH338=1,Settings!$C$6,Settings!$C$7))*100)</f>
        <v/>
      </c>
      <c r="AA338" s="7" t="n"/>
      <c r="AD338" s="11" t="n"/>
      <c r="AF338">
        <f>IF($B338="","",IF(COUNTIF($B$2:$B338,$B338)=1,1,0))</f>
        <v/>
      </c>
      <c r="AG338">
        <f>IF($AF338=1,SUMPRODUCT(--($AJ$2:$AJ$1501&lt;$AJ338))+1,"")</f>
        <v/>
      </c>
      <c r="AH338">
        <f>IF($B338="","",IF(OR($M338=TRUE(),$M338="TRUE"),1,0))</f>
        <v/>
      </c>
      <c r="AI338">
        <f>IF($B338="","",IF($V338="Yes",1,0))</f>
        <v/>
      </c>
      <c r="AJ338">
        <f>IF($AF338=1,IFERROR(IF(VALUE($B338)&lt;100000000,VALUE($B338),1000000000),IFERROR(IF(VALUE(MID($B338,2,20))&lt;100000000,VALUE(MID($B338,2,20)),1000000000),1000000000))+ROW()/100000,"")</f>
        <v/>
      </c>
    </row>
    <row r="339">
      <c r="C339" s="11" t="n"/>
      <c r="J339" s="7">
        <f>IF($B339="","",I339*Q339/100)</f>
        <v/>
      </c>
      <c r="P339" s="7" t="n"/>
      <c r="Q339" s="7" t="n"/>
      <c r="R339" s="7">
        <f>IF($B339="","",Q339*W339/100)</f>
        <v/>
      </c>
      <c r="S339" s="7">
        <f>IF($B339="","",Q339-R339)</f>
        <v/>
      </c>
      <c r="T339" s="7">
        <f>IF($B339="","",S339-J339)</f>
        <v/>
      </c>
      <c r="W339">
        <f>IF($B339="","",IF($AI339=1,0,IF($AH339=1,Settings!$C$6,Settings!$C$7))*100)</f>
        <v/>
      </c>
      <c r="AA339" s="7" t="n"/>
      <c r="AD339" s="11" t="n"/>
      <c r="AF339">
        <f>IF($B339="","",IF(COUNTIF($B$2:$B339,$B339)=1,1,0))</f>
        <v/>
      </c>
      <c r="AG339">
        <f>IF($AF339=1,SUMPRODUCT(--($AJ$2:$AJ$1501&lt;$AJ339))+1,"")</f>
        <v/>
      </c>
      <c r="AH339">
        <f>IF($B339="","",IF(OR($M339=TRUE(),$M339="TRUE"),1,0))</f>
        <v/>
      </c>
      <c r="AI339">
        <f>IF($B339="","",IF($V339="Yes",1,0))</f>
        <v/>
      </c>
      <c r="AJ339">
        <f>IF($AF339=1,IFERROR(IF(VALUE($B339)&lt;100000000,VALUE($B339),1000000000),IFERROR(IF(VALUE(MID($B339,2,20))&lt;100000000,VALUE(MID($B339,2,20)),1000000000),1000000000))+ROW()/100000,"")</f>
        <v/>
      </c>
    </row>
    <row r="340">
      <c r="C340" s="11" t="n"/>
      <c r="J340" s="7">
        <f>IF($B340="","",I340*Q340/100)</f>
        <v/>
      </c>
      <c r="P340" s="7" t="n"/>
      <c r="Q340" s="7" t="n"/>
      <c r="R340" s="7">
        <f>IF($B340="","",Q340*W340/100)</f>
        <v/>
      </c>
      <c r="S340" s="7">
        <f>IF($B340="","",Q340-R340)</f>
        <v/>
      </c>
      <c r="T340" s="7">
        <f>IF($B340="","",S340-J340)</f>
        <v/>
      </c>
      <c r="W340">
        <f>IF($B340="","",IF($AI340=1,0,IF($AH340=1,Settings!$C$6,Settings!$C$7))*100)</f>
        <v/>
      </c>
      <c r="AA340" s="7" t="n"/>
      <c r="AD340" s="11" t="n"/>
      <c r="AF340">
        <f>IF($B340="","",IF(COUNTIF($B$2:$B340,$B340)=1,1,0))</f>
        <v/>
      </c>
      <c r="AG340">
        <f>IF($AF340=1,SUMPRODUCT(--($AJ$2:$AJ$1501&lt;$AJ340))+1,"")</f>
        <v/>
      </c>
      <c r="AH340">
        <f>IF($B340="","",IF(OR($M340=TRUE(),$M340="TRUE"),1,0))</f>
        <v/>
      </c>
      <c r="AI340">
        <f>IF($B340="","",IF($V340="Yes",1,0))</f>
        <v/>
      </c>
      <c r="AJ340">
        <f>IF($AF340=1,IFERROR(IF(VALUE($B340)&lt;100000000,VALUE($B340),1000000000),IFERROR(IF(VALUE(MID($B340,2,20))&lt;100000000,VALUE(MID($B340,2,20)),1000000000),1000000000))+ROW()/100000,"")</f>
        <v/>
      </c>
    </row>
    <row r="341">
      <c r="C341" s="11" t="n"/>
      <c r="J341" s="7">
        <f>IF($B341="","",I341*Q341/100)</f>
        <v/>
      </c>
      <c r="P341" s="7" t="n"/>
      <c r="Q341" s="7" t="n"/>
      <c r="R341" s="7">
        <f>IF($B341="","",Q341*W341/100)</f>
        <v/>
      </c>
      <c r="S341" s="7">
        <f>IF($B341="","",Q341-R341)</f>
        <v/>
      </c>
      <c r="T341" s="7">
        <f>IF($B341="","",S341-J341)</f>
        <v/>
      </c>
      <c r="W341">
        <f>IF($B341="","",IF($AI341=1,0,IF($AH341=1,Settings!$C$6,Settings!$C$7))*100)</f>
        <v/>
      </c>
      <c r="AA341" s="7" t="n"/>
      <c r="AD341" s="11" t="n"/>
      <c r="AF341">
        <f>IF($B341="","",IF(COUNTIF($B$2:$B341,$B341)=1,1,0))</f>
        <v/>
      </c>
      <c r="AG341">
        <f>IF($AF341=1,SUMPRODUCT(--($AJ$2:$AJ$1501&lt;$AJ341))+1,"")</f>
        <v/>
      </c>
      <c r="AH341">
        <f>IF($B341="","",IF(OR($M341=TRUE(),$M341="TRUE"),1,0))</f>
        <v/>
      </c>
      <c r="AI341">
        <f>IF($B341="","",IF($V341="Yes",1,0))</f>
        <v/>
      </c>
      <c r="AJ341">
        <f>IF($AF341=1,IFERROR(IF(VALUE($B341)&lt;100000000,VALUE($B341),1000000000),IFERROR(IF(VALUE(MID($B341,2,20))&lt;100000000,VALUE(MID($B341,2,20)),1000000000),1000000000))+ROW()/100000,"")</f>
        <v/>
      </c>
    </row>
    <row r="342">
      <c r="C342" s="11" t="n"/>
      <c r="J342" s="7">
        <f>IF($B342="","",I342*Q342/100)</f>
        <v/>
      </c>
      <c r="P342" s="7" t="n"/>
      <c r="Q342" s="7" t="n"/>
      <c r="R342" s="7">
        <f>IF($B342="","",Q342*W342/100)</f>
        <v/>
      </c>
      <c r="S342" s="7">
        <f>IF($B342="","",Q342-R342)</f>
        <v/>
      </c>
      <c r="T342" s="7">
        <f>IF($B342="","",S342-J342)</f>
        <v/>
      </c>
      <c r="W342">
        <f>IF($B342="","",IF($AI342=1,0,IF($AH342=1,Settings!$C$6,Settings!$C$7))*100)</f>
        <v/>
      </c>
      <c r="AA342" s="7" t="n"/>
      <c r="AD342" s="11" t="n"/>
      <c r="AF342">
        <f>IF($B342="","",IF(COUNTIF($B$2:$B342,$B342)=1,1,0))</f>
        <v/>
      </c>
      <c r="AG342">
        <f>IF($AF342=1,SUMPRODUCT(--($AJ$2:$AJ$1501&lt;$AJ342))+1,"")</f>
        <v/>
      </c>
      <c r="AH342">
        <f>IF($B342="","",IF(OR($M342=TRUE(),$M342="TRUE"),1,0))</f>
        <v/>
      </c>
      <c r="AI342">
        <f>IF($B342="","",IF($V342="Yes",1,0))</f>
        <v/>
      </c>
      <c r="AJ342">
        <f>IF($AF342=1,IFERROR(IF(VALUE($B342)&lt;100000000,VALUE($B342),1000000000),IFERROR(IF(VALUE(MID($B342,2,20))&lt;100000000,VALUE(MID($B342,2,20)),1000000000),1000000000))+ROW()/100000,"")</f>
        <v/>
      </c>
    </row>
    <row r="343">
      <c r="C343" s="11" t="n"/>
      <c r="J343" s="7">
        <f>IF($B343="","",I343*Q343/100)</f>
        <v/>
      </c>
      <c r="P343" s="7" t="n"/>
      <c r="Q343" s="7" t="n"/>
      <c r="R343" s="7">
        <f>IF($B343="","",Q343*W343/100)</f>
        <v/>
      </c>
      <c r="S343" s="7">
        <f>IF($B343="","",Q343-R343)</f>
        <v/>
      </c>
      <c r="T343" s="7">
        <f>IF($B343="","",S343-J343)</f>
        <v/>
      </c>
      <c r="W343">
        <f>IF($B343="","",IF($AI343=1,0,IF($AH343=1,Settings!$C$6,Settings!$C$7))*100)</f>
        <v/>
      </c>
      <c r="AA343" s="7" t="n"/>
      <c r="AD343" s="11" t="n"/>
      <c r="AF343">
        <f>IF($B343="","",IF(COUNTIF($B$2:$B343,$B343)=1,1,0))</f>
        <v/>
      </c>
      <c r="AG343">
        <f>IF($AF343=1,SUMPRODUCT(--($AJ$2:$AJ$1501&lt;$AJ343))+1,"")</f>
        <v/>
      </c>
      <c r="AH343">
        <f>IF($B343="","",IF(OR($M343=TRUE(),$M343="TRUE"),1,0))</f>
        <v/>
      </c>
      <c r="AI343">
        <f>IF($B343="","",IF($V343="Yes",1,0))</f>
        <v/>
      </c>
      <c r="AJ343">
        <f>IF($AF343=1,IFERROR(IF(VALUE($B343)&lt;100000000,VALUE($B343),1000000000),IFERROR(IF(VALUE(MID($B343,2,20))&lt;100000000,VALUE(MID($B343,2,20)),1000000000),1000000000))+ROW()/100000,"")</f>
        <v/>
      </c>
    </row>
    <row r="344">
      <c r="C344" s="11" t="n"/>
      <c r="J344" s="7">
        <f>IF($B344="","",I344*Q344/100)</f>
        <v/>
      </c>
      <c r="P344" s="7" t="n"/>
      <c r="Q344" s="7" t="n"/>
      <c r="R344" s="7">
        <f>IF($B344="","",Q344*W344/100)</f>
        <v/>
      </c>
      <c r="S344" s="7">
        <f>IF($B344="","",Q344-R344)</f>
        <v/>
      </c>
      <c r="T344" s="7">
        <f>IF($B344="","",S344-J344)</f>
        <v/>
      </c>
      <c r="W344">
        <f>IF($B344="","",IF($AI344=1,0,IF($AH344=1,Settings!$C$6,Settings!$C$7))*100)</f>
        <v/>
      </c>
      <c r="AA344" s="7" t="n"/>
      <c r="AD344" s="11" t="n"/>
      <c r="AF344">
        <f>IF($B344="","",IF(COUNTIF($B$2:$B344,$B344)=1,1,0))</f>
        <v/>
      </c>
      <c r="AG344">
        <f>IF($AF344=1,SUMPRODUCT(--($AJ$2:$AJ$1501&lt;$AJ344))+1,"")</f>
        <v/>
      </c>
      <c r="AH344">
        <f>IF($B344="","",IF(OR($M344=TRUE(),$M344="TRUE"),1,0))</f>
        <v/>
      </c>
      <c r="AI344">
        <f>IF($B344="","",IF($V344="Yes",1,0))</f>
        <v/>
      </c>
      <c r="AJ344">
        <f>IF($AF344=1,IFERROR(IF(VALUE($B344)&lt;100000000,VALUE($B344),1000000000),IFERROR(IF(VALUE(MID($B344,2,20))&lt;100000000,VALUE(MID($B344,2,20)),1000000000),1000000000))+ROW()/100000,"")</f>
        <v/>
      </c>
    </row>
    <row r="345">
      <c r="C345" s="11" t="n"/>
      <c r="J345" s="7">
        <f>IF($B345="","",I345*Q345/100)</f>
        <v/>
      </c>
      <c r="P345" s="7" t="n"/>
      <c r="Q345" s="7" t="n"/>
      <c r="R345" s="7">
        <f>IF($B345="","",Q345*W345/100)</f>
        <v/>
      </c>
      <c r="S345" s="7">
        <f>IF($B345="","",Q345-R345)</f>
        <v/>
      </c>
      <c r="T345" s="7">
        <f>IF($B345="","",S345-J345)</f>
        <v/>
      </c>
      <c r="W345">
        <f>IF($B345="","",IF($AI345=1,0,IF($AH345=1,Settings!$C$6,Settings!$C$7))*100)</f>
        <v/>
      </c>
      <c r="AA345" s="7" t="n"/>
      <c r="AD345" s="11" t="n"/>
      <c r="AF345">
        <f>IF($B345="","",IF(COUNTIF($B$2:$B345,$B345)=1,1,0))</f>
        <v/>
      </c>
      <c r="AG345">
        <f>IF($AF345=1,SUMPRODUCT(--($AJ$2:$AJ$1501&lt;$AJ345))+1,"")</f>
        <v/>
      </c>
      <c r="AH345">
        <f>IF($B345="","",IF(OR($M345=TRUE(),$M345="TRUE"),1,0))</f>
        <v/>
      </c>
      <c r="AI345">
        <f>IF($B345="","",IF($V345="Yes",1,0))</f>
        <v/>
      </c>
      <c r="AJ345">
        <f>IF($AF345=1,IFERROR(IF(VALUE($B345)&lt;100000000,VALUE($B345),1000000000),IFERROR(IF(VALUE(MID($B345,2,20))&lt;100000000,VALUE(MID($B345,2,20)),1000000000),1000000000))+ROW()/100000,"")</f>
        <v/>
      </c>
    </row>
    <row r="346">
      <c r="C346" s="11" t="n"/>
      <c r="J346" s="7">
        <f>IF($B346="","",I346*Q346/100)</f>
        <v/>
      </c>
      <c r="P346" s="7" t="n"/>
      <c r="Q346" s="7" t="n"/>
      <c r="R346" s="7">
        <f>IF($B346="","",Q346*W346/100)</f>
        <v/>
      </c>
      <c r="S346" s="7">
        <f>IF($B346="","",Q346-R346)</f>
        <v/>
      </c>
      <c r="T346" s="7">
        <f>IF($B346="","",S346-J346)</f>
        <v/>
      </c>
      <c r="W346">
        <f>IF($B346="","",IF($AI346=1,0,IF($AH346=1,Settings!$C$6,Settings!$C$7))*100)</f>
        <v/>
      </c>
      <c r="AA346" s="7" t="n"/>
      <c r="AD346" s="11" t="n"/>
      <c r="AF346">
        <f>IF($B346="","",IF(COUNTIF($B$2:$B346,$B346)=1,1,0))</f>
        <v/>
      </c>
      <c r="AG346">
        <f>IF($AF346=1,SUMPRODUCT(--($AJ$2:$AJ$1501&lt;$AJ346))+1,"")</f>
        <v/>
      </c>
      <c r="AH346">
        <f>IF($B346="","",IF(OR($M346=TRUE(),$M346="TRUE"),1,0))</f>
        <v/>
      </c>
      <c r="AI346">
        <f>IF($B346="","",IF($V346="Yes",1,0))</f>
        <v/>
      </c>
      <c r="AJ346">
        <f>IF($AF346=1,IFERROR(IF(VALUE($B346)&lt;100000000,VALUE($B346),1000000000),IFERROR(IF(VALUE(MID($B346,2,20))&lt;100000000,VALUE(MID($B346,2,20)),1000000000),1000000000))+ROW()/100000,"")</f>
        <v/>
      </c>
    </row>
    <row r="347">
      <c r="C347" s="11" t="n"/>
      <c r="J347" s="7">
        <f>IF($B347="","",I347*Q347/100)</f>
        <v/>
      </c>
      <c r="P347" s="7" t="n"/>
      <c r="Q347" s="7" t="n"/>
      <c r="R347" s="7">
        <f>IF($B347="","",Q347*W347/100)</f>
        <v/>
      </c>
      <c r="S347" s="7">
        <f>IF($B347="","",Q347-R347)</f>
        <v/>
      </c>
      <c r="T347" s="7">
        <f>IF($B347="","",S347-J347)</f>
        <v/>
      </c>
      <c r="W347">
        <f>IF($B347="","",IF($AI347=1,0,IF($AH347=1,Settings!$C$6,Settings!$C$7))*100)</f>
        <v/>
      </c>
      <c r="AA347" s="7" t="n"/>
      <c r="AD347" s="11" t="n"/>
      <c r="AF347">
        <f>IF($B347="","",IF(COUNTIF($B$2:$B347,$B347)=1,1,0))</f>
        <v/>
      </c>
      <c r="AG347">
        <f>IF($AF347=1,SUMPRODUCT(--($AJ$2:$AJ$1501&lt;$AJ347))+1,"")</f>
        <v/>
      </c>
      <c r="AH347">
        <f>IF($B347="","",IF(OR($M347=TRUE(),$M347="TRUE"),1,0))</f>
        <v/>
      </c>
      <c r="AI347">
        <f>IF($B347="","",IF($V347="Yes",1,0))</f>
        <v/>
      </c>
      <c r="AJ347">
        <f>IF($AF347=1,IFERROR(IF(VALUE($B347)&lt;100000000,VALUE($B347),1000000000),IFERROR(IF(VALUE(MID($B347,2,20))&lt;100000000,VALUE(MID($B347,2,20)),1000000000),1000000000))+ROW()/100000,"")</f>
        <v/>
      </c>
    </row>
    <row r="348">
      <c r="C348" s="11" t="n"/>
      <c r="J348" s="7">
        <f>IF($B348="","",I348*Q348/100)</f>
        <v/>
      </c>
      <c r="P348" s="7" t="n"/>
      <c r="Q348" s="7" t="n"/>
      <c r="R348" s="7">
        <f>IF($B348="","",Q348*W348/100)</f>
        <v/>
      </c>
      <c r="S348" s="7">
        <f>IF($B348="","",Q348-R348)</f>
        <v/>
      </c>
      <c r="T348" s="7">
        <f>IF($B348="","",S348-J348)</f>
        <v/>
      </c>
      <c r="W348">
        <f>IF($B348="","",IF($AI348=1,0,IF($AH348=1,Settings!$C$6,Settings!$C$7))*100)</f>
        <v/>
      </c>
      <c r="AA348" s="7" t="n"/>
      <c r="AD348" s="11" t="n"/>
      <c r="AF348">
        <f>IF($B348="","",IF(COUNTIF($B$2:$B348,$B348)=1,1,0))</f>
        <v/>
      </c>
      <c r="AG348">
        <f>IF($AF348=1,SUMPRODUCT(--($AJ$2:$AJ$1501&lt;$AJ348))+1,"")</f>
        <v/>
      </c>
      <c r="AH348">
        <f>IF($B348="","",IF(OR($M348=TRUE(),$M348="TRUE"),1,0))</f>
        <v/>
      </c>
      <c r="AI348">
        <f>IF($B348="","",IF($V348="Yes",1,0))</f>
        <v/>
      </c>
      <c r="AJ348">
        <f>IF($AF348=1,IFERROR(IF(VALUE($B348)&lt;100000000,VALUE($B348),1000000000),IFERROR(IF(VALUE(MID($B348,2,20))&lt;100000000,VALUE(MID($B348,2,20)),1000000000),1000000000))+ROW()/100000,"")</f>
        <v/>
      </c>
    </row>
    <row r="349">
      <c r="C349" s="11" t="n"/>
      <c r="J349" s="7">
        <f>IF($B349="","",I349*Q349/100)</f>
        <v/>
      </c>
      <c r="P349" s="7" t="n"/>
      <c r="Q349" s="7" t="n"/>
      <c r="R349" s="7">
        <f>IF($B349="","",Q349*W349/100)</f>
        <v/>
      </c>
      <c r="S349" s="7">
        <f>IF($B349="","",Q349-R349)</f>
        <v/>
      </c>
      <c r="T349" s="7">
        <f>IF($B349="","",S349-J349)</f>
        <v/>
      </c>
      <c r="W349">
        <f>IF($B349="","",IF($AI349=1,0,IF($AH349=1,Settings!$C$6,Settings!$C$7))*100)</f>
        <v/>
      </c>
      <c r="AA349" s="7" t="n"/>
      <c r="AD349" s="11" t="n"/>
      <c r="AF349">
        <f>IF($B349="","",IF(COUNTIF($B$2:$B349,$B349)=1,1,0))</f>
        <v/>
      </c>
      <c r="AG349">
        <f>IF($AF349=1,SUMPRODUCT(--($AJ$2:$AJ$1501&lt;$AJ349))+1,"")</f>
        <v/>
      </c>
      <c r="AH349">
        <f>IF($B349="","",IF(OR($M349=TRUE(),$M349="TRUE"),1,0))</f>
        <v/>
      </c>
      <c r="AI349">
        <f>IF($B349="","",IF($V349="Yes",1,0))</f>
        <v/>
      </c>
      <c r="AJ349">
        <f>IF($AF349=1,IFERROR(IF(VALUE($B349)&lt;100000000,VALUE($B349),1000000000),IFERROR(IF(VALUE(MID($B349,2,20))&lt;100000000,VALUE(MID($B349,2,20)),1000000000),1000000000))+ROW()/100000,"")</f>
        <v/>
      </c>
    </row>
    <row r="350">
      <c r="C350" s="11" t="n"/>
      <c r="J350" s="7">
        <f>IF($B350="","",I350*Q350/100)</f>
        <v/>
      </c>
      <c r="P350" s="7" t="n"/>
      <c r="Q350" s="7" t="n"/>
      <c r="R350" s="7">
        <f>IF($B350="","",Q350*W350/100)</f>
        <v/>
      </c>
      <c r="S350" s="7">
        <f>IF($B350="","",Q350-R350)</f>
        <v/>
      </c>
      <c r="T350" s="7">
        <f>IF($B350="","",S350-J350)</f>
        <v/>
      </c>
      <c r="W350">
        <f>IF($B350="","",IF($AI350=1,0,IF($AH350=1,Settings!$C$6,Settings!$C$7))*100)</f>
        <v/>
      </c>
      <c r="AA350" s="7" t="n"/>
      <c r="AD350" s="11" t="n"/>
      <c r="AF350">
        <f>IF($B350="","",IF(COUNTIF($B$2:$B350,$B350)=1,1,0))</f>
        <v/>
      </c>
      <c r="AG350">
        <f>IF($AF350=1,SUMPRODUCT(--($AJ$2:$AJ$1501&lt;$AJ350))+1,"")</f>
        <v/>
      </c>
      <c r="AH350">
        <f>IF($B350="","",IF(OR($M350=TRUE(),$M350="TRUE"),1,0))</f>
        <v/>
      </c>
      <c r="AI350">
        <f>IF($B350="","",IF($V350="Yes",1,0))</f>
        <v/>
      </c>
      <c r="AJ350">
        <f>IF($AF350=1,IFERROR(IF(VALUE($B350)&lt;100000000,VALUE($B350),1000000000),IFERROR(IF(VALUE(MID($B350,2,20))&lt;100000000,VALUE(MID($B350,2,20)),1000000000),1000000000))+ROW()/100000,"")</f>
        <v/>
      </c>
    </row>
    <row r="351">
      <c r="C351" s="11" t="n"/>
      <c r="J351" s="7">
        <f>IF($B351="","",I351*Q351/100)</f>
        <v/>
      </c>
      <c r="P351" s="7" t="n"/>
      <c r="Q351" s="7" t="n"/>
      <c r="R351" s="7">
        <f>IF($B351="","",Q351*W351/100)</f>
        <v/>
      </c>
      <c r="S351" s="7">
        <f>IF($B351="","",Q351-R351)</f>
        <v/>
      </c>
      <c r="T351" s="7">
        <f>IF($B351="","",S351-J351)</f>
        <v/>
      </c>
      <c r="W351">
        <f>IF($B351="","",IF($AI351=1,0,IF($AH351=1,Settings!$C$6,Settings!$C$7))*100)</f>
        <v/>
      </c>
      <c r="AA351" s="7" t="n"/>
      <c r="AD351" s="11" t="n"/>
      <c r="AF351">
        <f>IF($B351="","",IF(COUNTIF($B$2:$B351,$B351)=1,1,0))</f>
        <v/>
      </c>
      <c r="AG351">
        <f>IF($AF351=1,SUMPRODUCT(--($AJ$2:$AJ$1501&lt;$AJ351))+1,"")</f>
        <v/>
      </c>
      <c r="AH351">
        <f>IF($B351="","",IF(OR($M351=TRUE(),$M351="TRUE"),1,0))</f>
        <v/>
      </c>
      <c r="AI351">
        <f>IF($B351="","",IF($V351="Yes",1,0))</f>
        <v/>
      </c>
      <c r="AJ351">
        <f>IF($AF351=1,IFERROR(IF(VALUE($B351)&lt;100000000,VALUE($B351),1000000000),IFERROR(IF(VALUE(MID($B351,2,20))&lt;100000000,VALUE(MID($B351,2,20)),1000000000),1000000000))+ROW()/100000,"")</f>
        <v/>
      </c>
    </row>
    <row r="352">
      <c r="C352" s="11" t="n"/>
      <c r="J352" s="7">
        <f>IF($B352="","",I352*Q352/100)</f>
        <v/>
      </c>
      <c r="P352" s="7" t="n"/>
      <c r="Q352" s="7" t="n"/>
      <c r="R352" s="7">
        <f>IF($B352="","",Q352*W352/100)</f>
        <v/>
      </c>
      <c r="S352" s="7">
        <f>IF($B352="","",Q352-R352)</f>
        <v/>
      </c>
      <c r="T352" s="7">
        <f>IF($B352="","",S352-J352)</f>
        <v/>
      </c>
      <c r="W352">
        <f>IF($B352="","",IF($AI352=1,0,IF($AH352=1,Settings!$C$6,Settings!$C$7))*100)</f>
        <v/>
      </c>
      <c r="AA352" s="7" t="n"/>
      <c r="AD352" s="11" t="n"/>
      <c r="AF352">
        <f>IF($B352="","",IF(COUNTIF($B$2:$B352,$B352)=1,1,0))</f>
        <v/>
      </c>
      <c r="AG352">
        <f>IF($AF352=1,SUMPRODUCT(--($AJ$2:$AJ$1501&lt;$AJ352))+1,"")</f>
        <v/>
      </c>
      <c r="AH352">
        <f>IF($B352="","",IF(OR($M352=TRUE(),$M352="TRUE"),1,0))</f>
        <v/>
      </c>
      <c r="AI352">
        <f>IF($B352="","",IF($V352="Yes",1,0))</f>
        <v/>
      </c>
      <c r="AJ352">
        <f>IF($AF352=1,IFERROR(IF(VALUE($B352)&lt;100000000,VALUE($B352),1000000000),IFERROR(IF(VALUE(MID($B352,2,20))&lt;100000000,VALUE(MID($B352,2,20)),1000000000),1000000000))+ROW()/100000,"")</f>
        <v/>
      </c>
    </row>
    <row r="353">
      <c r="C353" s="11" t="n"/>
      <c r="J353" s="7">
        <f>IF($B353="","",I353*Q353/100)</f>
        <v/>
      </c>
      <c r="P353" s="7" t="n"/>
      <c r="Q353" s="7" t="n"/>
      <c r="R353" s="7">
        <f>IF($B353="","",Q353*W353/100)</f>
        <v/>
      </c>
      <c r="S353" s="7">
        <f>IF($B353="","",Q353-R353)</f>
        <v/>
      </c>
      <c r="T353" s="7">
        <f>IF($B353="","",S353-J353)</f>
        <v/>
      </c>
      <c r="W353">
        <f>IF($B353="","",IF($AI353=1,0,IF($AH353=1,Settings!$C$6,Settings!$C$7))*100)</f>
        <v/>
      </c>
      <c r="AA353" s="7" t="n"/>
      <c r="AD353" s="11" t="n"/>
      <c r="AF353">
        <f>IF($B353="","",IF(COUNTIF($B$2:$B353,$B353)=1,1,0))</f>
        <v/>
      </c>
      <c r="AG353">
        <f>IF($AF353=1,SUMPRODUCT(--($AJ$2:$AJ$1501&lt;$AJ353))+1,"")</f>
        <v/>
      </c>
      <c r="AH353">
        <f>IF($B353="","",IF(OR($M353=TRUE(),$M353="TRUE"),1,0))</f>
        <v/>
      </c>
      <c r="AI353">
        <f>IF($B353="","",IF($V353="Yes",1,0))</f>
        <v/>
      </c>
      <c r="AJ353">
        <f>IF($AF353=1,IFERROR(IF(VALUE($B353)&lt;100000000,VALUE($B353),1000000000),IFERROR(IF(VALUE(MID($B353,2,20))&lt;100000000,VALUE(MID($B353,2,20)),1000000000),1000000000))+ROW()/100000,"")</f>
        <v/>
      </c>
    </row>
    <row r="354">
      <c r="C354" s="11" t="n"/>
      <c r="J354" s="7">
        <f>IF($B354="","",I354*Q354/100)</f>
        <v/>
      </c>
      <c r="P354" s="7" t="n"/>
      <c r="Q354" s="7" t="n"/>
      <c r="R354" s="7">
        <f>IF($B354="","",Q354*W354/100)</f>
        <v/>
      </c>
      <c r="S354" s="7">
        <f>IF($B354="","",Q354-R354)</f>
        <v/>
      </c>
      <c r="T354" s="7">
        <f>IF($B354="","",S354-J354)</f>
        <v/>
      </c>
      <c r="W354">
        <f>IF($B354="","",IF($AI354=1,0,IF($AH354=1,Settings!$C$6,Settings!$C$7))*100)</f>
        <v/>
      </c>
      <c r="AA354" s="7" t="n"/>
      <c r="AD354" s="11" t="n"/>
      <c r="AF354">
        <f>IF($B354="","",IF(COUNTIF($B$2:$B354,$B354)=1,1,0))</f>
        <v/>
      </c>
      <c r="AG354">
        <f>IF($AF354=1,SUMPRODUCT(--($AJ$2:$AJ$1501&lt;$AJ354))+1,"")</f>
        <v/>
      </c>
      <c r="AH354">
        <f>IF($B354="","",IF(OR($M354=TRUE(),$M354="TRUE"),1,0))</f>
        <v/>
      </c>
      <c r="AI354">
        <f>IF($B354="","",IF($V354="Yes",1,0))</f>
        <v/>
      </c>
      <c r="AJ354">
        <f>IF($AF354=1,IFERROR(IF(VALUE($B354)&lt;100000000,VALUE($B354),1000000000),IFERROR(IF(VALUE(MID($B354,2,20))&lt;100000000,VALUE(MID($B354,2,20)),1000000000),1000000000))+ROW()/100000,"")</f>
        <v/>
      </c>
    </row>
    <row r="355">
      <c r="C355" s="11" t="n"/>
      <c r="J355" s="7">
        <f>IF($B355="","",I355*Q355/100)</f>
        <v/>
      </c>
      <c r="P355" s="7" t="n"/>
      <c r="Q355" s="7" t="n"/>
      <c r="R355" s="7">
        <f>IF($B355="","",Q355*W355/100)</f>
        <v/>
      </c>
      <c r="S355" s="7">
        <f>IF($B355="","",Q355-R355)</f>
        <v/>
      </c>
      <c r="T355" s="7">
        <f>IF($B355="","",S355-J355)</f>
        <v/>
      </c>
      <c r="W355">
        <f>IF($B355="","",IF($AI355=1,0,IF($AH355=1,Settings!$C$6,Settings!$C$7))*100)</f>
        <v/>
      </c>
      <c r="AA355" s="7" t="n"/>
      <c r="AD355" s="11" t="n"/>
      <c r="AF355">
        <f>IF($B355="","",IF(COUNTIF($B$2:$B355,$B355)=1,1,0))</f>
        <v/>
      </c>
      <c r="AG355">
        <f>IF($AF355=1,SUMPRODUCT(--($AJ$2:$AJ$1501&lt;$AJ355))+1,"")</f>
        <v/>
      </c>
      <c r="AH355">
        <f>IF($B355="","",IF(OR($M355=TRUE(),$M355="TRUE"),1,0))</f>
        <v/>
      </c>
      <c r="AI355">
        <f>IF($B355="","",IF($V355="Yes",1,0))</f>
        <v/>
      </c>
      <c r="AJ355">
        <f>IF($AF355=1,IFERROR(IF(VALUE($B355)&lt;100000000,VALUE($B355),1000000000),IFERROR(IF(VALUE(MID($B355,2,20))&lt;100000000,VALUE(MID($B355,2,20)),1000000000),1000000000))+ROW()/100000,"")</f>
        <v/>
      </c>
    </row>
    <row r="356">
      <c r="C356" s="11" t="n"/>
      <c r="J356" s="7">
        <f>IF($B356="","",I356*Q356/100)</f>
        <v/>
      </c>
      <c r="P356" s="7" t="n"/>
      <c r="Q356" s="7" t="n"/>
      <c r="R356" s="7">
        <f>IF($B356="","",Q356*W356/100)</f>
        <v/>
      </c>
      <c r="S356" s="7">
        <f>IF($B356="","",Q356-R356)</f>
        <v/>
      </c>
      <c r="T356" s="7">
        <f>IF($B356="","",S356-J356)</f>
        <v/>
      </c>
      <c r="W356">
        <f>IF($B356="","",IF($AI356=1,0,IF($AH356=1,Settings!$C$6,Settings!$C$7))*100)</f>
        <v/>
      </c>
      <c r="AA356" s="7" t="n"/>
      <c r="AD356" s="11" t="n"/>
      <c r="AF356">
        <f>IF($B356="","",IF(COUNTIF($B$2:$B356,$B356)=1,1,0))</f>
        <v/>
      </c>
      <c r="AG356">
        <f>IF($AF356=1,SUMPRODUCT(--($AJ$2:$AJ$1501&lt;$AJ356))+1,"")</f>
        <v/>
      </c>
      <c r="AH356">
        <f>IF($B356="","",IF(OR($M356=TRUE(),$M356="TRUE"),1,0))</f>
        <v/>
      </c>
      <c r="AI356">
        <f>IF($B356="","",IF($V356="Yes",1,0))</f>
        <v/>
      </c>
      <c r="AJ356">
        <f>IF($AF356=1,IFERROR(IF(VALUE($B356)&lt;100000000,VALUE($B356),1000000000),IFERROR(IF(VALUE(MID($B356,2,20))&lt;100000000,VALUE(MID($B356,2,20)),1000000000),1000000000))+ROW()/100000,"")</f>
        <v/>
      </c>
    </row>
    <row r="357">
      <c r="C357" s="11" t="n"/>
      <c r="J357" s="7">
        <f>IF($B357="","",I357*Q357/100)</f>
        <v/>
      </c>
      <c r="P357" s="7" t="n"/>
      <c r="Q357" s="7" t="n"/>
      <c r="R357" s="7">
        <f>IF($B357="","",Q357*W357/100)</f>
        <v/>
      </c>
      <c r="S357" s="7">
        <f>IF($B357="","",Q357-R357)</f>
        <v/>
      </c>
      <c r="T357" s="7">
        <f>IF($B357="","",S357-J357)</f>
        <v/>
      </c>
      <c r="W357">
        <f>IF($B357="","",IF($AI357=1,0,IF($AH357=1,Settings!$C$6,Settings!$C$7))*100)</f>
        <v/>
      </c>
      <c r="AA357" s="7" t="n"/>
      <c r="AD357" s="11" t="n"/>
      <c r="AF357">
        <f>IF($B357="","",IF(COUNTIF($B$2:$B357,$B357)=1,1,0))</f>
        <v/>
      </c>
      <c r="AG357">
        <f>IF($AF357=1,SUMPRODUCT(--($AJ$2:$AJ$1501&lt;$AJ357))+1,"")</f>
        <v/>
      </c>
      <c r="AH357">
        <f>IF($B357="","",IF(OR($M357=TRUE(),$M357="TRUE"),1,0))</f>
        <v/>
      </c>
      <c r="AI357">
        <f>IF($B357="","",IF($V357="Yes",1,0))</f>
        <v/>
      </c>
      <c r="AJ357">
        <f>IF($AF357=1,IFERROR(IF(VALUE($B357)&lt;100000000,VALUE($B357),1000000000),IFERROR(IF(VALUE(MID($B357,2,20))&lt;100000000,VALUE(MID($B357,2,20)),1000000000),1000000000))+ROW()/100000,"")</f>
        <v/>
      </c>
    </row>
    <row r="358">
      <c r="C358" s="11" t="n"/>
      <c r="J358" s="7">
        <f>IF($B358="","",I358*Q358/100)</f>
        <v/>
      </c>
      <c r="P358" s="7" t="n"/>
      <c r="Q358" s="7" t="n"/>
      <c r="R358" s="7">
        <f>IF($B358="","",Q358*W358/100)</f>
        <v/>
      </c>
      <c r="S358" s="7">
        <f>IF($B358="","",Q358-R358)</f>
        <v/>
      </c>
      <c r="T358" s="7">
        <f>IF($B358="","",S358-J358)</f>
        <v/>
      </c>
      <c r="W358">
        <f>IF($B358="","",IF($AI358=1,0,IF($AH358=1,Settings!$C$6,Settings!$C$7))*100)</f>
        <v/>
      </c>
      <c r="AA358" s="7" t="n"/>
      <c r="AD358" s="11" t="n"/>
      <c r="AF358">
        <f>IF($B358="","",IF(COUNTIF($B$2:$B358,$B358)=1,1,0))</f>
        <v/>
      </c>
      <c r="AG358">
        <f>IF($AF358=1,SUMPRODUCT(--($AJ$2:$AJ$1501&lt;$AJ358))+1,"")</f>
        <v/>
      </c>
      <c r="AH358">
        <f>IF($B358="","",IF(OR($M358=TRUE(),$M358="TRUE"),1,0))</f>
        <v/>
      </c>
      <c r="AI358">
        <f>IF($B358="","",IF($V358="Yes",1,0))</f>
        <v/>
      </c>
      <c r="AJ358">
        <f>IF($AF358=1,IFERROR(IF(VALUE($B358)&lt;100000000,VALUE($B358),1000000000),IFERROR(IF(VALUE(MID($B358,2,20))&lt;100000000,VALUE(MID($B358,2,20)),1000000000),1000000000))+ROW()/100000,"")</f>
        <v/>
      </c>
    </row>
    <row r="359">
      <c r="C359" s="11" t="n"/>
      <c r="J359" s="7">
        <f>IF($B359="","",I359*Q359/100)</f>
        <v/>
      </c>
      <c r="P359" s="7" t="n"/>
      <c r="Q359" s="7" t="n"/>
      <c r="R359" s="7">
        <f>IF($B359="","",Q359*W359/100)</f>
        <v/>
      </c>
      <c r="S359" s="7">
        <f>IF($B359="","",Q359-R359)</f>
        <v/>
      </c>
      <c r="T359" s="7">
        <f>IF($B359="","",S359-J359)</f>
        <v/>
      </c>
      <c r="W359">
        <f>IF($B359="","",IF($AI359=1,0,IF($AH359=1,Settings!$C$6,Settings!$C$7))*100)</f>
        <v/>
      </c>
      <c r="AA359" s="7" t="n"/>
      <c r="AD359" s="11" t="n"/>
      <c r="AF359">
        <f>IF($B359="","",IF(COUNTIF($B$2:$B359,$B359)=1,1,0))</f>
        <v/>
      </c>
      <c r="AG359">
        <f>IF($AF359=1,SUMPRODUCT(--($AJ$2:$AJ$1501&lt;$AJ359))+1,"")</f>
        <v/>
      </c>
      <c r="AH359">
        <f>IF($B359="","",IF(OR($M359=TRUE(),$M359="TRUE"),1,0))</f>
        <v/>
      </c>
      <c r="AI359">
        <f>IF($B359="","",IF($V359="Yes",1,0))</f>
        <v/>
      </c>
      <c r="AJ359">
        <f>IF($AF359=1,IFERROR(IF(VALUE($B359)&lt;100000000,VALUE($B359),1000000000),IFERROR(IF(VALUE(MID($B359,2,20))&lt;100000000,VALUE(MID($B359,2,20)),1000000000),1000000000))+ROW()/100000,"")</f>
        <v/>
      </c>
    </row>
    <row r="360">
      <c r="C360" s="11" t="n"/>
      <c r="J360" s="7">
        <f>IF($B360="","",I360*Q360/100)</f>
        <v/>
      </c>
      <c r="P360" s="7" t="n"/>
      <c r="Q360" s="7" t="n"/>
      <c r="R360" s="7">
        <f>IF($B360="","",Q360*W360/100)</f>
        <v/>
      </c>
      <c r="S360" s="7">
        <f>IF($B360="","",Q360-R360)</f>
        <v/>
      </c>
      <c r="T360" s="7">
        <f>IF($B360="","",S360-J360)</f>
        <v/>
      </c>
      <c r="W360">
        <f>IF($B360="","",IF($AI360=1,0,IF($AH360=1,Settings!$C$6,Settings!$C$7))*100)</f>
        <v/>
      </c>
      <c r="AA360" s="7" t="n"/>
      <c r="AD360" s="11" t="n"/>
      <c r="AF360">
        <f>IF($B360="","",IF(COUNTIF($B$2:$B360,$B360)=1,1,0))</f>
        <v/>
      </c>
      <c r="AG360">
        <f>IF($AF360=1,SUMPRODUCT(--($AJ$2:$AJ$1501&lt;$AJ360))+1,"")</f>
        <v/>
      </c>
      <c r="AH360">
        <f>IF($B360="","",IF(OR($M360=TRUE(),$M360="TRUE"),1,0))</f>
        <v/>
      </c>
      <c r="AI360">
        <f>IF($B360="","",IF($V360="Yes",1,0))</f>
        <v/>
      </c>
      <c r="AJ360">
        <f>IF($AF360=1,IFERROR(IF(VALUE($B360)&lt;100000000,VALUE($B360),1000000000),IFERROR(IF(VALUE(MID($B360,2,20))&lt;100000000,VALUE(MID($B360,2,20)),1000000000),1000000000))+ROW()/100000,"")</f>
        <v/>
      </c>
    </row>
    <row r="361">
      <c r="C361" s="11" t="n"/>
      <c r="J361" s="7">
        <f>IF($B361="","",I361*Q361/100)</f>
        <v/>
      </c>
      <c r="P361" s="7" t="n"/>
      <c r="Q361" s="7" t="n"/>
      <c r="R361" s="7">
        <f>IF($B361="","",Q361*W361/100)</f>
        <v/>
      </c>
      <c r="S361" s="7">
        <f>IF($B361="","",Q361-R361)</f>
        <v/>
      </c>
      <c r="T361" s="7">
        <f>IF($B361="","",S361-J361)</f>
        <v/>
      </c>
      <c r="W361">
        <f>IF($B361="","",IF($AI361=1,0,IF($AH361=1,Settings!$C$6,Settings!$C$7))*100)</f>
        <v/>
      </c>
      <c r="AA361" s="7" t="n"/>
      <c r="AD361" s="11" t="n"/>
      <c r="AF361">
        <f>IF($B361="","",IF(COUNTIF($B$2:$B361,$B361)=1,1,0))</f>
        <v/>
      </c>
      <c r="AG361">
        <f>IF($AF361=1,SUMPRODUCT(--($AJ$2:$AJ$1501&lt;$AJ361))+1,"")</f>
        <v/>
      </c>
      <c r="AH361">
        <f>IF($B361="","",IF(OR($M361=TRUE(),$M361="TRUE"),1,0))</f>
        <v/>
      </c>
      <c r="AI361">
        <f>IF($B361="","",IF($V361="Yes",1,0))</f>
        <v/>
      </c>
      <c r="AJ361">
        <f>IF($AF361=1,IFERROR(IF(VALUE($B361)&lt;100000000,VALUE($B361),1000000000),IFERROR(IF(VALUE(MID($B361,2,20))&lt;100000000,VALUE(MID($B361,2,20)),1000000000),1000000000))+ROW()/100000,"")</f>
        <v/>
      </c>
    </row>
    <row r="362">
      <c r="C362" s="11" t="n"/>
      <c r="J362" s="7">
        <f>IF($B362="","",I362*Q362/100)</f>
        <v/>
      </c>
      <c r="P362" s="7" t="n"/>
      <c r="Q362" s="7" t="n"/>
      <c r="R362" s="7">
        <f>IF($B362="","",Q362*W362/100)</f>
        <v/>
      </c>
      <c r="S362" s="7">
        <f>IF($B362="","",Q362-R362)</f>
        <v/>
      </c>
      <c r="T362" s="7">
        <f>IF($B362="","",S362-J362)</f>
        <v/>
      </c>
      <c r="W362">
        <f>IF($B362="","",IF($AI362=1,0,IF($AH362=1,Settings!$C$6,Settings!$C$7))*100)</f>
        <v/>
      </c>
      <c r="AA362" s="7" t="n"/>
      <c r="AD362" s="11" t="n"/>
      <c r="AF362">
        <f>IF($B362="","",IF(COUNTIF($B$2:$B362,$B362)=1,1,0))</f>
        <v/>
      </c>
      <c r="AG362">
        <f>IF($AF362=1,SUMPRODUCT(--($AJ$2:$AJ$1501&lt;$AJ362))+1,"")</f>
        <v/>
      </c>
      <c r="AH362">
        <f>IF($B362="","",IF(OR($M362=TRUE(),$M362="TRUE"),1,0))</f>
        <v/>
      </c>
      <c r="AI362">
        <f>IF($B362="","",IF($V362="Yes",1,0))</f>
        <v/>
      </c>
      <c r="AJ362">
        <f>IF($AF362=1,IFERROR(IF(VALUE($B362)&lt;100000000,VALUE($B362),1000000000),IFERROR(IF(VALUE(MID($B362,2,20))&lt;100000000,VALUE(MID($B362,2,20)),1000000000),1000000000))+ROW()/100000,"")</f>
        <v/>
      </c>
    </row>
    <row r="363">
      <c r="C363" s="11" t="n"/>
      <c r="J363" s="7">
        <f>IF($B363="","",I363*Q363/100)</f>
        <v/>
      </c>
      <c r="P363" s="7" t="n"/>
      <c r="Q363" s="7" t="n"/>
      <c r="R363" s="7">
        <f>IF($B363="","",Q363*W363/100)</f>
        <v/>
      </c>
      <c r="S363" s="7">
        <f>IF($B363="","",Q363-R363)</f>
        <v/>
      </c>
      <c r="T363" s="7">
        <f>IF($B363="","",S363-J363)</f>
        <v/>
      </c>
      <c r="W363">
        <f>IF($B363="","",IF($AI363=1,0,IF($AH363=1,Settings!$C$6,Settings!$C$7))*100)</f>
        <v/>
      </c>
      <c r="AA363" s="7" t="n"/>
      <c r="AD363" s="11" t="n"/>
      <c r="AF363">
        <f>IF($B363="","",IF(COUNTIF($B$2:$B363,$B363)=1,1,0))</f>
        <v/>
      </c>
      <c r="AG363">
        <f>IF($AF363=1,SUMPRODUCT(--($AJ$2:$AJ$1501&lt;$AJ363))+1,"")</f>
        <v/>
      </c>
      <c r="AH363">
        <f>IF($B363="","",IF(OR($M363=TRUE(),$M363="TRUE"),1,0))</f>
        <v/>
      </c>
      <c r="AI363">
        <f>IF($B363="","",IF($V363="Yes",1,0))</f>
        <v/>
      </c>
      <c r="AJ363">
        <f>IF($AF363=1,IFERROR(IF(VALUE($B363)&lt;100000000,VALUE($B363),1000000000),IFERROR(IF(VALUE(MID($B363,2,20))&lt;100000000,VALUE(MID($B363,2,20)),1000000000),1000000000))+ROW()/100000,"")</f>
        <v/>
      </c>
    </row>
    <row r="364">
      <c r="C364" s="11" t="n"/>
      <c r="J364" s="7">
        <f>IF($B364="","",I364*Q364/100)</f>
        <v/>
      </c>
      <c r="P364" s="7" t="n"/>
      <c r="Q364" s="7" t="n"/>
      <c r="R364" s="7">
        <f>IF($B364="","",Q364*W364/100)</f>
        <v/>
      </c>
      <c r="S364" s="7">
        <f>IF($B364="","",Q364-R364)</f>
        <v/>
      </c>
      <c r="T364" s="7">
        <f>IF($B364="","",S364-J364)</f>
        <v/>
      </c>
      <c r="W364">
        <f>IF($B364="","",IF($AI364=1,0,IF($AH364=1,Settings!$C$6,Settings!$C$7))*100)</f>
        <v/>
      </c>
      <c r="AA364" s="7" t="n"/>
      <c r="AD364" s="11" t="n"/>
      <c r="AF364">
        <f>IF($B364="","",IF(COUNTIF($B$2:$B364,$B364)=1,1,0))</f>
        <v/>
      </c>
      <c r="AG364">
        <f>IF($AF364=1,SUMPRODUCT(--($AJ$2:$AJ$1501&lt;$AJ364))+1,"")</f>
        <v/>
      </c>
      <c r="AH364">
        <f>IF($B364="","",IF(OR($M364=TRUE(),$M364="TRUE"),1,0))</f>
        <v/>
      </c>
      <c r="AI364">
        <f>IF($B364="","",IF($V364="Yes",1,0))</f>
        <v/>
      </c>
      <c r="AJ364">
        <f>IF($AF364=1,IFERROR(IF(VALUE($B364)&lt;100000000,VALUE($B364),1000000000),IFERROR(IF(VALUE(MID($B364,2,20))&lt;100000000,VALUE(MID($B364,2,20)),1000000000),1000000000))+ROW()/100000,"")</f>
        <v/>
      </c>
    </row>
    <row r="365">
      <c r="C365" s="11" t="n"/>
      <c r="J365" s="7">
        <f>IF($B365="","",I365*Q365/100)</f>
        <v/>
      </c>
      <c r="P365" s="7" t="n"/>
      <c r="Q365" s="7" t="n"/>
      <c r="R365" s="7">
        <f>IF($B365="","",Q365*W365/100)</f>
        <v/>
      </c>
      <c r="S365" s="7">
        <f>IF($B365="","",Q365-R365)</f>
        <v/>
      </c>
      <c r="T365" s="7">
        <f>IF($B365="","",S365-J365)</f>
        <v/>
      </c>
      <c r="W365">
        <f>IF($B365="","",IF($AI365=1,0,IF($AH365=1,Settings!$C$6,Settings!$C$7))*100)</f>
        <v/>
      </c>
      <c r="AA365" s="7" t="n"/>
      <c r="AD365" s="11" t="n"/>
      <c r="AF365">
        <f>IF($B365="","",IF(COUNTIF($B$2:$B365,$B365)=1,1,0))</f>
        <v/>
      </c>
      <c r="AG365">
        <f>IF($AF365=1,SUMPRODUCT(--($AJ$2:$AJ$1501&lt;$AJ365))+1,"")</f>
        <v/>
      </c>
      <c r="AH365">
        <f>IF($B365="","",IF(OR($M365=TRUE(),$M365="TRUE"),1,0))</f>
        <v/>
      </c>
      <c r="AI365">
        <f>IF($B365="","",IF($V365="Yes",1,0))</f>
        <v/>
      </c>
      <c r="AJ365">
        <f>IF($AF365=1,IFERROR(IF(VALUE($B365)&lt;100000000,VALUE($B365),1000000000),IFERROR(IF(VALUE(MID($B365,2,20))&lt;100000000,VALUE(MID($B365,2,20)),1000000000),1000000000))+ROW()/100000,"")</f>
        <v/>
      </c>
    </row>
    <row r="366">
      <c r="C366" s="11" t="n"/>
      <c r="J366" s="7">
        <f>IF($B366="","",I366*Q366/100)</f>
        <v/>
      </c>
      <c r="P366" s="7" t="n"/>
      <c r="Q366" s="7" t="n"/>
      <c r="R366" s="7">
        <f>IF($B366="","",Q366*W366/100)</f>
        <v/>
      </c>
      <c r="S366" s="7">
        <f>IF($B366="","",Q366-R366)</f>
        <v/>
      </c>
      <c r="T366" s="7">
        <f>IF($B366="","",S366-J366)</f>
        <v/>
      </c>
      <c r="W366">
        <f>IF($B366="","",IF($AI366=1,0,IF($AH366=1,Settings!$C$6,Settings!$C$7))*100)</f>
        <v/>
      </c>
      <c r="AA366" s="7" t="n"/>
      <c r="AD366" s="11" t="n"/>
      <c r="AF366">
        <f>IF($B366="","",IF(COUNTIF($B$2:$B366,$B366)=1,1,0))</f>
        <v/>
      </c>
      <c r="AG366">
        <f>IF($AF366=1,SUMPRODUCT(--($AJ$2:$AJ$1501&lt;$AJ366))+1,"")</f>
        <v/>
      </c>
      <c r="AH366">
        <f>IF($B366="","",IF(OR($M366=TRUE(),$M366="TRUE"),1,0))</f>
        <v/>
      </c>
      <c r="AI366">
        <f>IF($B366="","",IF($V366="Yes",1,0))</f>
        <v/>
      </c>
      <c r="AJ366">
        <f>IF($AF366=1,IFERROR(IF(VALUE($B366)&lt;100000000,VALUE($B366),1000000000),IFERROR(IF(VALUE(MID($B366,2,20))&lt;100000000,VALUE(MID($B366,2,20)),1000000000),1000000000))+ROW()/100000,"")</f>
        <v/>
      </c>
    </row>
    <row r="367">
      <c r="C367" s="11" t="n"/>
      <c r="J367" s="7">
        <f>IF($B367="","",I367*Q367/100)</f>
        <v/>
      </c>
      <c r="P367" s="7" t="n"/>
      <c r="Q367" s="7" t="n"/>
      <c r="R367" s="7">
        <f>IF($B367="","",Q367*W367/100)</f>
        <v/>
      </c>
      <c r="S367" s="7">
        <f>IF($B367="","",Q367-R367)</f>
        <v/>
      </c>
      <c r="T367" s="7">
        <f>IF($B367="","",S367-J367)</f>
        <v/>
      </c>
      <c r="W367">
        <f>IF($B367="","",IF($AI367=1,0,IF($AH367=1,Settings!$C$6,Settings!$C$7))*100)</f>
        <v/>
      </c>
      <c r="AA367" s="7" t="n"/>
      <c r="AD367" s="11" t="n"/>
      <c r="AF367">
        <f>IF($B367="","",IF(COUNTIF($B$2:$B367,$B367)=1,1,0))</f>
        <v/>
      </c>
      <c r="AG367">
        <f>IF($AF367=1,SUMPRODUCT(--($AJ$2:$AJ$1501&lt;$AJ367))+1,"")</f>
        <v/>
      </c>
      <c r="AH367">
        <f>IF($B367="","",IF(OR($M367=TRUE(),$M367="TRUE"),1,0))</f>
        <v/>
      </c>
      <c r="AI367">
        <f>IF($B367="","",IF($V367="Yes",1,0))</f>
        <v/>
      </c>
      <c r="AJ367">
        <f>IF($AF367=1,IFERROR(IF(VALUE($B367)&lt;100000000,VALUE($B367),1000000000),IFERROR(IF(VALUE(MID($B367,2,20))&lt;100000000,VALUE(MID($B367,2,20)),1000000000),1000000000))+ROW()/100000,"")</f>
        <v/>
      </c>
    </row>
    <row r="368">
      <c r="C368" s="11" t="n"/>
      <c r="J368" s="7">
        <f>IF($B368="","",I368*Q368/100)</f>
        <v/>
      </c>
      <c r="P368" s="7" t="n"/>
      <c r="Q368" s="7" t="n"/>
      <c r="R368" s="7">
        <f>IF($B368="","",Q368*W368/100)</f>
        <v/>
      </c>
      <c r="S368" s="7">
        <f>IF($B368="","",Q368-R368)</f>
        <v/>
      </c>
      <c r="T368" s="7">
        <f>IF($B368="","",S368-J368)</f>
        <v/>
      </c>
      <c r="W368">
        <f>IF($B368="","",IF($AI368=1,0,IF($AH368=1,Settings!$C$6,Settings!$C$7))*100)</f>
        <v/>
      </c>
      <c r="AA368" s="7" t="n"/>
      <c r="AD368" s="11" t="n"/>
      <c r="AF368">
        <f>IF($B368="","",IF(COUNTIF($B$2:$B368,$B368)=1,1,0))</f>
        <v/>
      </c>
      <c r="AG368">
        <f>IF($AF368=1,SUMPRODUCT(--($AJ$2:$AJ$1501&lt;$AJ368))+1,"")</f>
        <v/>
      </c>
      <c r="AH368">
        <f>IF($B368="","",IF(OR($M368=TRUE(),$M368="TRUE"),1,0))</f>
        <v/>
      </c>
      <c r="AI368">
        <f>IF($B368="","",IF($V368="Yes",1,0))</f>
        <v/>
      </c>
      <c r="AJ368">
        <f>IF($AF368=1,IFERROR(IF(VALUE($B368)&lt;100000000,VALUE($B368),1000000000),IFERROR(IF(VALUE(MID($B368,2,20))&lt;100000000,VALUE(MID($B368,2,20)),1000000000),1000000000))+ROW()/100000,"")</f>
        <v/>
      </c>
    </row>
    <row r="369">
      <c r="C369" s="11" t="n"/>
      <c r="J369" s="7">
        <f>IF($B369="","",I369*Q369/100)</f>
        <v/>
      </c>
      <c r="P369" s="7" t="n"/>
      <c r="Q369" s="7" t="n"/>
      <c r="R369" s="7">
        <f>IF($B369="","",Q369*W369/100)</f>
        <v/>
      </c>
      <c r="S369" s="7">
        <f>IF($B369="","",Q369-R369)</f>
        <v/>
      </c>
      <c r="T369" s="7">
        <f>IF($B369="","",S369-J369)</f>
        <v/>
      </c>
      <c r="W369">
        <f>IF($B369="","",IF($AI369=1,0,IF($AH369=1,Settings!$C$6,Settings!$C$7))*100)</f>
        <v/>
      </c>
      <c r="AA369" s="7" t="n"/>
      <c r="AD369" s="11" t="n"/>
      <c r="AF369">
        <f>IF($B369="","",IF(COUNTIF($B$2:$B369,$B369)=1,1,0))</f>
        <v/>
      </c>
      <c r="AG369">
        <f>IF($AF369=1,SUMPRODUCT(--($AJ$2:$AJ$1501&lt;$AJ369))+1,"")</f>
        <v/>
      </c>
      <c r="AH369">
        <f>IF($B369="","",IF(OR($M369=TRUE(),$M369="TRUE"),1,0))</f>
        <v/>
      </c>
      <c r="AI369">
        <f>IF($B369="","",IF($V369="Yes",1,0))</f>
        <v/>
      </c>
      <c r="AJ369">
        <f>IF($AF369=1,IFERROR(IF(VALUE($B369)&lt;100000000,VALUE($B369),1000000000),IFERROR(IF(VALUE(MID($B369,2,20))&lt;100000000,VALUE(MID($B369,2,20)),1000000000),1000000000))+ROW()/100000,"")</f>
        <v/>
      </c>
    </row>
    <row r="370">
      <c r="C370" s="11" t="n"/>
      <c r="J370" s="7">
        <f>IF($B370="","",I370*Q370/100)</f>
        <v/>
      </c>
      <c r="P370" s="7" t="n"/>
      <c r="Q370" s="7" t="n"/>
      <c r="R370" s="7">
        <f>IF($B370="","",Q370*W370/100)</f>
        <v/>
      </c>
      <c r="S370" s="7">
        <f>IF($B370="","",Q370-R370)</f>
        <v/>
      </c>
      <c r="T370" s="7">
        <f>IF($B370="","",S370-J370)</f>
        <v/>
      </c>
      <c r="W370">
        <f>IF($B370="","",IF($AI370=1,0,IF($AH370=1,Settings!$C$6,Settings!$C$7))*100)</f>
        <v/>
      </c>
      <c r="AA370" s="7" t="n"/>
      <c r="AD370" s="11" t="n"/>
      <c r="AF370">
        <f>IF($B370="","",IF(COUNTIF($B$2:$B370,$B370)=1,1,0))</f>
        <v/>
      </c>
      <c r="AG370">
        <f>IF($AF370=1,SUMPRODUCT(--($AJ$2:$AJ$1501&lt;$AJ370))+1,"")</f>
        <v/>
      </c>
      <c r="AH370">
        <f>IF($B370="","",IF(OR($M370=TRUE(),$M370="TRUE"),1,0))</f>
        <v/>
      </c>
      <c r="AI370">
        <f>IF($B370="","",IF($V370="Yes",1,0))</f>
        <v/>
      </c>
      <c r="AJ370">
        <f>IF($AF370=1,IFERROR(IF(VALUE($B370)&lt;100000000,VALUE($B370),1000000000),IFERROR(IF(VALUE(MID($B370,2,20))&lt;100000000,VALUE(MID($B370,2,20)),1000000000),1000000000))+ROW()/100000,"")</f>
        <v/>
      </c>
    </row>
    <row r="371">
      <c r="C371" s="11" t="n"/>
      <c r="J371" s="7">
        <f>IF($B371="","",I371*Q371/100)</f>
        <v/>
      </c>
      <c r="P371" s="7" t="n"/>
      <c r="Q371" s="7" t="n"/>
      <c r="R371" s="7">
        <f>IF($B371="","",Q371*W371/100)</f>
        <v/>
      </c>
      <c r="S371" s="7">
        <f>IF($B371="","",Q371-R371)</f>
        <v/>
      </c>
      <c r="T371" s="7">
        <f>IF($B371="","",S371-J371)</f>
        <v/>
      </c>
      <c r="W371">
        <f>IF($B371="","",IF($AI371=1,0,IF($AH371=1,Settings!$C$6,Settings!$C$7))*100)</f>
        <v/>
      </c>
      <c r="AA371" s="7" t="n"/>
      <c r="AD371" s="11" t="n"/>
      <c r="AF371">
        <f>IF($B371="","",IF(COUNTIF($B$2:$B371,$B371)=1,1,0))</f>
        <v/>
      </c>
      <c r="AG371">
        <f>IF($AF371=1,SUMPRODUCT(--($AJ$2:$AJ$1501&lt;$AJ371))+1,"")</f>
        <v/>
      </c>
      <c r="AH371">
        <f>IF($B371="","",IF(OR($M371=TRUE(),$M371="TRUE"),1,0))</f>
        <v/>
      </c>
      <c r="AI371">
        <f>IF($B371="","",IF($V371="Yes",1,0))</f>
        <v/>
      </c>
      <c r="AJ371">
        <f>IF($AF371=1,IFERROR(IF(VALUE($B371)&lt;100000000,VALUE($B371),1000000000),IFERROR(IF(VALUE(MID($B371,2,20))&lt;100000000,VALUE(MID($B371,2,20)),1000000000),1000000000))+ROW()/100000,"")</f>
        <v/>
      </c>
    </row>
    <row r="372">
      <c r="C372" s="11" t="n"/>
      <c r="J372" s="7">
        <f>IF($B372="","",I372*Q372/100)</f>
        <v/>
      </c>
      <c r="P372" s="7" t="n"/>
      <c r="Q372" s="7" t="n"/>
      <c r="R372" s="7">
        <f>IF($B372="","",Q372*W372/100)</f>
        <v/>
      </c>
      <c r="S372" s="7">
        <f>IF($B372="","",Q372-R372)</f>
        <v/>
      </c>
      <c r="T372" s="7">
        <f>IF($B372="","",S372-J372)</f>
        <v/>
      </c>
      <c r="W372">
        <f>IF($B372="","",IF($AI372=1,0,IF($AH372=1,Settings!$C$6,Settings!$C$7))*100)</f>
        <v/>
      </c>
      <c r="AA372" s="7" t="n"/>
      <c r="AD372" s="11" t="n"/>
      <c r="AF372">
        <f>IF($B372="","",IF(COUNTIF($B$2:$B372,$B372)=1,1,0))</f>
        <v/>
      </c>
      <c r="AG372">
        <f>IF($AF372=1,SUMPRODUCT(--($AJ$2:$AJ$1501&lt;$AJ372))+1,"")</f>
        <v/>
      </c>
      <c r="AH372">
        <f>IF($B372="","",IF(OR($M372=TRUE(),$M372="TRUE"),1,0))</f>
        <v/>
      </c>
      <c r="AI372">
        <f>IF($B372="","",IF($V372="Yes",1,0))</f>
        <v/>
      </c>
      <c r="AJ372">
        <f>IF($AF372=1,IFERROR(IF(VALUE($B372)&lt;100000000,VALUE($B372),1000000000),IFERROR(IF(VALUE(MID($B372,2,20))&lt;100000000,VALUE(MID($B372,2,20)),1000000000),1000000000))+ROW()/100000,"")</f>
        <v/>
      </c>
    </row>
    <row r="373">
      <c r="C373" s="11" t="n"/>
      <c r="J373" s="7">
        <f>IF($B373="","",I373*Q373/100)</f>
        <v/>
      </c>
      <c r="P373" s="7" t="n"/>
      <c r="Q373" s="7" t="n"/>
      <c r="R373" s="7">
        <f>IF($B373="","",Q373*W373/100)</f>
        <v/>
      </c>
      <c r="S373" s="7">
        <f>IF($B373="","",Q373-R373)</f>
        <v/>
      </c>
      <c r="T373" s="7">
        <f>IF($B373="","",S373-J373)</f>
        <v/>
      </c>
      <c r="W373">
        <f>IF($B373="","",IF($AI373=1,0,IF($AH373=1,Settings!$C$6,Settings!$C$7))*100)</f>
        <v/>
      </c>
      <c r="AA373" s="7" t="n"/>
      <c r="AD373" s="11" t="n"/>
      <c r="AF373">
        <f>IF($B373="","",IF(COUNTIF($B$2:$B373,$B373)=1,1,0))</f>
        <v/>
      </c>
      <c r="AG373">
        <f>IF($AF373=1,SUMPRODUCT(--($AJ$2:$AJ$1501&lt;$AJ373))+1,"")</f>
        <v/>
      </c>
      <c r="AH373">
        <f>IF($B373="","",IF(OR($M373=TRUE(),$M373="TRUE"),1,0))</f>
        <v/>
      </c>
      <c r="AI373">
        <f>IF($B373="","",IF($V373="Yes",1,0))</f>
        <v/>
      </c>
      <c r="AJ373">
        <f>IF($AF373=1,IFERROR(IF(VALUE($B373)&lt;100000000,VALUE($B373),1000000000),IFERROR(IF(VALUE(MID($B373,2,20))&lt;100000000,VALUE(MID($B373,2,20)),1000000000),1000000000))+ROW()/100000,"")</f>
        <v/>
      </c>
    </row>
    <row r="374">
      <c r="C374" s="11" t="n"/>
      <c r="J374" s="7">
        <f>IF($B374="","",I374*Q374/100)</f>
        <v/>
      </c>
      <c r="P374" s="7" t="n"/>
      <c r="Q374" s="7" t="n"/>
      <c r="R374" s="7">
        <f>IF($B374="","",Q374*W374/100)</f>
        <v/>
      </c>
      <c r="S374" s="7">
        <f>IF($B374="","",Q374-R374)</f>
        <v/>
      </c>
      <c r="T374" s="7">
        <f>IF($B374="","",S374-J374)</f>
        <v/>
      </c>
      <c r="W374">
        <f>IF($B374="","",IF($AI374=1,0,IF($AH374=1,Settings!$C$6,Settings!$C$7))*100)</f>
        <v/>
      </c>
      <c r="AA374" s="7" t="n"/>
      <c r="AD374" s="11" t="n"/>
      <c r="AF374">
        <f>IF($B374="","",IF(COUNTIF($B$2:$B374,$B374)=1,1,0))</f>
        <v/>
      </c>
      <c r="AG374">
        <f>IF($AF374=1,SUMPRODUCT(--($AJ$2:$AJ$1501&lt;$AJ374))+1,"")</f>
        <v/>
      </c>
      <c r="AH374">
        <f>IF($B374="","",IF(OR($M374=TRUE(),$M374="TRUE"),1,0))</f>
        <v/>
      </c>
      <c r="AI374">
        <f>IF($B374="","",IF($V374="Yes",1,0))</f>
        <v/>
      </c>
      <c r="AJ374">
        <f>IF($AF374=1,IFERROR(IF(VALUE($B374)&lt;100000000,VALUE($B374),1000000000),IFERROR(IF(VALUE(MID($B374,2,20))&lt;100000000,VALUE(MID($B374,2,20)),1000000000),1000000000))+ROW()/100000,"")</f>
        <v/>
      </c>
    </row>
    <row r="375">
      <c r="C375" s="11" t="n"/>
      <c r="J375" s="7">
        <f>IF($B375="","",I375*Q375/100)</f>
        <v/>
      </c>
      <c r="P375" s="7" t="n"/>
      <c r="Q375" s="7" t="n"/>
      <c r="R375" s="7">
        <f>IF($B375="","",Q375*W375/100)</f>
        <v/>
      </c>
      <c r="S375" s="7">
        <f>IF($B375="","",Q375-R375)</f>
        <v/>
      </c>
      <c r="T375" s="7">
        <f>IF($B375="","",S375-J375)</f>
        <v/>
      </c>
      <c r="W375">
        <f>IF($B375="","",IF($AI375=1,0,IF($AH375=1,Settings!$C$6,Settings!$C$7))*100)</f>
        <v/>
      </c>
      <c r="AA375" s="7" t="n"/>
      <c r="AD375" s="11" t="n"/>
      <c r="AF375">
        <f>IF($B375="","",IF(COUNTIF($B$2:$B375,$B375)=1,1,0))</f>
        <v/>
      </c>
      <c r="AG375">
        <f>IF($AF375=1,SUMPRODUCT(--($AJ$2:$AJ$1501&lt;$AJ375))+1,"")</f>
        <v/>
      </c>
      <c r="AH375">
        <f>IF($B375="","",IF(OR($M375=TRUE(),$M375="TRUE"),1,0))</f>
        <v/>
      </c>
      <c r="AI375">
        <f>IF($B375="","",IF($V375="Yes",1,0))</f>
        <v/>
      </c>
      <c r="AJ375">
        <f>IF($AF375=1,IFERROR(IF(VALUE($B375)&lt;100000000,VALUE($B375),1000000000),IFERROR(IF(VALUE(MID($B375,2,20))&lt;100000000,VALUE(MID($B375,2,20)),1000000000),1000000000))+ROW()/100000,"")</f>
        <v/>
      </c>
    </row>
    <row r="376">
      <c r="C376" s="11" t="n"/>
      <c r="J376" s="7">
        <f>IF($B376="","",I376*Q376/100)</f>
        <v/>
      </c>
      <c r="P376" s="7" t="n"/>
      <c r="Q376" s="7" t="n"/>
      <c r="R376" s="7">
        <f>IF($B376="","",Q376*W376/100)</f>
        <v/>
      </c>
      <c r="S376" s="7">
        <f>IF($B376="","",Q376-R376)</f>
        <v/>
      </c>
      <c r="T376" s="7">
        <f>IF($B376="","",S376-J376)</f>
        <v/>
      </c>
      <c r="W376">
        <f>IF($B376="","",IF($AI376=1,0,IF($AH376=1,Settings!$C$6,Settings!$C$7))*100)</f>
        <v/>
      </c>
      <c r="AA376" s="7" t="n"/>
      <c r="AD376" s="11" t="n"/>
      <c r="AF376">
        <f>IF($B376="","",IF(COUNTIF($B$2:$B376,$B376)=1,1,0))</f>
        <v/>
      </c>
      <c r="AG376">
        <f>IF($AF376=1,SUMPRODUCT(--($AJ$2:$AJ$1501&lt;$AJ376))+1,"")</f>
        <v/>
      </c>
      <c r="AH376">
        <f>IF($B376="","",IF(OR($M376=TRUE(),$M376="TRUE"),1,0))</f>
        <v/>
      </c>
      <c r="AI376">
        <f>IF($B376="","",IF($V376="Yes",1,0))</f>
        <v/>
      </c>
      <c r="AJ376">
        <f>IF($AF376=1,IFERROR(IF(VALUE($B376)&lt;100000000,VALUE($B376),1000000000),IFERROR(IF(VALUE(MID($B376,2,20))&lt;100000000,VALUE(MID($B376,2,20)),1000000000),1000000000))+ROW()/100000,"")</f>
        <v/>
      </c>
    </row>
    <row r="377">
      <c r="C377" s="11" t="n"/>
      <c r="J377" s="7">
        <f>IF($B377="","",I377*Q377/100)</f>
        <v/>
      </c>
      <c r="P377" s="7" t="n"/>
      <c r="Q377" s="7" t="n"/>
      <c r="R377" s="7">
        <f>IF($B377="","",Q377*W377/100)</f>
        <v/>
      </c>
      <c r="S377" s="7">
        <f>IF($B377="","",Q377-R377)</f>
        <v/>
      </c>
      <c r="T377" s="7">
        <f>IF($B377="","",S377-J377)</f>
        <v/>
      </c>
      <c r="W377">
        <f>IF($B377="","",IF($AI377=1,0,IF($AH377=1,Settings!$C$6,Settings!$C$7))*100)</f>
        <v/>
      </c>
      <c r="AA377" s="7" t="n"/>
      <c r="AD377" s="11" t="n"/>
      <c r="AF377">
        <f>IF($B377="","",IF(COUNTIF($B$2:$B377,$B377)=1,1,0))</f>
        <v/>
      </c>
      <c r="AG377">
        <f>IF($AF377=1,SUMPRODUCT(--($AJ$2:$AJ$1501&lt;$AJ377))+1,"")</f>
        <v/>
      </c>
      <c r="AH377">
        <f>IF($B377="","",IF(OR($M377=TRUE(),$M377="TRUE"),1,0))</f>
        <v/>
      </c>
      <c r="AI377">
        <f>IF($B377="","",IF($V377="Yes",1,0))</f>
        <v/>
      </c>
      <c r="AJ377">
        <f>IF($AF377=1,IFERROR(IF(VALUE($B377)&lt;100000000,VALUE($B377),1000000000),IFERROR(IF(VALUE(MID($B377,2,20))&lt;100000000,VALUE(MID($B377,2,20)),1000000000),1000000000))+ROW()/100000,"")</f>
        <v/>
      </c>
    </row>
    <row r="378">
      <c r="C378" s="11" t="n"/>
      <c r="J378" s="7">
        <f>IF($B378="","",I378*Q378/100)</f>
        <v/>
      </c>
      <c r="P378" s="7" t="n"/>
      <c r="Q378" s="7" t="n"/>
      <c r="R378" s="7">
        <f>IF($B378="","",Q378*W378/100)</f>
        <v/>
      </c>
      <c r="S378" s="7">
        <f>IF($B378="","",Q378-R378)</f>
        <v/>
      </c>
      <c r="T378" s="7">
        <f>IF($B378="","",S378-J378)</f>
        <v/>
      </c>
      <c r="W378">
        <f>IF($B378="","",IF($AI378=1,0,IF($AH378=1,Settings!$C$6,Settings!$C$7))*100)</f>
        <v/>
      </c>
      <c r="AA378" s="7" t="n"/>
      <c r="AD378" s="11" t="n"/>
      <c r="AF378">
        <f>IF($B378="","",IF(COUNTIF($B$2:$B378,$B378)=1,1,0))</f>
        <v/>
      </c>
      <c r="AG378">
        <f>IF($AF378=1,SUMPRODUCT(--($AJ$2:$AJ$1501&lt;$AJ378))+1,"")</f>
        <v/>
      </c>
      <c r="AH378">
        <f>IF($B378="","",IF(OR($M378=TRUE(),$M378="TRUE"),1,0))</f>
        <v/>
      </c>
      <c r="AI378">
        <f>IF($B378="","",IF($V378="Yes",1,0))</f>
        <v/>
      </c>
      <c r="AJ378">
        <f>IF($AF378=1,IFERROR(IF(VALUE($B378)&lt;100000000,VALUE($B378),1000000000),IFERROR(IF(VALUE(MID($B378,2,20))&lt;100000000,VALUE(MID($B378,2,20)),1000000000),1000000000))+ROW()/100000,"")</f>
        <v/>
      </c>
    </row>
    <row r="379">
      <c r="C379" s="11" t="n"/>
      <c r="J379" s="7">
        <f>IF($B379="","",I379*Q379/100)</f>
        <v/>
      </c>
      <c r="P379" s="7" t="n"/>
      <c r="Q379" s="7" t="n"/>
      <c r="R379" s="7">
        <f>IF($B379="","",Q379*W379/100)</f>
        <v/>
      </c>
      <c r="S379" s="7">
        <f>IF($B379="","",Q379-R379)</f>
        <v/>
      </c>
      <c r="T379" s="7">
        <f>IF($B379="","",S379-J379)</f>
        <v/>
      </c>
      <c r="W379">
        <f>IF($B379="","",IF($AI379=1,0,IF($AH379=1,Settings!$C$6,Settings!$C$7))*100)</f>
        <v/>
      </c>
      <c r="AA379" s="7" t="n"/>
      <c r="AD379" s="11" t="n"/>
      <c r="AF379">
        <f>IF($B379="","",IF(COUNTIF($B$2:$B379,$B379)=1,1,0))</f>
        <v/>
      </c>
      <c r="AG379">
        <f>IF($AF379=1,SUMPRODUCT(--($AJ$2:$AJ$1501&lt;$AJ379))+1,"")</f>
        <v/>
      </c>
      <c r="AH379">
        <f>IF($B379="","",IF(OR($M379=TRUE(),$M379="TRUE"),1,0))</f>
        <v/>
      </c>
      <c r="AI379">
        <f>IF($B379="","",IF($V379="Yes",1,0))</f>
        <v/>
      </c>
      <c r="AJ379">
        <f>IF($AF379=1,IFERROR(IF(VALUE($B379)&lt;100000000,VALUE($B379),1000000000),IFERROR(IF(VALUE(MID($B379,2,20))&lt;100000000,VALUE(MID($B379,2,20)),1000000000),1000000000))+ROW()/100000,"")</f>
        <v/>
      </c>
    </row>
    <row r="380">
      <c r="C380" s="11" t="n"/>
      <c r="J380" s="7">
        <f>IF($B380="","",I380*Q380/100)</f>
        <v/>
      </c>
      <c r="P380" s="7" t="n"/>
      <c r="Q380" s="7" t="n"/>
      <c r="R380" s="7">
        <f>IF($B380="","",Q380*W380/100)</f>
        <v/>
      </c>
      <c r="S380" s="7">
        <f>IF($B380="","",Q380-R380)</f>
        <v/>
      </c>
      <c r="T380" s="7">
        <f>IF($B380="","",S380-J380)</f>
        <v/>
      </c>
      <c r="W380">
        <f>IF($B380="","",IF($AI380=1,0,IF($AH380=1,Settings!$C$6,Settings!$C$7))*100)</f>
        <v/>
      </c>
      <c r="AA380" s="7" t="n"/>
      <c r="AD380" s="11" t="n"/>
      <c r="AF380">
        <f>IF($B380="","",IF(COUNTIF($B$2:$B380,$B380)=1,1,0))</f>
        <v/>
      </c>
      <c r="AG380">
        <f>IF($AF380=1,SUMPRODUCT(--($AJ$2:$AJ$1501&lt;$AJ380))+1,"")</f>
        <v/>
      </c>
      <c r="AH380">
        <f>IF($B380="","",IF(OR($M380=TRUE(),$M380="TRUE"),1,0))</f>
        <v/>
      </c>
      <c r="AI380">
        <f>IF($B380="","",IF($V380="Yes",1,0))</f>
        <v/>
      </c>
      <c r="AJ380">
        <f>IF($AF380=1,IFERROR(IF(VALUE($B380)&lt;100000000,VALUE($B380),1000000000),IFERROR(IF(VALUE(MID($B380,2,20))&lt;100000000,VALUE(MID($B380,2,20)),1000000000),1000000000))+ROW()/100000,"")</f>
        <v/>
      </c>
    </row>
    <row r="381">
      <c r="C381" s="11" t="n"/>
      <c r="J381" s="7">
        <f>IF($B381="","",I381*Q381/100)</f>
        <v/>
      </c>
      <c r="P381" s="7" t="n"/>
      <c r="Q381" s="7" t="n"/>
      <c r="R381" s="7">
        <f>IF($B381="","",Q381*W381/100)</f>
        <v/>
      </c>
      <c r="S381" s="7">
        <f>IF($B381="","",Q381-R381)</f>
        <v/>
      </c>
      <c r="T381" s="7">
        <f>IF($B381="","",S381-J381)</f>
        <v/>
      </c>
      <c r="W381">
        <f>IF($B381="","",IF($AI381=1,0,IF($AH381=1,Settings!$C$6,Settings!$C$7))*100)</f>
        <v/>
      </c>
      <c r="AA381" s="7" t="n"/>
      <c r="AD381" s="11" t="n"/>
      <c r="AF381">
        <f>IF($B381="","",IF(COUNTIF($B$2:$B381,$B381)=1,1,0))</f>
        <v/>
      </c>
      <c r="AG381">
        <f>IF($AF381=1,SUMPRODUCT(--($AJ$2:$AJ$1501&lt;$AJ381))+1,"")</f>
        <v/>
      </c>
      <c r="AH381">
        <f>IF($B381="","",IF(OR($M381=TRUE(),$M381="TRUE"),1,0))</f>
        <v/>
      </c>
      <c r="AI381">
        <f>IF($B381="","",IF($V381="Yes",1,0))</f>
        <v/>
      </c>
      <c r="AJ381">
        <f>IF($AF381=1,IFERROR(IF(VALUE($B381)&lt;100000000,VALUE($B381),1000000000),IFERROR(IF(VALUE(MID($B381,2,20))&lt;100000000,VALUE(MID($B381,2,20)),1000000000),1000000000))+ROW()/100000,"")</f>
        <v/>
      </c>
    </row>
    <row r="382">
      <c r="C382" s="11" t="n"/>
      <c r="J382" s="7">
        <f>IF($B382="","",I382*Q382/100)</f>
        <v/>
      </c>
      <c r="P382" s="7" t="n"/>
      <c r="Q382" s="7" t="n"/>
      <c r="R382" s="7">
        <f>IF($B382="","",Q382*W382/100)</f>
        <v/>
      </c>
      <c r="S382" s="7">
        <f>IF($B382="","",Q382-R382)</f>
        <v/>
      </c>
      <c r="T382" s="7">
        <f>IF($B382="","",S382-J382)</f>
        <v/>
      </c>
      <c r="W382">
        <f>IF($B382="","",IF($AI382=1,0,IF($AH382=1,Settings!$C$6,Settings!$C$7))*100)</f>
        <v/>
      </c>
      <c r="AA382" s="7" t="n"/>
      <c r="AD382" s="11" t="n"/>
      <c r="AF382">
        <f>IF($B382="","",IF(COUNTIF($B$2:$B382,$B382)=1,1,0))</f>
        <v/>
      </c>
      <c r="AG382">
        <f>IF($AF382=1,SUMPRODUCT(--($AJ$2:$AJ$1501&lt;$AJ382))+1,"")</f>
        <v/>
      </c>
      <c r="AH382">
        <f>IF($B382="","",IF(OR($M382=TRUE(),$M382="TRUE"),1,0))</f>
        <v/>
      </c>
      <c r="AI382">
        <f>IF($B382="","",IF($V382="Yes",1,0))</f>
        <v/>
      </c>
      <c r="AJ382">
        <f>IF($AF382=1,IFERROR(IF(VALUE($B382)&lt;100000000,VALUE($B382),1000000000),IFERROR(IF(VALUE(MID($B382,2,20))&lt;100000000,VALUE(MID($B382,2,20)),1000000000),1000000000))+ROW()/100000,"")</f>
        <v/>
      </c>
    </row>
    <row r="383">
      <c r="C383" s="11" t="n"/>
      <c r="J383" s="7">
        <f>IF($B383="","",I383*Q383/100)</f>
        <v/>
      </c>
      <c r="P383" s="7" t="n"/>
      <c r="Q383" s="7" t="n"/>
      <c r="R383" s="7">
        <f>IF($B383="","",Q383*W383/100)</f>
        <v/>
      </c>
      <c r="S383" s="7">
        <f>IF($B383="","",Q383-R383)</f>
        <v/>
      </c>
      <c r="T383" s="7">
        <f>IF($B383="","",S383-J383)</f>
        <v/>
      </c>
      <c r="W383">
        <f>IF($B383="","",IF($AI383=1,0,IF($AH383=1,Settings!$C$6,Settings!$C$7))*100)</f>
        <v/>
      </c>
      <c r="AA383" s="7" t="n"/>
      <c r="AD383" s="11" t="n"/>
      <c r="AF383">
        <f>IF($B383="","",IF(COUNTIF($B$2:$B383,$B383)=1,1,0))</f>
        <v/>
      </c>
      <c r="AG383">
        <f>IF($AF383=1,SUMPRODUCT(--($AJ$2:$AJ$1501&lt;$AJ383))+1,"")</f>
        <v/>
      </c>
      <c r="AH383">
        <f>IF($B383="","",IF(OR($M383=TRUE(),$M383="TRUE"),1,0))</f>
        <v/>
      </c>
      <c r="AI383">
        <f>IF($B383="","",IF($V383="Yes",1,0))</f>
        <v/>
      </c>
      <c r="AJ383">
        <f>IF($AF383=1,IFERROR(IF(VALUE($B383)&lt;100000000,VALUE($B383),1000000000),IFERROR(IF(VALUE(MID($B383,2,20))&lt;100000000,VALUE(MID($B383,2,20)),1000000000),1000000000))+ROW()/100000,"")</f>
        <v/>
      </c>
    </row>
    <row r="384">
      <c r="C384" s="11" t="n"/>
      <c r="J384" s="7">
        <f>IF($B384="","",I384*Q384/100)</f>
        <v/>
      </c>
      <c r="P384" s="7" t="n"/>
      <c r="Q384" s="7" t="n"/>
      <c r="R384" s="7">
        <f>IF($B384="","",Q384*W384/100)</f>
        <v/>
      </c>
      <c r="S384" s="7">
        <f>IF($B384="","",Q384-R384)</f>
        <v/>
      </c>
      <c r="T384" s="7">
        <f>IF($B384="","",S384-J384)</f>
        <v/>
      </c>
      <c r="W384">
        <f>IF($B384="","",IF($AI384=1,0,IF($AH384=1,Settings!$C$6,Settings!$C$7))*100)</f>
        <v/>
      </c>
      <c r="AA384" s="7" t="n"/>
      <c r="AD384" s="11" t="n"/>
      <c r="AF384">
        <f>IF($B384="","",IF(COUNTIF($B$2:$B384,$B384)=1,1,0))</f>
        <v/>
      </c>
      <c r="AG384">
        <f>IF($AF384=1,SUMPRODUCT(--($AJ$2:$AJ$1501&lt;$AJ384))+1,"")</f>
        <v/>
      </c>
      <c r="AH384">
        <f>IF($B384="","",IF(OR($M384=TRUE(),$M384="TRUE"),1,0))</f>
        <v/>
      </c>
      <c r="AI384">
        <f>IF($B384="","",IF($V384="Yes",1,0))</f>
        <v/>
      </c>
      <c r="AJ384">
        <f>IF($AF384=1,IFERROR(IF(VALUE($B384)&lt;100000000,VALUE($B384),1000000000),IFERROR(IF(VALUE(MID($B384,2,20))&lt;100000000,VALUE(MID($B384,2,20)),1000000000),1000000000))+ROW()/100000,"")</f>
        <v/>
      </c>
    </row>
    <row r="385">
      <c r="C385" s="11" t="n"/>
      <c r="J385" s="7">
        <f>IF($B385="","",I385*Q385/100)</f>
        <v/>
      </c>
      <c r="P385" s="7" t="n"/>
      <c r="Q385" s="7" t="n"/>
      <c r="R385" s="7">
        <f>IF($B385="","",Q385*W385/100)</f>
        <v/>
      </c>
      <c r="S385" s="7">
        <f>IF($B385="","",Q385-R385)</f>
        <v/>
      </c>
      <c r="T385" s="7">
        <f>IF($B385="","",S385-J385)</f>
        <v/>
      </c>
      <c r="W385">
        <f>IF($B385="","",IF($AI385=1,0,IF($AH385=1,Settings!$C$6,Settings!$C$7))*100)</f>
        <v/>
      </c>
      <c r="AA385" s="7" t="n"/>
      <c r="AD385" s="11" t="n"/>
      <c r="AF385">
        <f>IF($B385="","",IF(COUNTIF($B$2:$B385,$B385)=1,1,0))</f>
        <v/>
      </c>
      <c r="AG385">
        <f>IF($AF385=1,SUMPRODUCT(--($AJ$2:$AJ$1501&lt;$AJ385))+1,"")</f>
        <v/>
      </c>
      <c r="AH385">
        <f>IF($B385="","",IF(OR($M385=TRUE(),$M385="TRUE"),1,0))</f>
        <v/>
      </c>
      <c r="AI385">
        <f>IF($B385="","",IF($V385="Yes",1,0))</f>
        <v/>
      </c>
      <c r="AJ385">
        <f>IF($AF385=1,IFERROR(IF(VALUE($B385)&lt;100000000,VALUE($B385),1000000000),IFERROR(IF(VALUE(MID($B385,2,20))&lt;100000000,VALUE(MID($B385,2,20)),1000000000),1000000000))+ROW()/100000,"")</f>
        <v/>
      </c>
    </row>
    <row r="386">
      <c r="C386" s="11" t="n"/>
      <c r="J386" s="7">
        <f>IF($B386="","",I386*Q386/100)</f>
        <v/>
      </c>
      <c r="P386" s="7" t="n"/>
      <c r="Q386" s="7" t="n"/>
      <c r="R386" s="7">
        <f>IF($B386="","",Q386*W386/100)</f>
        <v/>
      </c>
      <c r="S386" s="7">
        <f>IF($B386="","",Q386-R386)</f>
        <v/>
      </c>
      <c r="T386" s="7">
        <f>IF($B386="","",S386-J386)</f>
        <v/>
      </c>
      <c r="W386">
        <f>IF($B386="","",IF($AI386=1,0,IF($AH386=1,Settings!$C$6,Settings!$C$7))*100)</f>
        <v/>
      </c>
      <c r="AA386" s="7" t="n"/>
      <c r="AD386" s="11" t="n"/>
      <c r="AF386">
        <f>IF($B386="","",IF(COUNTIF($B$2:$B386,$B386)=1,1,0))</f>
        <v/>
      </c>
      <c r="AG386">
        <f>IF($AF386=1,SUMPRODUCT(--($AJ$2:$AJ$1501&lt;$AJ386))+1,"")</f>
        <v/>
      </c>
      <c r="AH386">
        <f>IF($B386="","",IF(OR($M386=TRUE(),$M386="TRUE"),1,0))</f>
        <v/>
      </c>
      <c r="AI386">
        <f>IF($B386="","",IF($V386="Yes",1,0))</f>
        <v/>
      </c>
      <c r="AJ386">
        <f>IF($AF386=1,IFERROR(IF(VALUE($B386)&lt;100000000,VALUE($B386),1000000000),IFERROR(IF(VALUE(MID($B386,2,20))&lt;100000000,VALUE(MID($B386,2,20)),1000000000),1000000000))+ROW()/100000,"")</f>
        <v/>
      </c>
    </row>
    <row r="387">
      <c r="C387" s="11" t="n"/>
      <c r="J387" s="7">
        <f>IF($B387="","",I387*Q387/100)</f>
        <v/>
      </c>
      <c r="P387" s="7" t="n"/>
      <c r="Q387" s="7" t="n"/>
      <c r="R387" s="7">
        <f>IF($B387="","",Q387*W387/100)</f>
        <v/>
      </c>
      <c r="S387" s="7">
        <f>IF($B387="","",Q387-R387)</f>
        <v/>
      </c>
      <c r="T387" s="7">
        <f>IF($B387="","",S387-J387)</f>
        <v/>
      </c>
      <c r="W387">
        <f>IF($B387="","",IF($AI387=1,0,IF($AH387=1,Settings!$C$6,Settings!$C$7))*100)</f>
        <v/>
      </c>
      <c r="AA387" s="7" t="n"/>
      <c r="AD387" s="11" t="n"/>
      <c r="AF387">
        <f>IF($B387="","",IF(COUNTIF($B$2:$B387,$B387)=1,1,0))</f>
        <v/>
      </c>
      <c r="AG387">
        <f>IF($AF387=1,SUMPRODUCT(--($AJ$2:$AJ$1501&lt;$AJ387))+1,"")</f>
        <v/>
      </c>
      <c r="AH387">
        <f>IF($B387="","",IF(OR($M387=TRUE(),$M387="TRUE"),1,0))</f>
        <v/>
      </c>
      <c r="AI387">
        <f>IF($B387="","",IF($V387="Yes",1,0))</f>
        <v/>
      </c>
      <c r="AJ387">
        <f>IF($AF387=1,IFERROR(IF(VALUE($B387)&lt;100000000,VALUE($B387),1000000000),IFERROR(IF(VALUE(MID($B387,2,20))&lt;100000000,VALUE(MID($B387,2,20)),1000000000),1000000000))+ROW()/100000,"")</f>
        <v/>
      </c>
    </row>
    <row r="388">
      <c r="C388" s="11" t="n"/>
      <c r="J388" s="7">
        <f>IF($B388="","",I388*Q388/100)</f>
        <v/>
      </c>
      <c r="P388" s="7" t="n"/>
      <c r="Q388" s="7" t="n"/>
      <c r="R388" s="7">
        <f>IF($B388="","",Q388*W388/100)</f>
        <v/>
      </c>
      <c r="S388" s="7">
        <f>IF($B388="","",Q388-R388)</f>
        <v/>
      </c>
      <c r="T388" s="7">
        <f>IF($B388="","",S388-J388)</f>
        <v/>
      </c>
      <c r="W388">
        <f>IF($B388="","",IF($AI388=1,0,IF($AH388=1,Settings!$C$6,Settings!$C$7))*100)</f>
        <v/>
      </c>
      <c r="AA388" s="7" t="n"/>
      <c r="AD388" s="11" t="n"/>
      <c r="AF388">
        <f>IF($B388="","",IF(COUNTIF($B$2:$B388,$B388)=1,1,0))</f>
        <v/>
      </c>
      <c r="AG388">
        <f>IF($AF388=1,SUMPRODUCT(--($AJ$2:$AJ$1501&lt;$AJ388))+1,"")</f>
        <v/>
      </c>
      <c r="AH388">
        <f>IF($B388="","",IF(OR($M388=TRUE(),$M388="TRUE"),1,0))</f>
        <v/>
      </c>
      <c r="AI388">
        <f>IF($B388="","",IF($V388="Yes",1,0))</f>
        <v/>
      </c>
      <c r="AJ388">
        <f>IF($AF388=1,IFERROR(IF(VALUE($B388)&lt;100000000,VALUE($B388),1000000000),IFERROR(IF(VALUE(MID($B388,2,20))&lt;100000000,VALUE(MID($B388,2,20)),1000000000),1000000000))+ROW()/100000,"")</f>
        <v/>
      </c>
    </row>
    <row r="389">
      <c r="C389" s="11" t="n"/>
      <c r="J389" s="7">
        <f>IF($B389="","",I389*Q389/100)</f>
        <v/>
      </c>
      <c r="P389" s="7" t="n"/>
      <c r="Q389" s="7" t="n"/>
      <c r="R389" s="7">
        <f>IF($B389="","",Q389*W389/100)</f>
        <v/>
      </c>
      <c r="S389" s="7">
        <f>IF($B389="","",Q389-R389)</f>
        <v/>
      </c>
      <c r="T389" s="7">
        <f>IF($B389="","",S389-J389)</f>
        <v/>
      </c>
      <c r="W389">
        <f>IF($B389="","",IF($AI389=1,0,IF($AH389=1,Settings!$C$6,Settings!$C$7))*100)</f>
        <v/>
      </c>
      <c r="AA389" s="7" t="n"/>
      <c r="AD389" s="11" t="n"/>
      <c r="AF389">
        <f>IF($B389="","",IF(COUNTIF($B$2:$B389,$B389)=1,1,0))</f>
        <v/>
      </c>
      <c r="AG389">
        <f>IF($AF389=1,SUMPRODUCT(--($AJ$2:$AJ$1501&lt;$AJ389))+1,"")</f>
        <v/>
      </c>
      <c r="AH389">
        <f>IF($B389="","",IF(OR($M389=TRUE(),$M389="TRUE"),1,0))</f>
        <v/>
      </c>
      <c r="AI389">
        <f>IF($B389="","",IF($V389="Yes",1,0))</f>
        <v/>
      </c>
      <c r="AJ389">
        <f>IF($AF389=1,IFERROR(IF(VALUE($B389)&lt;100000000,VALUE($B389),1000000000),IFERROR(IF(VALUE(MID($B389,2,20))&lt;100000000,VALUE(MID($B389,2,20)),1000000000),1000000000))+ROW()/100000,"")</f>
        <v/>
      </c>
    </row>
    <row r="390">
      <c r="C390" s="11" t="n"/>
      <c r="J390" s="7">
        <f>IF($B390="","",I390*Q390/100)</f>
        <v/>
      </c>
      <c r="P390" s="7" t="n"/>
      <c r="Q390" s="7" t="n"/>
      <c r="R390" s="7">
        <f>IF($B390="","",Q390*W390/100)</f>
        <v/>
      </c>
      <c r="S390" s="7">
        <f>IF($B390="","",Q390-R390)</f>
        <v/>
      </c>
      <c r="T390" s="7">
        <f>IF($B390="","",S390-J390)</f>
        <v/>
      </c>
      <c r="W390">
        <f>IF($B390="","",IF($AI390=1,0,IF($AH390=1,Settings!$C$6,Settings!$C$7))*100)</f>
        <v/>
      </c>
      <c r="AA390" s="7" t="n"/>
      <c r="AD390" s="11" t="n"/>
      <c r="AF390">
        <f>IF($B390="","",IF(COUNTIF($B$2:$B390,$B390)=1,1,0))</f>
        <v/>
      </c>
      <c r="AG390">
        <f>IF($AF390=1,SUMPRODUCT(--($AJ$2:$AJ$1501&lt;$AJ390))+1,"")</f>
        <v/>
      </c>
      <c r="AH390">
        <f>IF($B390="","",IF(OR($M390=TRUE(),$M390="TRUE"),1,0))</f>
        <v/>
      </c>
      <c r="AI390">
        <f>IF($B390="","",IF($V390="Yes",1,0))</f>
        <v/>
      </c>
      <c r="AJ390">
        <f>IF($AF390=1,IFERROR(IF(VALUE($B390)&lt;100000000,VALUE($B390),1000000000),IFERROR(IF(VALUE(MID($B390,2,20))&lt;100000000,VALUE(MID($B390,2,20)),1000000000),1000000000))+ROW()/100000,"")</f>
        <v/>
      </c>
    </row>
    <row r="391">
      <c r="C391" s="11" t="n"/>
      <c r="J391" s="7">
        <f>IF($B391="","",I391*Q391/100)</f>
        <v/>
      </c>
      <c r="P391" s="7" t="n"/>
      <c r="Q391" s="7" t="n"/>
      <c r="R391" s="7">
        <f>IF($B391="","",Q391*W391/100)</f>
        <v/>
      </c>
      <c r="S391" s="7">
        <f>IF($B391="","",Q391-R391)</f>
        <v/>
      </c>
      <c r="T391" s="7">
        <f>IF($B391="","",S391-J391)</f>
        <v/>
      </c>
      <c r="W391">
        <f>IF($B391="","",IF($AI391=1,0,IF($AH391=1,Settings!$C$6,Settings!$C$7))*100)</f>
        <v/>
      </c>
      <c r="AA391" s="7" t="n"/>
      <c r="AD391" s="11" t="n"/>
      <c r="AF391">
        <f>IF($B391="","",IF(COUNTIF($B$2:$B391,$B391)=1,1,0))</f>
        <v/>
      </c>
      <c r="AG391">
        <f>IF($AF391=1,SUMPRODUCT(--($AJ$2:$AJ$1501&lt;$AJ391))+1,"")</f>
        <v/>
      </c>
      <c r="AH391">
        <f>IF($B391="","",IF(OR($M391=TRUE(),$M391="TRUE"),1,0))</f>
        <v/>
      </c>
      <c r="AI391">
        <f>IF($B391="","",IF($V391="Yes",1,0))</f>
        <v/>
      </c>
      <c r="AJ391">
        <f>IF($AF391=1,IFERROR(IF(VALUE($B391)&lt;100000000,VALUE($B391),1000000000),IFERROR(IF(VALUE(MID($B391,2,20))&lt;100000000,VALUE(MID($B391,2,20)),1000000000),1000000000))+ROW()/100000,"")</f>
        <v/>
      </c>
    </row>
    <row r="392">
      <c r="C392" s="11" t="n"/>
      <c r="J392" s="7">
        <f>IF($B392="","",I392*Q392/100)</f>
        <v/>
      </c>
      <c r="P392" s="7" t="n"/>
      <c r="Q392" s="7" t="n"/>
      <c r="R392" s="7">
        <f>IF($B392="","",Q392*W392/100)</f>
        <v/>
      </c>
      <c r="S392" s="7">
        <f>IF($B392="","",Q392-R392)</f>
        <v/>
      </c>
      <c r="T392" s="7">
        <f>IF($B392="","",S392-J392)</f>
        <v/>
      </c>
      <c r="W392">
        <f>IF($B392="","",IF($AI392=1,0,IF($AH392=1,Settings!$C$6,Settings!$C$7))*100)</f>
        <v/>
      </c>
      <c r="AA392" s="7" t="n"/>
      <c r="AD392" s="11" t="n"/>
      <c r="AF392">
        <f>IF($B392="","",IF(COUNTIF($B$2:$B392,$B392)=1,1,0))</f>
        <v/>
      </c>
      <c r="AG392">
        <f>IF($AF392=1,SUMPRODUCT(--($AJ$2:$AJ$1501&lt;$AJ392))+1,"")</f>
        <v/>
      </c>
      <c r="AH392">
        <f>IF($B392="","",IF(OR($M392=TRUE(),$M392="TRUE"),1,0))</f>
        <v/>
      </c>
      <c r="AI392">
        <f>IF($B392="","",IF($V392="Yes",1,0))</f>
        <v/>
      </c>
      <c r="AJ392">
        <f>IF($AF392=1,IFERROR(IF(VALUE($B392)&lt;100000000,VALUE($B392),1000000000),IFERROR(IF(VALUE(MID($B392,2,20))&lt;100000000,VALUE(MID($B392,2,20)),1000000000),1000000000))+ROW()/100000,"")</f>
        <v/>
      </c>
    </row>
    <row r="393">
      <c r="C393" s="11" t="n"/>
      <c r="J393" s="7">
        <f>IF($B393="","",I393*Q393/100)</f>
        <v/>
      </c>
      <c r="P393" s="7" t="n"/>
      <c r="Q393" s="7" t="n"/>
      <c r="R393" s="7">
        <f>IF($B393="","",Q393*W393/100)</f>
        <v/>
      </c>
      <c r="S393" s="7">
        <f>IF($B393="","",Q393-R393)</f>
        <v/>
      </c>
      <c r="T393" s="7">
        <f>IF($B393="","",S393-J393)</f>
        <v/>
      </c>
      <c r="W393">
        <f>IF($B393="","",IF($AI393=1,0,IF($AH393=1,Settings!$C$6,Settings!$C$7))*100)</f>
        <v/>
      </c>
      <c r="AA393" s="7" t="n"/>
      <c r="AD393" s="11" t="n"/>
      <c r="AF393">
        <f>IF($B393="","",IF(COUNTIF($B$2:$B393,$B393)=1,1,0))</f>
        <v/>
      </c>
      <c r="AG393">
        <f>IF($AF393=1,SUMPRODUCT(--($AJ$2:$AJ$1501&lt;$AJ393))+1,"")</f>
        <v/>
      </c>
      <c r="AH393">
        <f>IF($B393="","",IF(OR($M393=TRUE(),$M393="TRUE"),1,0))</f>
        <v/>
      </c>
      <c r="AI393">
        <f>IF($B393="","",IF($V393="Yes",1,0))</f>
        <v/>
      </c>
      <c r="AJ393">
        <f>IF($AF393=1,IFERROR(IF(VALUE($B393)&lt;100000000,VALUE($B393),1000000000),IFERROR(IF(VALUE(MID($B393,2,20))&lt;100000000,VALUE(MID($B393,2,20)),1000000000),1000000000))+ROW()/100000,"")</f>
        <v/>
      </c>
    </row>
    <row r="394">
      <c r="C394" s="11" t="n"/>
      <c r="J394" s="7">
        <f>IF($B394="","",I394*Q394/100)</f>
        <v/>
      </c>
      <c r="P394" s="7" t="n"/>
      <c r="Q394" s="7" t="n"/>
      <c r="R394" s="7">
        <f>IF($B394="","",Q394*W394/100)</f>
        <v/>
      </c>
      <c r="S394" s="7">
        <f>IF($B394="","",Q394-R394)</f>
        <v/>
      </c>
      <c r="T394" s="7">
        <f>IF($B394="","",S394-J394)</f>
        <v/>
      </c>
      <c r="W394">
        <f>IF($B394="","",IF($AI394=1,0,IF($AH394=1,Settings!$C$6,Settings!$C$7))*100)</f>
        <v/>
      </c>
      <c r="AA394" s="7" t="n"/>
      <c r="AD394" s="11" t="n"/>
      <c r="AF394">
        <f>IF($B394="","",IF(COUNTIF($B$2:$B394,$B394)=1,1,0))</f>
        <v/>
      </c>
      <c r="AG394">
        <f>IF($AF394=1,SUMPRODUCT(--($AJ$2:$AJ$1501&lt;$AJ394))+1,"")</f>
        <v/>
      </c>
      <c r="AH394">
        <f>IF($B394="","",IF(OR($M394=TRUE(),$M394="TRUE"),1,0))</f>
        <v/>
      </c>
      <c r="AI394">
        <f>IF($B394="","",IF($V394="Yes",1,0))</f>
        <v/>
      </c>
      <c r="AJ394">
        <f>IF($AF394=1,IFERROR(IF(VALUE($B394)&lt;100000000,VALUE($B394),1000000000),IFERROR(IF(VALUE(MID($B394,2,20))&lt;100000000,VALUE(MID($B394,2,20)),1000000000),1000000000))+ROW()/100000,"")</f>
        <v/>
      </c>
    </row>
    <row r="395">
      <c r="C395" s="11" t="n"/>
      <c r="J395" s="7">
        <f>IF($B395="","",I395*Q395/100)</f>
        <v/>
      </c>
      <c r="P395" s="7" t="n"/>
      <c r="Q395" s="7" t="n"/>
      <c r="R395" s="7">
        <f>IF($B395="","",Q395*W395/100)</f>
        <v/>
      </c>
      <c r="S395" s="7">
        <f>IF($B395="","",Q395-R395)</f>
        <v/>
      </c>
      <c r="T395" s="7">
        <f>IF($B395="","",S395-J395)</f>
        <v/>
      </c>
      <c r="W395">
        <f>IF($B395="","",IF($AI395=1,0,IF($AH395=1,Settings!$C$6,Settings!$C$7))*100)</f>
        <v/>
      </c>
      <c r="AA395" s="7" t="n"/>
      <c r="AD395" s="11" t="n"/>
      <c r="AF395">
        <f>IF($B395="","",IF(COUNTIF($B$2:$B395,$B395)=1,1,0))</f>
        <v/>
      </c>
      <c r="AG395">
        <f>IF($AF395=1,SUMPRODUCT(--($AJ$2:$AJ$1501&lt;$AJ395))+1,"")</f>
        <v/>
      </c>
      <c r="AH395">
        <f>IF($B395="","",IF(OR($M395=TRUE(),$M395="TRUE"),1,0))</f>
        <v/>
      </c>
      <c r="AI395">
        <f>IF($B395="","",IF($V395="Yes",1,0))</f>
        <v/>
      </c>
      <c r="AJ395">
        <f>IF($AF395=1,IFERROR(IF(VALUE($B395)&lt;100000000,VALUE($B395),1000000000),IFERROR(IF(VALUE(MID($B395,2,20))&lt;100000000,VALUE(MID($B395,2,20)),1000000000),1000000000))+ROW()/100000,"")</f>
        <v/>
      </c>
    </row>
    <row r="396">
      <c r="C396" s="11" t="n"/>
      <c r="J396" s="7">
        <f>IF($B396="","",I396*Q396/100)</f>
        <v/>
      </c>
      <c r="P396" s="7" t="n"/>
      <c r="Q396" s="7" t="n"/>
      <c r="R396" s="7">
        <f>IF($B396="","",Q396*W396/100)</f>
        <v/>
      </c>
      <c r="S396" s="7">
        <f>IF($B396="","",Q396-R396)</f>
        <v/>
      </c>
      <c r="T396" s="7">
        <f>IF($B396="","",S396-J396)</f>
        <v/>
      </c>
      <c r="W396">
        <f>IF($B396="","",IF($AI396=1,0,IF($AH396=1,Settings!$C$6,Settings!$C$7))*100)</f>
        <v/>
      </c>
      <c r="AA396" s="7" t="n"/>
      <c r="AD396" s="11" t="n"/>
      <c r="AF396">
        <f>IF($B396="","",IF(COUNTIF($B$2:$B396,$B396)=1,1,0))</f>
        <v/>
      </c>
      <c r="AG396">
        <f>IF($AF396=1,SUMPRODUCT(--($AJ$2:$AJ$1501&lt;$AJ396))+1,"")</f>
        <v/>
      </c>
      <c r="AH396">
        <f>IF($B396="","",IF(OR($M396=TRUE(),$M396="TRUE"),1,0))</f>
        <v/>
      </c>
      <c r="AI396">
        <f>IF($B396="","",IF($V396="Yes",1,0))</f>
        <v/>
      </c>
      <c r="AJ396">
        <f>IF($AF396=1,IFERROR(IF(VALUE($B396)&lt;100000000,VALUE($B396),1000000000),IFERROR(IF(VALUE(MID($B396,2,20))&lt;100000000,VALUE(MID($B396,2,20)),1000000000),1000000000))+ROW()/100000,"")</f>
        <v/>
      </c>
    </row>
    <row r="397">
      <c r="C397" s="11" t="n"/>
      <c r="J397" s="7">
        <f>IF($B397="","",I397*Q397/100)</f>
        <v/>
      </c>
      <c r="P397" s="7" t="n"/>
      <c r="Q397" s="7" t="n"/>
      <c r="R397" s="7">
        <f>IF($B397="","",Q397*W397/100)</f>
        <v/>
      </c>
      <c r="S397" s="7">
        <f>IF($B397="","",Q397-R397)</f>
        <v/>
      </c>
      <c r="T397" s="7">
        <f>IF($B397="","",S397-J397)</f>
        <v/>
      </c>
      <c r="W397">
        <f>IF($B397="","",IF($AI397=1,0,IF($AH397=1,Settings!$C$6,Settings!$C$7))*100)</f>
        <v/>
      </c>
      <c r="AA397" s="7" t="n"/>
      <c r="AD397" s="11" t="n"/>
      <c r="AF397">
        <f>IF($B397="","",IF(COUNTIF($B$2:$B397,$B397)=1,1,0))</f>
        <v/>
      </c>
      <c r="AG397">
        <f>IF($AF397=1,SUMPRODUCT(--($AJ$2:$AJ$1501&lt;$AJ397))+1,"")</f>
        <v/>
      </c>
      <c r="AH397">
        <f>IF($B397="","",IF(OR($M397=TRUE(),$M397="TRUE"),1,0))</f>
        <v/>
      </c>
      <c r="AI397">
        <f>IF($B397="","",IF($V397="Yes",1,0))</f>
        <v/>
      </c>
      <c r="AJ397">
        <f>IF($AF397=1,IFERROR(IF(VALUE($B397)&lt;100000000,VALUE($B397),1000000000),IFERROR(IF(VALUE(MID($B397,2,20))&lt;100000000,VALUE(MID($B397,2,20)),1000000000),1000000000))+ROW()/100000,"")</f>
        <v/>
      </c>
    </row>
    <row r="398">
      <c r="C398" s="11" t="n"/>
      <c r="J398" s="7">
        <f>IF($B398="","",I398*Q398/100)</f>
        <v/>
      </c>
      <c r="P398" s="7" t="n"/>
      <c r="Q398" s="7" t="n"/>
      <c r="R398" s="7">
        <f>IF($B398="","",Q398*W398/100)</f>
        <v/>
      </c>
      <c r="S398" s="7">
        <f>IF($B398="","",Q398-R398)</f>
        <v/>
      </c>
      <c r="T398" s="7">
        <f>IF($B398="","",S398-J398)</f>
        <v/>
      </c>
      <c r="W398">
        <f>IF($B398="","",IF($AI398=1,0,IF($AH398=1,Settings!$C$6,Settings!$C$7))*100)</f>
        <v/>
      </c>
      <c r="AA398" s="7" t="n"/>
      <c r="AD398" s="11" t="n"/>
      <c r="AF398">
        <f>IF($B398="","",IF(COUNTIF($B$2:$B398,$B398)=1,1,0))</f>
        <v/>
      </c>
      <c r="AG398">
        <f>IF($AF398=1,SUMPRODUCT(--($AJ$2:$AJ$1501&lt;$AJ398))+1,"")</f>
        <v/>
      </c>
      <c r="AH398">
        <f>IF($B398="","",IF(OR($M398=TRUE(),$M398="TRUE"),1,0))</f>
        <v/>
      </c>
      <c r="AI398">
        <f>IF($B398="","",IF($V398="Yes",1,0))</f>
        <v/>
      </c>
      <c r="AJ398">
        <f>IF($AF398=1,IFERROR(IF(VALUE($B398)&lt;100000000,VALUE($B398),1000000000),IFERROR(IF(VALUE(MID($B398,2,20))&lt;100000000,VALUE(MID($B398,2,20)),1000000000),1000000000))+ROW()/100000,"")</f>
        <v/>
      </c>
    </row>
    <row r="399">
      <c r="C399" s="11" t="n"/>
      <c r="J399" s="7">
        <f>IF($B399="","",I399*Q399/100)</f>
        <v/>
      </c>
      <c r="P399" s="7" t="n"/>
      <c r="Q399" s="7" t="n"/>
      <c r="R399" s="7">
        <f>IF($B399="","",Q399*W399/100)</f>
        <v/>
      </c>
      <c r="S399" s="7">
        <f>IF($B399="","",Q399-R399)</f>
        <v/>
      </c>
      <c r="T399" s="7">
        <f>IF($B399="","",S399-J399)</f>
        <v/>
      </c>
      <c r="W399">
        <f>IF($B399="","",IF($AI399=1,0,IF($AH399=1,Settings!$C$6,Settings!$C$7))*100)</f>
        <v/>
      </c>
      <c r="AA399" s="7" t="n"/>
      <c r="AD399" s="11" t="n"/>
      <c r="AF399">
        <f>IF($B399="","",IF(COUNTIF($B$2:$B399,$B399)=1,1,0))</f>
        <v/>
      </c>
      <c r="AG399">
        <f>IF($AF399=1,SUMPRODUCT(--($AJ$2:$AJ$1501&lt;$AJ399))+1,"")</f>
        <v/>
      </c>
      <c r="AH399">
        <f>IF($B399="","",IF(OR($M399=TRUE(),$M399="TRUE"),1,0))</f>
        <v/>
      </c>
      <c r="AI399">
        <f>IF($B399="","",IF($V399="Yes",1,0))</f>
        <v/>
      </c>
      <c r="AJ399">
        <f>IF($AF399=1,IFERROR(IF(VALUE($B399)&lt;100000000,VALUE($B399),1000000000),IFERROR(IF(VALUE(MID($B399,2,20))&lt;100000000,VALUE(MID($B399,2,20)),1000000000),1000000000))+ROW()/100000,"")</f>
        <v/>
      </c>
    </row>
    <row r="400">
      <c r="C400" s="11" t="n"/>
      <c r="J400" s="7">
        <f>IF($B400="","",I400*Q400/100)</f>
        <v/>
      </c>
      <c r="P400" s="7" t="n"/>
      <c r="Q400" s="7" t="n"/>
      <c r="R400" s="7">
        <f>IF($B400="","",Q400*W400/100)</f>
        <v/>
      </c>
      <c r="S400" s="7">
        <f>IF($B400="","",Q400-R400)</f>
        <v/>
      </c>
      <c r="T400" s="7">
        <f>IF($B400="","",S400-J400)</f>
        <v/>
      </c>
      <c r="W400">
        <f>IF($B400="","",IF($AI400=1,0,IF($AH400=1,Settings!$C$6,Settings!$C$7))*100)</f>
        <v/>
      </c>
      <c r="AA400" s="7" t="n"/>
      <c r="AD400" s="11" t="n"/>
      <c r="AF400">
        <f>IF($B400="","",IF(COUNTIF($B$2:$B400,$B400)=1,1,0))</f>
        <v/>
      </c>
      <c r="AG400">
        <f>IF($AF400=1,SUMPRODUCT(--($AJ$2:$AJ$1501&lt;$AJ400))+1,"")</f>
        <v/>
      </c>
      <c r="AH400">
        <f>IF($B400="","",IF(OR($M400=TRUE(),$M400="TRUE"),1,0))</f>
        <v/>
      </c>
      <c r="AI400">
        <f>IF($B400="","",IF($V400="Yes",1,0))</f>
        <v/>
      </c>
      <c r="AJ400">
        <f>IF($AF400=1,IFERROR(IF(VALUE($B400)&lt;100000000,VALUE($B400),1000000000),IFERROR(IF(VALUE(MID($B400,2,20))&lt;100000000,VALUE(MID($B400,2,20)),1000000000),1000000000))+ROW()/100000,"")</f>
        <v/>
      </c>
    </row>
    <row r="401">
      <c r="C401" s="11" t="n"/>
      <c r="J401" s="7">
        <f>IF($B401="","",I401*Q401/100)</f>
        <v/>
      </c>
      <c r="P401" s="7" t="n"/>
      <c r="Q401" s="7" t="n"/>
      <c r="R401" s="7">
        <f>IF($B401="","",Q401*W401/100)</f>
        <v/>
      </c>
      <c r="S401" s="7">
        <f>IF($B401="","",Q401-R401)</f>
        <v/>
      </c>
      <c r="T401" s="7">
        <f>IF($B401="","",S401-J401)</f>
        <v/>
      </c>
      <c r="W401">
        <f>IF($B401="","",IF($AI401=1,0,IF($AH401=1,Settings!$C$6,Settings!$C$7))*100)</f>
        <v/>
      </c>
      <c r="AA401" s="7" t="n"/>
      <c r="AD401" s="11" t="n"/>
      <c r="AF401">
        <f>IF($B401="","",IF(COUNTIF($B$2:$B401,$B401)=1,1,0))</f>
        <v/>
      </c>
      <c r="AG401">
        <f>IF($AF401=1,SUMPRODUCT(--($AJ$2:$AJ$1501&lt;$AJ401))+1,"")</f>
        <v/>
      </c>
      <c r="AH401">
        <f>IF($B401="","",IF(OR($M401=TRUE(),$M401="TRUE"),1,0))</f>
        <v/>
      </c>
      <c r="AI401">
        <f>IF($B401="","",IF($V401="Yes",1,0))</f>
        <v/>
      </c>
      <c r="AJ401">
        <f>IF($AF401=1,IFERROR(IF(VALUE($B401)&lt;100000000,VALUE($B401),1000000000),IFERROR(IF(VALUE(MID($B401,2,20))&lt;100000000,VALUE(MID($B401,2,20)),1000000000),1000000000))+ROW()/100000,"")</f>
        <v/>
      </c>
    </row>
    <row r="402">
      <c r="C402" s="11" t="n"/>
      <c r="J402" s="7">
        <f>IF($B402="","",I402*Q402/100)</f>
        <v/>
      </c>
      <c r="P402" s="7" t="n"/>
      <c r="Q402" s="7" t="n"/>
      <c r="R402" s="7">
        <f>IF($B402="","",Q402*W402/100)</f>
        <v/>
      </c>
      <c r="S402" s="7">
        <f>IF($B402="","",Q402-R402)</f>
        <v/>
      </c>
      <c r="T402" s="7">
        <f>IF($B402="","",S402-J402)</f>
        <v/>
      </c>
      <c r="W402">
        <f>IF($B402="","",IF($AI402=1,0,IF($AH402=1,Settings!$C$6,Settings!$C$7))*100)</f>
        <v/>
      </c>
      <c r="AA402" s="7" t="n"/>
      <c r="AD402" s="11" t="n"/>
      <c r="AF402">
        <f>IF($B402="","",IF(COUNTIF($B$2:$B402,$B402)=1,1,0))</f>
        <v/>
      </c>
      <c r="AG402">
        <f>IF($AF402=1,SUMPRODUCT(--($AJ$2:$AJ$1501&lt;$AJ402))+1,"")</f>
        <v/>
      </c>
      <c r="AH402">
        <f>IF($B402="","",IF(OR($M402=TRUE(),$M402="TRUE"),1,0))</f>
        <v/>
      </c>
      <c r="AI402">
        <f>IF($B402="","",IF($V402="Yes",1,0))</f>
        <v/>
      </c>
      <c r="AJ402">
        <f>IF($AF402=1,IFERROR(IF(VALUE($B402)&lt;100000000,VALUE($B402),1000000000),IFERROR(IF(VALUE(MID($B402,2,20))&lt;100000000,VALUE(MID($B402,2,20)),1000000000),1000000000))+ROW()/100000,"")</f>
        <v/>
      </c>
    </row>
    <row r="403">
      <c r="C403" s="11" t="n"/>
      <c r="J403" s="7">
        <f>IF($B403="","",I403*Q403/100)</f>
        <v/>
      </c>
      <c r="P403" s="7" t="n"/>
      <c r="Q403" s="7" t="n"/>
      <c r="R403" s="7">
        <f>IF($B403="","",Q403*W403/100)</f>
        <v/>
      </c>
      <c r="S403" s="7">
        <f>IF($B403="","",Q403-R403)</f>
        <v/>
      </c>
      <c r="T403" s="7">
        <f>IF($B403="","",S403-J403)</f>
        <v/>
      </c>
      <c r="W403">
        <f>IF($B403="","",IF($AI403=1,0,IF($AH403=1,Settings!$C$6,Settings!$C$7))*100)</f>
        <v/>
      </c>
      <c r="AA403" s="7" t="n"/>
      <c r="AD403" s="11" t="n"/>
      <c r="AF403">
        <f>IF($B403="","",IF(COUNTIF($B$2:$B403,$B403)=1,1,0))</f>
        <v/>
      </c>
      <c r="AG403">
        <f>IF($AF403=1,SUMPRODUCT(--($AJ$2:$AJ$1501&lt;$AJ403))+1,"")</f>
        <v/>
      </c>
      <c r="AH403">
        <f>IF($B403="","",IF(OR($M403=TRUE(),$M403="TRUE"),1,0))</f>
        <v/>
      </c>
      <c r="AI403">
        <f>IF($B403="","",IF($V403="Yes",1,0))</f>
        <v/>
      </c>
      <c r="AJ403">
        <f>IF($AF403=1,IFERROR(IF(VALUE($B403)&lt;100000000,VALUE($B403),1000000000),IFERROR(IF(VALUE(MID($B403,2,20))&lt;100000000,VALUE(MID($B403,2,20)),1000000000),1000000000))+ROW()/100000,"")</f>
        <v/>
      </c>
    </row>
    <row r="404">
      <c r="C404" s="11" t="n"/>
      <c r="J404" s="7">
        <f>IF($B404="","",I404*Q404/100)</f>
        <v/>
      </c>
      <c r="P404" s="7" t="n"/>
      <c r="Q404" s="7" t="n"/>
      <c r="R404" s="7">
        <f>IF($B404="","",Q404*W404/100)</f>
        <v/>
      </c>
      <c r="S404" s="7">
        <f>IF($B404="","",Q404-R404)</f>
        <v/>
      </c>
      <c r="T404" s="7">
        <f>IF($B404="","",S404-J404)</f>
        <v/>
      </c>
      <c r="W404">
        <f>IF($B404="","",IF($AI404=1,0,IF($AH404=1,Settings!$C$6,Settings!$C$7))*100)</f>
        <v/>
      </c>
      <c r="AA404" s="7" t="n"/>
      <c r="AD404" s="11" t="n"/>
      <c r="AF404">
        <f>IF($B404="","",IF(COUNTIF($B$2:$B404,$B404)=1,1,0))</f>
        <v/>
      </c>
      <c r="AG404">
        <f>IF($AF404=1,SUMPRODUCT(--($AJ$2:$AJ$1501&lt;$AJ404))+1,"")</f>
        <v/>
      </c>
      <c r="AH404">
        <f>IF($B404="","",IF(OR($M404=TRUE(),$M404="TRUE"),1,0))</f>
        <v/>
      </c>
      <c r="AI404">
        <f>IF($B404="","",IF($V404="Yes",1,0))</f>
        <v/>
      </c>
      <c r="AJ404">
        <f>IF($AF404=1,IFERROR(IF(VALUE($B404)&lt;100000000,VALUE($B404),1000000000),IFERROR(IF(VALUE(MID($B404,2,20))&lt;100000000,VALUE(MID($B404,2,20)),1000000000),1000000000))+ROW()/100000,"")</f>
        <v/>
      </c>
    </row>
    <row r="405">
      <c r="C405" s="11" t="n"/>
      <c r="J405" s="7">
        <f>IF($B405="","",I405*Q405/100)</f>
        <v/>
      </c>
      <c r="P405" s="7" t="n"/>
      <c r="Q405" s="7" t="n"/>
      <c r="R405" s="7">
        <f>IF($B405="","",Q405*W405/100)</f>
        <v/>
      </c>
      <c r="S405" s="7">
        <f>IF($B405="","",Q405-R405)</f>
        <v/>
      </c>
      <c r="T405" s="7">
        <f>IF($B405="","",S405-J405)</f>
        <v/>
      </c>
      <c r="W405">
        <f>IF($B405="","",IF($AI405=1,0,IF($AH405=1,Settings!$C$6,Settings!$C$7))*100)</f>
        <v/>
      </c>
      <c r="AA405" s="7" t="n"/>
      <c r="AD405" s="11" t="n"/>
      <c r="AF405">
        <f>IF($B405="","",IF(COUNTIF($B$2:$B405,$B405)=1,1,0))</f>
        <v/>
      </c>
      <c r="AG405">
        <f>IF($AF405=1,SUMPRODUCT(--($AJ$2:$AJ$1501&lt;$AJ405))+1,"")</f>
        <v/>
      </c>
      <c r="AH405">
        <f>IF($B405="","",IF(OR($M405=TRUE(),$M405="TRUE"),1,0))</f>
        <v/>
      </c>
      <c r="AI405">
        <f>IF($B405="","",IF($V405="Yes",1,0))</f>
        <v/>
      </c>
      <c r="AJ405">
        <f>IF($AF405=1,IFERROR(IF(VALUE($B405)&lt;100000000,VALUE($B405),1000000000),IFERROR(IF(VALUE(MID($B405,2,20))&lt;100000000,VALUE(MID($B405,2,20)),1000000000),1000000000))+ROW()/100000,"")</f>
        <v/>
      </c>
    </row>
    <row r="406">
      <c r="C406" s="11" t="n"/>
      <c r="J406" s="7">
        <f>IF($B406="","",I406*Q406/100)</f>
        <v/>
      </c>
      <c r="P406" s="7" t="n"/>
      <c r="Q406" s="7" t="n"/>
      <c r="R406" s="7">
        <f>IF($B406="","",Q406*W406/100)</f>
        <v/>
      </c>
      <c r="S406" s="7">
        <f>IF($B406="","",Q406-R406)</f>
        <v/>
      </c>
      <c r="T406" s="7">
        <f>IF($B406="","",S406-J406)</f>
        <v/>
      </c>
      <c r="W406">
        <f>IF($B406="","",IF($AI406=1,0,IF($AH406=1,Settings!$C$6,Settings!$C$7))*100)</f>
        <v/>
      </c>
      <c r="AA406" s="7" t="n"/>
      <c r="AD406" s="11" t="n"/>
      <c r="AF406">
        <f>IF($B406="","",IF(COUNTIF($B$2:$B406,$B406)=1,1,0))</f>
        <v/>
      </c>
      <c r="AG406">
        <f>IF($AF406=1,SUMPRODUCT(--($AJ$2:$AJ$1501&lt;$AJ406))+1,"")</f>
        <v/>
      </c>
      <c r="AH406">
        <f>IF($B406="","",IF(OR($M406=TRUE(),$M406="TRUE"),1,0))</f>
        <v/>
      </c>
      <c r="AI406">
        <f>IF($B406="","",IF($V406="Yes",1,0))</f>
        <v/>
      </c>
      <c r="AJ406">
        <f>IF($AF406=1,IFERROR(IF(VALUE($B406)&lt;100000000,VALUE($B406),1000000000),IFERROR(IF(VALUE(MID($B406,2,20))&lt;100000000,VALUE(MID($B406,2,20)),1000000000),1000000000))+ROW()/100000,"")</f>
        <v/>
      </c>
    </row>
    <row r="407">
      <c r="C407" s="11" t="n"/>
      <c r="J407" s="7">
        <f>IF($B407="","",I407*Q407/100)</f>
        <v/>
      </c>
      <c r="P407" s="7" t="n"/>
      <c r="Q407" s="7" t="n"/>
      <c r="R407" s="7">
        <f>IF($B407="","",Q407*W407/100)</f>
        <v/>
      </c>
      <c r="S407" s="7">
        <f>IF($B407="","",Q407-R407)</f>
        <v/>
      </c>
      <c r="T407" s="7">
        <f>IF($B407="","",S407-J407)</f>
        <v/>
      </c>
      <c r="W407">
        <f>IF($B407="","",IF($AI407=1,0,IF($AH407=1,Settings!$C$6,Settings!$C$7))*100)</f>
        <v/>
      </c>
      <c r="AA407" s="7" t="n"/>
      <c r="AD407" s="11" t="n"/>
      <c r="AF407">
        <f>IF($B407="","",IF(COUNTIF($B$2:$B407,$B407)=1,1,0))</f>
        <v/>
      </c>
      <c r="AG407">
        <f>IF($AF407=1,SUMPRODUCT(--($AJ$2:$AJ$1501&lt;$AJ407))+1,"")</f>
        <v/>
      </c>
      <c r="AH407">
        <f>IF($B407="","",IF(OR($M407=TRUE(),$M407="TRUE"),1,0))</f>
        <v/>
      </c>
      <c r="AI407">
        <f>IF($B407="","",IF($V407="Yes",1,0))</f>
        <v/>
      </c>
      <c r="AJ407">
        <f>IF($AF407=1,IFERROR(IF(VALUE($B407)&lt;100000000,VALUE($B407),1000000000),IFERROR(IF(VALUE(MID($B407,2,20))&lt;100000000,VALUE(MID($B407,2,20)),1000000000),1000000000))+ROW()/100000,"")</f>
        <v/>
      </c>
    </row>
    <row r="408">
      <c r="C408" s="11" t="n"/>
      <c r="J408" s="7">
        <f>IF($B408="","",I408*Q408/100)</f>
        <v/>
      </c>
      <c r="P408" s="7" t="n"/>
      <c r="Q408" s="7" t="n"/>
      <c r="R408" s="7">
        <f>IF($B408="","",Q408*W408/100)</f>
        <v/>
      </c>
      <c r="S408" s="7">
        <f>IF($B408="","",Q408-R408)</f>
        <v/>
      </c>
      <c r="T408" s="7">
        <f>IF($B408="","",S408-J408)</f>
        <v/>
      </c>
      <c r="W408">
        <f>IF($B408="","",IF($AI408=1,0,IF($AH408=1,Settings!$C$6,Settings!$C$7))*100)</f>
        <v/>
      </c>
      <c r="AA408" s="7" t="n"/>
      <c r="AD408" s="11" t="n"/>
      <c r="AF408">
        <f>IF($B408="","",IF(COUNTIF($B$2:$B408,$B408)=1,1,0))</f>
        <v/>
      </c>
      <c r="AG408">
        <f>IF($AF408=1,SUMPRODUCT(--($AJ$2:$AJ$1501&lt;$AJ408))+1,"")</f>
        <v/>
      </c>
      <c r="AH408">
        <f>IF($B408="","",IF(OR($M408=TRUE(),$M408="TRUE"),1,0))</f>
        <v/>
      </c>
      <c r="AI408">
        <f>IF($B408="","",IF($V408="Yes",1,0))</f>
        <v/>
      </c>
      <c r="AJ408">
        <f>IF($AF408=1,IFERROR(IF(VALUE($B408)&lt;100000000,VALUE($B408),1000000000),IFERROR(IF(VALUE(MID($B408,2,20))&lt;100000000,VALUE(MID($B408,2,20)),1000000000),1000000000))+ROW()/100000,"")</f>
        <v/>
      </c>
    </row>
    <row r="409">
      <c r="C409" s="11" t="n"/>
      <c r="J409" s="7">
        <f>IF($B409="","",I409*Q409/100)</f>
        <v/>
      </c>
      <c r="P409" s="7" t="n"/>
      <c r="Q409" s="7" t="n"/>
      <c r="R409" s="7">
        <f>IF($B409="","",Q409*W409/100)</f>
        <v/>
      </c>
      <c r="S409" s="7">
        <f>IF($B409="","",Q409-R409)</f>
        <v/>
      </c>
      <c r="T409" s="7">
        <f>IF($B409="","",S409-J409)</f>
        <v/>
      </c>
      <c r="W409">
        <f>IF($B409="","",IF($AI409=1,0,IF($AH409=1,Settings!$C$6,Settings!$C$7))*100)</f>
        <v/>
      </c>
      <c r="AA409" s="7" t="n"/>
      <c r="AD409" s="11" t="n"/>
      <c r="AF409">
        <f>IF($B409="","",IF(COUNTIF($B$2:$B409,$B409)=1,1,0))</f>
        <v/>
      </c>
      <c r="AG409">
        <f>IF($AF409=1,SUMPRODUCT(--($AJ$2:$AJ$1501&lt;$AJ409))+1,"")</f>
        <v/>
      </c>
      <c r="AH409">
        <f>IF($B409="","",IF(OR($M409=TRUE(),$M409="TRUE"),1,0))</f>
        <v/>
      </c>
      <c r="AI409">
        <f>IF($B409="","",IF($V409="Yes",1,0))</f>
        <v/>
      </c>
      <c r="AJ409">
        <f>IF($AF409=1,IFERROR(IF(VALUE($B409)&lt;100000000,VALUE($B409),1000000000),IFERROR(IF(VALUE(MID($B409,2,20))&lt;100000000,VALUE(MID($B409,2,20)),1000000000),1000000000))+ROW()/100000,"")</f>
        <v/>
      </c>
    </row>
    <row r="410">
      <c r="C410" s="11" t="n"/>
      <c r="J410" s="7">
        <f>IF($B410="","",I410*Q410/100)</f>
        <v/>
      </c>
      <c r="P410" s="7" t="n"/>
      <c r="Q410" s="7" t="n"/>
      <c r="R410" s="7">
        <f>IF($B410="","",Q410*W410/100)</f>
        <v/>
      </c>
      <c r="S410" s="7">
        <f>IF($B410="","",Q410-R410)</f>
        <v/>
      </c>
      <c r="T410" s="7">
        <f>IF($B410="","",S410-J410)</f>
        <v/>
      </c>
      <c r="W410">
        <f>IF($B410="","",IF($AI410=1,0,IF($AH410=1,Settings!$C$6,Settings!$C$7))*100)</f>
        <v/>
      </c>
      <c r="AA410" s="7" t="n"/>
      <c r="AD410" s="11" t="n"/>
      <c r="AF410">
        <f>IF($B410="","",IF(COUNTIF($B$2:$B410,$B410)=1,1,0))</f>
        <v/>
      </c>
      <c r="AG410">
        <f>IF($AF410=1,SUMPRODUCT(--($AJ$2:$AJ$1501&lt;$AJ410))+1,"")</f>
        <v/>
      </c>
      <c r="AH410">
        <f>IF($B410="","",IF(OR($M410=TRUE(),$M410="TRUE"),1,0))</f>
        <v/>
      </c>
      <c r="AI410">
        <f>IF($B410="","",IF($V410="Yes",1,0))</f>
        <v/>
      </c>
      <c r="AJ410">
        <f>IF($AF410=1,IFERROR(IF(VALUE($B410)&lt;100000000,VALUE($B410),1000000000),IFERROR(IF(VALUE(MID($B410,2,20))&lt;100000000,VALUE(MID($B410,2,20)),1000000000),1000000000))+ROW()/100000,"")</f>
        <v/>
      </c>
    </row>
    <row r="411">
      <c r="C411" s="11" t="n"/>
      <c r="J411" s="7">
        <f>IF($B411="","",I411*Q411/100)</f>
        <v/>
      </c>
      <c r="P411" s="7" t="n"/>
      <c r="Q411" s="7" t="n"/>
      <c r="R411" s="7">
        <f>IF($B411="","",Q411*W411/100)</f>
        <v/>
      </c>
      <c r="S411" s="7">
        <f>IF($B411="","",Q411-R411)</f>
        <v/>
      </c>
      <c r="T411" s="7">
        <f>IF($B411="","",S411-J411)</f>
        <v/>
      </c>
      <c r="W411">
        <f>IF($B411="","",IF($AI411=1,0,IF($AH411=1,Settings!$C$6,Settings!$C$7))*100)</f>
        <v/>
      </c>
      <c r="AA411" s="7" t="n"/>
      <c r="AD411" s="11" t="n"/>
      <c r="AF411">
        <f>IF($B411="","",IF(COUNTIF($B$2:$B411,$B411)=1,1,0))</f>
        <v/>
      </c>
      <c r="AG411">
        <f>IF($AF411=1,SUMPRODUCT(--($AJ$2:$AJ$1501&lt;$AJ411))+1,"")</f>
        <v/>
      </c>
      <c r="AH411">
        <f>IF($B411="","",IF(OR($M411=TRUE(),$M411="TRUE"),1,0))</f>
        <v/>
      </c>
      <c r="AI411">
        <f>IF($B411="","",IF($V411="Yes",1,0))</f>
        <v/>
      </c>
      <c r="AJ411">
        <f>IF($AF411=1,IFERROR(IF(VALUE($B411)&lt;100000000,VALUE($B411),1000000000),IFERROR(IF(VALUE(MID($B411,2,20))&lt;100000000,VALUE(MID($B411,2,20)),1000000000),1000000000))+ROW()/100000,"")</f>
        <v/>
      </c>
    </row>
    <row r="412">
      <c r="C412" s="11" t="n"/>
      <c r="J412" s="7">
        <f>IF($B412="","",I412*Q412/100)</f>
        <v/>
      </c>
      <c r="P412" s="7" t="n"/>
      <c r="Q412" s="7" t="n"/>
      <c r="R412" s="7">
        <f>IF($B412="","",Q412*W412/100)</f>
        <v/>
      </c>
      <c r="S412" s="7">
        <f>IF($B412="","",Q412-R412)</f>
        <v/>
      </c>
      <c r="T412" s="7">
        <f>IF($B412="","",S412-J412)</f>
        <v/>
      </c>
      <c r="W412">
        <f>IF($B412="","",IF($AI412=1,0,IF($AH412=1,Settings!$C$6,Settings!$C$7))*100)</f>
        <v/>
      </c>
      <c r="AA412" s="7" t="n"/>
      <c r="AD412" s="11" t="n"/>
      <c r="AF412">
        <f>IF($B412="","",IF(COUNTIF($B$2:$B412,$B412)=1,1,0))</f>
        <v/>
      </c>
      <c r="AG412">
        <f>IF($AF412=1,SUMPRODUCT(--($AJ$2:$AJ$1501&lt;$AJ412))+1,"")</f>
        <v/>
      </c>
      <c r="AH412">
        <f>IF($B412="","",IF(OR($M412=TRUE(),$M412="TRUE"),1,0))</f>
        <v/>
      </c>
      <c r="AI412">
        <f>IF($B412="","",IF($V412="Yes",1,0))</f>
        <v/>
      </c>
      <c r="AJ412">
        <f>IF($AF412=1,IFERROR(IF(VALUE($B412)&lt;100000000,VALUE($B412),1000000000),IFERROR(IF(VALUE(MID($B412,2,20))&lt;100000000,VALUE(MID($B412,2,20)),1000000000),1000000000))+ROW()/100000,"")</f>
        <v/>
      </c>
    </row>
    <row r="413">
      <c r="C413" s="11" t="n"/>
      <c r="J413" s="7">
        <f>IF($B413="","",I413*Q413/100)</f>
        <v/>
      </c>
      <c r="P413" s="7" t="n"/>
      <c r="Q413" s="7" t="n"/>
      <c r="R413" s="7">
        <f>IF($B413="","",Q413*W413/100)</f>
        <v/>
      </c>
      <c r="S413" s="7">
        <f>IF($B413="","",Q413-R413)</f>
        <v/>
      </c>
      <c r="T413" s="7">
        <f>IF($B413="","",S413-J413)</f>
        <v/>
      </c>
      <c r="W413">
        <f>IF($B413="","",IF($AI413=1,0,IF($AH413=1,Settings!$C$6,Settings!$C$7))*100)</f>
        <v/>
      </c>
      <c r="AA413" s="7" t="n"/>
      <c r="AD413" s="11" t="n"/>
      <c r="AF413">
        <f>IF($B413="","",IF(COUNTIF($B$2:$B413,$B413)=1,1,0))</f>
        <v/>
      </c>
      <c r="AG413">
        <f>IF($AF413=1,SUMPRODUCT(--($AJ$2:$AJ$1501&lt;$AJ413))+1,"")</f>
        <v/>
      </c>
      <c r="AH413">
        <f>IF($B413="","",IF(OR($M413=TRUE(),$M413="TRUE"),1,0))</f>
        <v/>
      </c>
      <c r="AI413">
        <f>IF($B413="","",IF($V413="Yes",1,0))</f>
        <v/>
      </c>
      <c r="AJ413">
        <f>IF($AF413=1,IFERROR(IF(VALUE($B413)&lt;100000000,VALUE($B413),1000000000),IFERROR(IF(VALUE(MID($B413,2,20))&lt;100000000,VALUE(MID($B413,2,20)),1000000000),1000000000))+ROW()/100000,"")</f>
        <v/>
      </c>
    </row>
    <row r="414">
      <c r="C414" s="11" t="n"/>
      <c r="J414" s="7">
        <f>IF($B414="","",I414*Q414/100)</f>
        <v/>
      </c>
      <c r="P414" s="7" t="n"/>
      <c r="Q414" s="7" t="n"/>
      <c r="R414" s="7">
        <f>IF($B414="","",Q414*W414/100)</f>
        <v/>
      </c>
      <c r="S414" s="7">
        <f>IF($B414="","",Q414-R414)</f>
        <v/>
      </c>
      <c r="T414" s="7">
        <f>IF($B414="","",S414-J414)</f>
        <v/>
      </c>
      <c r="W414">
        <f>IF($B414="","",IF($AI414=1,0,IF($AH414=1,Settings!$C$6,Settings!$C$7))*100)</f>
        <v/>
      </c>
      <c r="AA414" s="7" t="n"/>
      <c r="AD414" s="11" t="n"/>
      <c r="AF414">
        <f>IF($B414="","",IF(COUNTIF($B$2:$B414,$B414)=1,1,0))</f>
        <v/>
      </c>
      <c r="AG414">
        <f>IF($AF414=1,SUMPRODUCT(--($AJ$2:$AJ$1501&lt;$AJ414))+1,"")</f>
        <v/>
      </c>
      <c r="AH414">
        <f>IF($B414="","",IF(OR($M414=TRUE(),$M414="TRUE"),1,0))</f>
        <v/>
      </c>
      <c r="AI414">
        <f>IF($B414="","",IF($V414="Yes",1,0))</f>
        <v/>
      </c>
      <c r="AJ414">
        <f>IF($AF414=1,IFERROR(IF(VALUE($B414)&lt;100000000,VALUE($B414),1000000000),IFERROR(IF(VALUE(MID($B414,2,20))&lt;100000000,VALUE(MID($B414,2,20)),1000000000),1000000000))+ROW()/100000,"")</f>
        <v/>
      </c>
    </row>
    <row r="415">
      <c r="C415" s="11" t="n"/>
      <c r="J415" s="7">
        <f>IF($B415="","",I415*Q415/100)</f>
        <v/>
      </c>
      <c r="P415" s="7" t="n"/>
      <c r="Q415" s="7" t="n"/>
      <c r="R415" s="7">
        <f>IF($B415="","",Q415*W415/100)</f>
        <v/>
      </c>
      <c r="S415" s="7">
        <f>IF($B415="","",Q415-R415)</f>
        <v/>
      </c>
      <c r="T415" s="7">
        <f>IF($B415="","",S415-J415)</f>
        <v/>
      </c>
      <c r="W415">
        <f>IF($B415="","",IF($AI415=1,0,IF($AH415=1,Settings!$C$6,Settings!$C$7))*100)</f>
        <v/>
      </c>
      <c r="AA415" s="7" t="n"/>
      <c r="AD415" s="11" t="n"/>
      <c r="AF415">
        <f>IF($B415="","",IF(COUNTIF($B$2:$B415,$B415)=1,1,0))</f>
        <v/>
      </c>
      <c r="AG415">
        <f>IF($AF415=1,SUMPRODUCT(--($AJ$2:$AJ$1501&lt;$AJ415))+1,"")</f>
        <v/>
      </c>
      <c r="AH415">
        <f>IF($B415="","",IF(OR($M415=TRUE(),$M415="TRUE"),1,0))</f>
        <v/>
      </c>
      <c r="AI415">
        <f>IF($B415="","",IF($V415="Yes",1,0))</f>
        <v/>
      </c>
      <c r="AJ415">
        <f>IF($AF415=1,IFERROR(IF(VALUE($B415)&lt;100000000,VALUE($B415),1000000000),IFERROR(IF(VALUE(MID($B415,2,20))&lt;100000000,VALUE(MID($B415,2,20)),1000000000),1000000000))+ROW()/100000,"")</f>
        <v/>
      </c>
    </row>
    <row r="416">
      <c r="C416" s="11" t="n"/>
      <c r="J416" s="7">
        <f>IF($B416="","",I416*Q416/100)</f>
        <v/>
      </c>
      <c r="P416" s="7" t="n"/>
      <c r="Q416" s="7" t="n"/>
      <c r="R416" s="7">
        <f>IF($B416="","",Q416*W416/100)</f>
        <v/>
      </c>
      <c r="S416" s="7">
        <f>IF($B416="","",Q416-R416)</f>
        <v/>
      </c>
      <c r="T416" s="7">
        <f>IF($B416="","",S416-J416)</f>
        <v/>
      </c>
      <c r="W416">
        <f>IF($B416="","",IF($AI416=1,0,IF($AH416=1,Settings!$C$6,Settings!$C$7))*100)</f>
        <v/>
      </c>
      <c r="AA416" s="7" t="n"/>
      <c r="AD416" s="11" t="n"/>
      <c r="AF416">
        <f>IF($B416="","",IF(COUNTIF($B$2:$B416,$B416)=1,1,0))</f>
        <v/>
      </c>
      <c r="AG416">
        <f>IF($AF416=1,SUMPRODUCT(--($AJ$2:$AJ$1501&lt;$AJ416))+1,"")</f>
        <v/>
      </c>
      <c r="AH416">
        <f>IF($B416="","",IF(OR($M416=TRUE(),$M416="TRUE"),1,0))</f>
        <v/>
      </c>
      <c r="AI416">
        <f>IF($B416="","",IF($V416="Yes",1,0))</f>
        <v/>
      </c>
      <c r="AJ416">
        <f>IF($AF416=1,IFERROR(IF(VALUE($B416)&lt;100000000,VALUE($B416),1000000000),IFERROR(IF(VALUE(MID($B416,2,20))&lt;100000000,VALUE(MID($B416,2,20)),1000000000),1000000000))+ROW()/100000,"")</f>
        <v/>
      </c>
    </row>
    <row r="417">
      <c r="C417" s="11" t="n"/>
      <c r="J417" s="7">
        <f>IF($B417="","",I417*Q417/100)</f>
        <v/>
      </c>
      <c r="P417" s="7" t="n"/>
      <c r="Q417" s="7" t="n"/>
      <c r="R417" s="7">
        <f>IF($B417="","",Q417*W417/100)</f>
        <v/>
      </c>
      <c r="S417" s="7">
        <f>IF($B417="","",Q417-R417)</f>
        <v/>
      </c>
      <c r="T417" s="7">
        <f>IF($B417="","",S417-J417)</f>
        <v/>
      </c>
      <c r="W417">
        <f>IF($B417="","",IF($AI417=1,0,IF($AH417=1,Settings!$C$6,Settings!$C$7))*100)</f>
        <v/>
      </c>
      <c r="AA417" s="7" t="n"/>
      <c r="AD417" s="11" t="n"/>
      <c r="AF417">
        <f>IF($B417="","",IF(COUNTIF($B$2:$B417,$B417)=1,1,0))</f>
        <v/>
      </c>
      <c r="AG417">
        <f>IF($AF417=1,SUMPRODUCT(--($AJ$2:$AJ$1501&lt;$AJ417))+1,"")</f>
        <v/>
      </c>
      <c r="AH417">
        <f>IF($B417="","",IF(OR($M417=TRUE(),$M417="TRUE"),1,0))</f>
        <v/>
      </c>
      <c r="AI417">
        <f>IF($B417="","",IF($V417="Yes",1,0))</f>
        <v/>
      </c>
      <c r="AJ417">
        <f>IF($AF417=1,IFERROR(IF(VALUE($B417)&lt;100000000,VALUE($B417),1000000000),IFERROR(IF(VALUE(MID($B417,2,20))&lt;100000000,VALUE(MID($B417,2,20)),1000000000),1000000000))+ROW()/100000,"")</f>
        <v/>
      </c>
    </row>
    <row r="418">
      <c r="C418" s="11" t="n"/>
      <c r="J418" s="7">
        <f>IF($B418="","",I418*Q418/100)</f>
        <v/>
      </c>
      <c r="P418" s="7" t="n"/>
      <c r="Q418" s="7" t="n"/>
      <c r="R418" s="7">
        <f>IF($B418="","",Q418*W418/100)</f>
        <v/>
      </c>
      <c r="S418" s="7">
        <f>IF($B418="","",Q418-R418)</f>
        <v/>
      </c>
      <c r="T418" s="7">
        <f>IF($B418="","",S418-J418)</f>
        <v/>
      </c>
      <c r="W418">
        <f>IF($B418="","",IF($AI418=1,0,IF($AH418=1,Settings!$C$6,Settings!$C$7))*100)</f>
        <v/>
      </c>
      <c r="AA418" s="7" t="n"/>
      <c r="AD418" s="11" t="n"/>
      <c r="AF418">
        <f>IF($B418="","",IF(COUNTIF($B$2:$B418,$B418)=1,1,0))</f>
        <v/>
      </c>
      <c r="AG418">
        <f>IF($AF418=1,SUMPRODUCT(--($AJ$2:$AJ$1501&lt;$AJ418))+1,"")</f>
        <v/>
      </c>
      <c r="AH418">
        <f>IF($B418="","",IF(OR($M418=TRUE(),$M418="TRUE"),1,0))</f>
        <v/>
      </c>
      <c r="AI418">
        <f>IF($B418="","",IF($V418="Yes",1,0))</f>
        <v/>
      </c>
      <c r="AJ418">
        <f>IF($AF418=1,IFERROR(IF(VALUE($B418)&lt;100000000,VALUE($B418),1000000000),IFERROR(IF(VALUE(MID($B418,2,20))&lt;100000000,VALUE(MID($B418,2,20)),1000000000),1000000000))+ROW()/100000,"")</f>
        <v/>
      </c>
    </row>
    <row r="419">
      <c r="C419" s="11" t="n"/>
      <c r="J419" s="7">
        <f>IF($B419="","",I419*Q419/100)</f>
        <v/>
      </c>
      <c r="P419" s="7" t="n"/>
      <c r="Q419" s="7" t="n"/>
      <c r="R419" s="7">
        <f>IF($B419="","",Q419*W419/100)</f>
        <v/>
      </c>
      <c r="S419" s="7">
        <f>IF($B419="","",Q419-R419)</f>
        <v/>
      </c>
      <c r="T419" s="7">
        <f>IF($B419="","",S419-J419)</f>
        <v/>
      </c>
      <c r="W419">
        <f>IF($B419="","",IF($AI419=1,0,IF($AH419=1,Settings!$C$6,Settings!$C$7))*100)</f>
        <v/>
      </c>
      <c r="AA419" s="7" t="n"/>
      <c r="AD419" s="11" t="n"/>
      <c r="AF419">
        <f>IF($B419="","",IF(COUNTIF($B$2:$B419,$B419)=1,1,0))</f>
        <v/>
      </c>
      <c r="AG419">
        <f>IF($AF419=1,SUMPRODUCT(--($AJ$2:$AJ$1501&lt;$AJ419))+1,"")</f>
        <v/>
      </c>
      <c r="AH419">
        <f>IF($B419="","",IF(OR($M419=TRUE(),$M419="TRUE"),1,0))</f>
        <v/>
      </c>
      <c r="AI419">
        <f>IF($B419="","",IF($V419="Yes",1,0))</f>
        <v/>
      </c>
      <c r="AJ419">
        <f>IF($AF419=1,IFERROR(IF(VALUE($B419)&lt;100000000,VALUE($B419),1000000000),IFERROR(IF(VALUE(MID($B419,2,20))&lt;100000000,VALUE(MID($B419,2,20)),1000000000),1000000000))+ROW()/100000,"")</f>
        <v/>
      </c>
    </row>
    <row r="420">
      <c r="C420" s="11" t="n"/>
      <c r="J420" s="7">
        <f>IF($B420="","",I420*Q420/100)</f>
        <v/>
      </c>
      <c r="P420" s="7" t="n"/>
      <c r="Q420" s="7" t="n"/>
      <c r="R420" s="7">
        <f>IF($B420="","",Q420*W420/100)</f>
        <v/>
      </c>
      <c r="S420" s="7">
        <f>IF($B420="","",Q420-R420)</f>
        <v/>
      </c>
      <c r="T420" s="7">
        <f>IF($B420="","",S420-J420)</f>
        <v/>
      </c>
      <c r="W420">
        <f>IF($B420="","",IF($AI420=1,0,IF($AH420=1,Settings!$C$6,Settings!$C$7))*100)</f>
        <v/>
      </c>
      <c r="AA420" s="7" t="n"/>
      <c r="AD420" s="11" t="n"/>
      <c r="AF420">
        <f>IF($B420="","",IF(COUNTIF($B$2:$B420,$B420)=1,1,0))</f>
        <v/>
      </c>
      <c r="AG420">
        <f>IF($AF420=1,SUMPRODUCT(--($AJ$2:$AJ$1501&lt;$AJ420))+1,"")</f>
        <v/>
      </c>
      <c r="AH420">
        <f>IF($B420="","",IF(OR($M420=TRUE(),$M420="TRUE"),1,0))</f>
        <v/>
      </c>
      <c r="AI420">
        <f>IF($B420="","",IF($V420="Yes",1,0))</f>
        <v/>
      </c>
      <c r="AJ420">
        <f>IF($AF420=1,IFERROR(IF(VALUE($B420)&lt;100000000,VALUE($B420),1000000000),IFERROR(IF(VALUE(MID($B420,2,20))&lt;100000000,VALUE(MID($B420,2,20)),1000000000),1000000000))+ROW()/100000,"")</f>
        <v/>
      </c>
    </row>
    <row r="421">
      <c r="C421" s="11" t="n"/>
      <c r="J421" s="7">
        <f>IF($B421="","",I421*Q421/100)</f>
        <v/>
      </c>
      <c r="P421" s="7" t="n"/>
      <c r="Q421" s="7" t="n"/>
      <c r="R421" s="7">
        <f>IF($B421="","",Q421*W421/100)</f>
        <v/>
      </c>
      <c r="S421" s="7">
        <f>IF($B421="","",Q421-R421)</f>
        <v/>
      </c>
      <c r="T421" s="7">
        <f>IF($B421="","",S421-J421)</f>
        <v/>
      </c>
      <c r="W421">
        <f>IF($B421="","",IF($AI421=1,0,IF($AH421=1,Settings!$C$6,Settings!$C$7))*100)</f>
        <v/>
      </c>
      <c r="AA421" s="7" t="n"/>
      <c r="AD421" s="11" t="n"/>
      <c r="AF421">
        <f>IF($B421="","",IF(COUNTIF($B$2:$B421,$B421)=1,1,0))</f>
        <v/>
      </c>
      <c r="AG421">
        <f>IF($AF421=1,SUMPRODUCT(--($AJ$2:$AJ$1501&lt;$AJ421))+1,"")</f>
        <v/>
      </c>
      <c r="AH421">
        <f>IF($B421="","",IF(OR($M421=TRUE(),$M421="TRUE"),1,0))</f>
        <v/>
      </c>
      <c r="AI421">
        <f>IF($B421="","",IF($V421="Yes",1,0))</f>
        <v/>
      </c>
      <c r="AJ421">
        <f>IF($AF421=1,IFERROR(IF(VALUE($B421)&lt;100000000,VALUE($B421),1000000000),IFERROR(IF(VALUE(MID($B421,2,20))&lt;100000000,VALUE(MID($B421,2,20)),1000000000),1000000000))+ROW()/100000,"")</f>
        <v/>
      </c>
    </row>
    <row r="422">
      <c r="C422" s="11" t="n"/>
      <c r="J422" s="7">
        <f>IF($B422="","",I422*Q422/100)</f>
        <v/>
      </c>
      <c r="P422" s="7" t="n"/>
      <c r="Q422" s="7" t="n"/>
      <c r="R422" s="7">
        <f>IF($B422="","",Q422*W422/100)</f>
        <v/>
      </c>
      <c r="S422" s="7">
        <f>IF($B422="","",Q422-R422)</f>
        <v/>
      </c>
      <c r="T422" s="7">
        <f>IF($B422="","",S422-J422)</f>
        <v/>
      </c>
      <c r="W422">
        <f>IF($B422="","",IF($AI422=1,0,IF($AH422=1,Settings!$C$6,Settings!$C$7))*100)</f>
        <v/>
      </c>
      <c r="AA422" s="7" t="n"/>
      <c r="AD422" s="11" t="n"/>
      <c r="AF422">
        <f>IF($B422="","",IF(COUNTIF($B$2:$B422,$B422)=1,1,0))</f>
        <v/>
      </c>
      <c r="AG422">
        <f>IF($AF422=1,SUMPRODUCT(--($AJ$2:$AJ$1501&lt;$AJ422))+1,"")</f>
        <v/>
      </c>
      <c r="AH422">
        <f>IF($B422="","",IF(OR($M422=TRUE(),$M422="TRUE"),1,0))</f>
        <v/>
      </c>
      <c r="AI422">
        <f>IF($B422="","",IF($V422="Yes",1,0))</f>
        <v/>
      </c>
      <c r="AJ422">
        <f>IF($AF422=1,IFERROR(IF(VALUE($B422)&lt;100000000,VALUE($B422),1000000000),IFERROR(IF(VALUE(MID($B422,2,20))&lt;100000000,VALUE(MID($B422,2,20)),1000000000),1000000000))+ROW()/100000,"")</f>
        <v/>
      </c>
    </row>
    <row r="423">
      <c r="C423" s="11" t="n"/>
      <c r="J423" s="7">
        <f>IF($B423="","",I423*Q423/100)</f>
        <v/>
      </c>
      <c r="P423" s="7" t="n"/>
      <c r="Q423" s="7" t="n"/>
      <c r="R423" s="7">
        <f>IF($B423="","",Q423*W423/100)</f>
        <v/>
      </c>
      <c r="S423" s="7">
        <f>IF($B423="","",Q423-R423)</f>
        <v/>
      </c>
      <c r="T423" s="7">
        <f>IF($B423="","",S423-J423)</f>
        <v/>
      </c>
      <c r="W423">
        <f>IF($B423="","",IF($AI423=1,0,IF($AH423=1,Settings!$C$6,Settings!$C$7))*100)</f>
        <v/>
      </c>
      <c r="AA423" s="7" t="n"/>
      <c r="AD423" s="11" t="n"/>
      <c r="AF423">
        <f>IF($B423="","",IF(COUNTIF($B$2:$B423,$B423)=1,1,0))</f>
        <v/>
      </c>
      <c r="AG423">
        <f>IF($AF423=1,SUMPRODUCT(--($AJ$2:$AJ$1501&lt;$AJ423))+1,"")</f>
        <v/>
      </c>
      <c r="AH423">
        <f>IF($B423="","",IF(OR($M423=TRUE(),$M423="TRUE"),1,0))</f>
        <v/>
      </c>
      <c r="AI423">
        <f>IF($B423="","",IF($V423="Yes",1,0))</f>
        <v/>
      </c>
      <c r="AJ423">
        <f>IF($AF423=1,IFERROR(IF(VALUE($B423)&lt;100000000,VALUE($B423),1000000000),IFERROR(IF(VALUE(MID($B423,2,20))&lt;100000000,VALUE(MID($B423,2,20)),1000000000),1000000000))+ROW()/100000,"")</f>
        <v/>
      </c>
    </row>
    <row r="424">
      <c r="C424" s="11" t="n"/>
      <c r="J424" s="7">
        <f>IF($B424="","",I424*Q424/100)</f>
        <v/>
      </c>
      <c r="P424" s="7" t="n"/>
      <c r="Q424" s="7" t="n"/>
      <c r="R424" s="7">
        <f>IF($B424="","",Q424*W424/100)</f>
        <v/>
      </c>
      <c r="S424" s="7">
        <f>IF($B424="","",Q424-R424)</f>
        <v/>
      </c>
      <c r="T424" s="7">
        <f>IF($B424="","",S424-J424)</f>
        <v/>
      </c>
      <c r="W424">
        <f>IF($B424="","",IF($AI424=1,0,IF($AH424=1,Settings!$C$6,Settings!$C$7))*100)</f>
        <v/>
      </c>
      <c r="AA424" s="7" t="n"/>
      <c r="AD424" s="11" t="n"/>
      <c r="AF424">
        <f>IF($B424="","",IF(COUNTIF($B$2:$B424,$B424)=1,1,0))</f>
        <v/>
      </c>
      <c r="AG424">
        <f>IF($AF424=1,SUMPRODUCT(--($AJ$2:$AJ$1501&lt;$AJ424))+1,"")</f>
        <v/>
      </c>
      <c r="AH424">
        <f>IF($B424="","",IF(OR($M424=TRUE(),$M424="TRUE"),1,0))</f>
        <v/>
      </c>
      <c r="AI424">
        <f>IF($B424="","",IF($V424="Yes",1,0))</f>
        <v/>
      </c>
      <c r="AJ424">
        <f>IF($AF424=1,IFERROR(IF(VALUE($B424)&lt;100000000,VALUE($B424),1000000000),IFERROR(IF(VALUE(MID($B424,2,20))&lt;100000000,VALUE(MID($B424,2,20)),1000000000),1000000000))+ROW()/100000,"")</f>
        <v/>
      </c>
    </row>
    <row r="425">
      <c r="C425" s="11" t="n"/>
      <c r="J425" s="7">
        <f>IF($B425="","",I425*Q425/100)</f>
        <v/>
      </c>
      <c r="P425" s="7" t="n"/>
      <c r="Q425" s="7" t="n"/>
      <c r="R425" s="7">
        <f>IF($B425="","",Q425*W425/100)</f>
        <v/>
      </c>
      <c r="S425" s="7">
        <f>IF($B425="","",Q425-R425)</f>
        <v/>
      </c>
      <c r="T425" s="7">
        <f>IF($B425="","",S425-J425)</f>
        <v/>
      </c>
      <c r="W425">
        <f>IF($B425="","",IF($AI425=1,0,IF($AH425=1,Settings!$C$6,Settings!$C$7))*100)</f>
        <v/>
      </c>
      <c r="AA425" s="7" t="n"/>
      <c r="AD425" s="11" t="n"/>
      <c r="AF425">
        <f>IF($B425="","",IF(COUNTIF($B$2:$B425,$B425)=1,1,0))</f>
        <v/>
      </c>
      <c r="AG425">
        <f>IF($AF425=1,SUMPRODUCT(--($AJ$2:$AJ$1501&lt;$AJ425))+1,"")</f>
        <v/>
      </c>
      <c r="AH425">
        <f>IF($B425="","",IF(OR($M425=TRUE(),$M425="TRUE"),1,0))</f>
        <v/>
      </c>
      <c r="AI425">
        <f>IF($B425="","",IF($V425="Yes",1,0))</f>
        <v/>
      </c>
      <c r="AJ425">
        <f>IF($AF425=1,IFERROR(IF(VALUE($B425)&lt;100000000,VALUE($B425),1000000000),IFERROR(IF(VALUE(MID($B425,2,20))&lt;100000000,VALUE(MID($B425,2,20)),1000000000),1000000000))+ROW()/100000,"")</f>
        <v/>
      </c>
    </row>
    <row r="426">
      <c r="C426" s="11" t="n"/>
      <c r="J426" s="7">
        <f>IF($B426="","",I426*Q426/100)</f>
        <v/>
      </c>
      <c r="P426" s="7" t="n"/>
      <c r="Q426" s="7" t="n"/>
      <c r="R426" s="7">
        <f>IF($B426="","",Q426*W426/100)</f>
        <v/>
      </c>
      <c r="S426" s="7">
        <f>IF($B426="","",Q426-R426)</f>
        <v/>
      </c>
      <c r="T426" s="7">
        <f>IF($B426="","",S426-J426)</f>
        <v/>
      </c>
      <c r="W426">
        <f>IF($B426="","",IF($AI426=1,0,IF($AH426=1,Settings!$C$6,Settings!$C$7))*100)</f>
        <v/>
      </c>
      <c r="AA426" s="7" t="n"/>
      <c r="AD426" s="11" t="n"/>
      <c r="AF426">
        <f>IF($B426="","",IF(COUNTIF($B$2:$B426,$B426)=1,1,0))</f>
        <v/>
      </c>
      <c r="AG426">
        <f>IF($AF426=1,SUMPRODUCT(--($AJ$2:$AJ$1501&lt;$AJ426))+1,"")</f>
        <v/>
      </c>
      <c r="AH426">
        <f>IF($B426="","",IF(OR($M426=TRUE(),$M426="TRUE"),1,0))</f>
        <v/>
      </c>
      <c r="AI426">
        <f>IF($B426="","",IF($V426="Yes",1,0))</f>
        <v/>
      </c>
      <c r="AJ426">
        <f>IF($AF426=1,IFERROR(IF(VALUE($B426)&lt;100000000,VALUE($B426),1000000000),IFERROR(IF(VALUE(MID($B426,2,20))&lt;100000000,VALUE(MID($B426,2,20)),1000000000),1000000000))+ROW()/100000,"")</f>
        <v/>
      </c>
    </row>
    <row r="427">
      <c r="C427" s="11" t="n"/>
      <c r="J427" s="7">
        <f>IF($B427="","",I427*Q427/100)</f>
        <v/>
      </c>
      <c r="P427" s="7" t="n"/>
      <c r="Q427" s="7" t="n"/>
      <c r="R427" s="7">
        <f>IF($B427="","",Q427*W427/100)</f>
        <v/>
      </c>
      <c r="S427" s="7">
        <f>IF($B427="","",Q427-R427)</f>
        <v/>
      </c>
      <c r="T427" s="7">
        <f>IF($B427="","",S427-J427)</f>
        <v/>
      </c>
      <c r="W427">
        <f>IF($B427="","",IF($AI427=1,0,IF($AH427=1,Settings!$C$6,Settings!$C$7))*100)</f>
        <v/>
      </c>
      <c r="AA427" s="7" t="n"/>
      <c r="AD427" s="11" t="n"/>
      <c r="AF427">
        <f>IF($B427="","",IF(COUNTIF($B$2:$B427,$B427)=1,1,0))</f>
        <v/>
      </c>
      <c r="AG427">
        <f>IF($AF427=1,SUMPRODUCT(--($AJ$2:$AJ$1501&lt;$AJ427))+1,"")</f>
        <v/>
      </c>
      <c r="AH427">
        <f>IF($B427="","",IF(OR($M427=TRUE(),$M427="TRUE"),1,0))</f>
        <v/>
      </c>
      <c r="AI427">
        <f>IF($B427="","",IF($V427="Yes",1,0))</f>
        <v/>
      </c>
      <c r="AJ427">
        <f>IF($AF427=1,IFERROR(IF(VALUE($B427)&lt;100000000,VALUE($B427),1000000000),IFERROR(IF(VALUE(MID($B427,2,20))&lt;100000000,VALUE(MID($B427,2,20)),1000000000),1000000000))+ROW()/100000,"")</f>
        <v/>
      </c>
    </row>
    <row r="428">
      <c r="C428" s="11" t="n"/>
      <c r="J428" s="7">
        <f>IF($B428="","",I428*Q428/100)</f>
        <v/>
      </c>
      <c r="P428" s="7" t="n"/>
      <c r="Q428" s="7" t="n"/>
      <c r="R428" s="7">
        <f>IF($B428="","",Q428*W428/100)</f>
        <v/>
      </c>
      <c r="S428" s="7">
        <f>IF($B428="","",Q428-R428)</f>
        <v/>
      </c>
      <c r="T428" s="7">
        <f>IF($B428="","",S428-J428)</f>
        <v/>
      </c>
      <c r="W428">
        <f>IF($B428="","",IF($AI428=1,0,IF($AH428=1,Settings!$C$6,Settings!$C$7))*100)</f>
        <v/>
      </c>
      <c r="AA428" s="7" t="n"/>
      <c r="AD428" s="11" t="n"/>
      <c r="AF428">
        <f>IF($B428="","",IF(COUNTIF($B$2:$B428,$B428)=1,1,0))</f>
        <v/>
      </c>
      <c r="AG428">
        <f>IF($AF428=1,SUMPRODUCT(--($AJ$2:$AJ$1501&lt;$AJ428))+1,"")</f>
        <v/>
      </c>
      <c r="AH428">
        <f>IF($B428="","",IF(OR($M428=TRUE(),$M428="TRUE"),1,0))</f>
        <v/>
      </c>
      <c r="AI428">
        <f>IF($B428="","",IF($V428="Yes",1,0))</f>
        <v/>
      </c>
      <c r="AJ428">
        <f>IF($AF428=1,IFERROR(IF(VALUE($B428)&lt;100000000,VALUE($B428),1000000000),IFERROR(IF(VALUE(MID($B428,2,20))&lt;100000000,VALUE(MID($B428,2,20)),1000000000),1000000000))+ROW()/100000,"")</f>
        <v/>
      </c>
    </row>
    <row r="429">
      <c r="C429" s="11" t="n"/>
      <c r="J429" s="7">
        <f>IF($B429="","",I429*Q429/100)</f>
        <v/>
      </c>
      <c r="P429" s="7" t="n"/>
      <c r="Q429" s="7" t="n"/>
      <c r="R429" s="7">
        <f>IF($B429="","",Q429*W429/100)</f>
        <v/>
      </c>
      <c r="S429" s="7">
        <f>IF($B429="","",Q429-R429)</f>
        <v/>
      </c>
      <c r="T429" s="7">
        <f>IF($B429="","",S429-J429)</f>
        <v/>
      </c>
      <c r="W429">
        <f>IF($B429="","",IF($AI429=1,0,IF($AH429=1,Settings!$C$6,Settings!$C$7))*100)</f>
        <v/>
      </c>
      <c r="AA429" s="7" t="n"/>
      <c r="AD429" s="11" t="n"/>
      <c r="AF429">
        <f>IF($B429="","",IF(COUNTIF($B$2:$B429,$B429)=1,1,0))</f>
        <v/>
      </c>
      <c r="AG429">
        <f>IF($AF429=1,SUMPRODUCT(--($AJ$2:$AJ$1501&lt;$AJ429))+1,"")</f>
        <v/>
      </c>
      <c r="AH429">
        <f>IF($B429="","",IF(OR($M429=TRUE(),$M429="TRUE"),1,0))</f>
        <v/>
      </c>
      <c r="AI429">
        <f>IF($B429="","",IF($V429="Yes",1,0))</f>
        <v/>
      </c>
      <c r="AJ429">
        <f>IF($AF429=1,IFERROR(IF(VALUE($B429)&lt;100000000,VALUE($B429),1000000000),IFERROR(IF(VALUE(MID($B429,2,20))&lt;100000000,VALUE(MID($B429,2,20)),1000000000),1000000000))+ROW()/100000,"")</f>
        <v/>
      </c>
    </row>
    <row r="430">
      <c r="C430" s="11" t="n"/>
      <c r="J430" s="7">
        <f>IF($B430="","",I430*Q430/100)</f>
        <v/>
      </c>
      <c r="P430" s="7" t="n"/>
      <c r="Q430" s="7" t="n"/>
      <c r="R430" s="7">
        <f>IF($B430="","",Q430*W430/100)</f>
        <v/>
      </c>
      <c r="S430" s="7">
        <f>IF($B430="","",Q430-R430)</f>
        <v/>
      </c>
      <c r="T430" s="7">
        <f>IF($B430="","",S430-J430)</f>
        <v/>
      </c>
      <c r="W430">
        <f>IF($B430="","",IF($AI430=1,0,IF($AH430=1,Settings!$C$6,Settings!$C$7))*100)</f>
        <v/>
      </c>
      <c r="AA430" s="7" t="n"/>
      <c r="AD430" s="11" t="n"/>
      <c r="AF430">
        <f>IF($B430="","",IF(COUNTIF($B$2:$B430,$B430)=1,1,0))</f>
        <v/>
      </c>
      <c r="AG430">
        <f>IF($AF430=1,SUMPRODUCT(--($AJ$2:$AJ$1501&lt;$AJ430))+1,"")</f>
        <v/>
      </c>
      <c r="AH430">
        <f>IF($B430="","",IF(OR($M430=TRUE(),$M430="TRUE"),1,0))</f>
        <v/>
      </c>
      <c r="AI430">
        <f>IF($B430="","",IF($V430="Yes",1,0))</f>
        <v/>
      </c>
      <c r="AJ430">
        <f>IF($AF430=1,IFERROR(IF(VALUE($B430)&lt;100000000,VALUE($B430),1000000000),IFERROR(IF(VALUE(MID($B430,2,20))&lt;100000000,VALUE(MID($B430,2,20)),1000000000),1000000000))+ROW()/100000,"")</f>
        <v/>
      </c>
    </row>
    <row r="431">
      <c r="C431" s="11" t="n"/>
      <c r="J431" s="7">
        <f>IF($B431="","",I431*Q431/100)</f>
        <v/>
      </c>
      <c r="P431" s="7" t="n"/>
      <c r="Q431" s="7" t="n"/>
      <c r="R431" s="7">
        <f>IF($B431="","",Q431*W431/100)</f>
        <v/>
      </c>
      <c r="S431" s="7">
        <f>IF($B431="","",Q431-R431)</f>
        <v/>
      </c>
      <c r="T431" s="7">
        <f>IF($B431="","",S431-J431)</f>
        <v/>
      </c>
      <c r="W431">
        <f>IF($B431="","",IF($AI431=1,0,IF($AH431=1,Settings!$C$6,Settings!$C$7))*100)</f>
        <v/>
      </c>
      <c r="AA431" s="7" t="n"/>
      <c r="AD431" s="11" t="n"/>
      <c r="AF431">
        <f>IF($B431="","",IF(COUNTIF($B$2:$B431,$B431)=1,1,0))</f>
        <v/>
      </c>
      <c r="AG431">
        <f>IF($AF431=1,SUMPRODUCT(--($AJ$2:$AJ$1501&lt;$AJ431))+1,"")</f>
        <v/>
      </c>
      <c r="AH431">
        <f>IF($B431="","",IF(OR($M431=TRUE(),$M431="TRUE"),1,0))</f>
        <v/>
      </c>
      <c r="AI431">
        <f>IF($B431="","",IF($V431="Yes",1,0))</f>
        <v/>
      </c>
      <c r="AJ431">
        <f>IF($AF431=1,IFERROR(IF(VALUE($B431)&lt;100000000,VALUE($B431),1000000000),IFERROR(IF(VALUE(MID($B431,2,20))&lt;100000000,VALUE(MID($B431,2,20)),1000000000),1000000000))+ROW()/100000,"")</f>
        <v/>
      </c>
    </row>
    <row r="432">
      <c r="C432" s="11" t="n"/>
      <c r="J432" s="7">
        <f>IF($B432="","",I432*Q432/100)</f>
        <v/>
      </c>
      <c r="P432" s="7" t="n"/>
      <c r="Q432" s="7" t="n"/>
      <c r="R432" s="7">
        <f>IF($B432="","",Q432*W432/100)</f>
        <v/>
      </c>
      <c r="S432" s="7">
        <f>IF($B432="","",Q432-R432)</f>
        <v/>
      </c>
      <c r="T432" s="7">
        <f>IF($B432="","",S432-J432)</f>
        <v/>
      </c>
      <c r="W432">
        <f>IF($B432="","",IF($AI432=1,0,IF($AH432=1,Settings!$C$6,Settings!$C$7))*100)</f>
        <v/>
      </c>
      <c r="AA432" s="7" t="n"/>
      <c r="AD432" s="11" t="n"/>
      <c r="AF432">
        <f>IF($B432="","",IF(COUNTIF($B$2:$B432,$B432)=1,1,0))</f>
        <v/>
      </c>
      <c r="AG432">
        <f>IF($AF432=1,SUMPRODUCT(--($AJ$2:$AJ$1501&lt;$AJ432))+1,"")</f>
        <v/>
      </c>
      <c r="AH432">
        <f>IF($B432="","",IF(OR($M432=TRUE(),$M432="TRUE"),1,0))</f>
        <v/>
      </c>
      <c r="AI432">
        <f>IF($B432="","",IF($V432="Yes",1,0))</f>
        <v/>
      </c>
      <c r="AJ432">
        <f>IF($AF432=1,IFERROR(IF(VALUE($B432)&lt;100000000,VALUE($B432),1000000000),IFERROR(IF(VALUE(MID($B432,2,20))&lt;100000000,VALUE(MID($B432,2,20)),1000000000),1000000000))+ROW()/100000,"")</f>
        <v/>
      </c>
    </row>
    <row r="433">
      <c r="C433" s="11" t="n"/>
      <c r="J433" s="7">
        <f>IF($B433="","",I433*Q433/100)</f>
        <v/>
      </c>
      <c r="P433" s="7" t="n"/>
      <c r="Q433" s="7" t="n"/>
      <c r="R433" s="7">
        <f>IF($B433="","",Q433*W433/100)</f>
        <v/>
      </c>
      <c r="S433" s="7">
        <f>IF($B433="","",Q433-R433)</f>
        <v/>
      </c>
      <c r="T433" s="7">
        <f>IF($B433="","",S433-J433)</f>
        <v/>
      </c>
      <c r="W433">
        <f>IF($B433="","",IF($AI433=1,0,IF($AH433=1,Settings!$C$6,Settings!$C$7))*100)</f>
        <v/>
      </c>
      <c r="AA433" s="7" t="n"/>
      <c r="AD433" s="11" t="n"/>
      <c r="AF433">
        <f>IF($B433="","",IF(COUNTIF($B$2:$B433,$B433)=1,1,0))</f>
        <v/>
      </c>
      <c r="AG433">
        <f>IF($AF433=1,SUMPRODUCT(--($AJ$2:$AJ$1501&lt;$AJ433))+1,"")</f>
        <v/>
      </c>
      <c r="AH433">
        <f>IF($B433="","",IF(OR($M433=TRUE(),$M433="TRUE"),1,0))</f>
        <v/>
      </c>
      <c r="AI433">
        <f>IF($B433="","",IF($V433="Yes",1,0))</f>
        <v/>
      </c>
      <c r="AJ433">
        <f>IF($AF433=1,IFERROR(IF(VALUE($B433)&lt;100000000,VALUE($B433),1000000000),IFERROR(IF(VALUE(MID($B433,2,20))&lt;100000000,VALUE(MID($B433,2,20)),1000000000),1000000000))+ROW()/100000,"")</f>
        <v/>
      </c>
    </row>
    <row r="434">
      <c r="C434" s="11" t="n"/>
      <c r="J434" s="7">
        <f>IF($B434="","",I434*Q434/100)</f>
        <v/>
      </c>
      <c r="P434" s="7" t="n"/>
      <c r="Q434" s="7" t="n"/>
      <c r="R434" s="7">
        <f>IF($B434="","",Q434*W434/100)</f>
        <v/>
      </c>
      <c r="S434" s="7">
        <f>IF($B434="","",Q434-R434)</f>
        <v/>
      </c>
      <c r="T434" s="7">
        <f>IF($B434="","",S434-J434)</f>
        <v/>
      </c>
      <c r="W434">
        <f>IF($B434="","",IF($AI434=1,0,IF($AH434=1,Settings!$C$6,Settings!$C$7))*100)</f>
        <v/>
      </c>
      <c r="AA434" s="7" t="n"/>
      <c r="AD434" s="11" t="n"/>
      <c r="AF434">
        <f>IF($B434="","",IF(COUNTIF($B$2:$B434,$B434)=1,1,0))</f>
        <v/>
      </c>
      <c r="AG434">
        <f>IF($AF434=1,SUMPRODUCT(--($AJ$2:$AJ$1501&lt;$AJ434))+1,"")</f>
        <v/>
      </c>
      <c r="AH434">
        <f>IF($B434="","",IF(OR($M434=TRUE(),$M434="TRUE"),1,0))</f>
        <v/>
      </c>
      <c r="AI434">
        <f>IF($B434="","",IF($V434="Yes",1,0))</f>
        <v/>
      </c>
      <c r="AJ434">
        <f>IF($AF434=1,IFERROR(IF(VALUE($B434)&lt;100000000,VALUE($B434),1000000000),IFERROR(IF(VALUE(MID($B434,2,20))&lt;100000000,VALUE(MID($B434,2,20)),1000000000),1000000000))+ROW()/100000,"")</f>
        <v/>
      </c>
    </row>
    <row r="435">
      <c r="C435" s="11" t="n"/>
      <c r="J435" s="7">
        <f>IF($B435="","",I435*Q435/100)</f>
        <v/>
      </c>
      <c r="P435" s="7" t="n"/>
      <c r="Q435" s="7" t="n"/>
      <c r="R435" s="7">
        <f>IF($B435="","",Q435*W435/100)</f>
        <v/>
      </c>
      <c r="S435" s="7">
        <f>IF($B435="","",Q435-R435)</f>
        <v/>
      </c>
      <c r="T435" s="7">
        <f>IF($B435="","",S435-J435)</f>
        <v/>
      </c>
      <c r="W435">
        <f>IF($B435="","",IF($AI435=1,0,IF($AH435=1,Settings!$C$6,Settings!$C$7))*100)</f>
        <v/>
      </c>
      <c r="AA435" s="7" t="n"/>
      <c r="AD435" s="11" t="n"/>
      <c r="AF435">
        <f>IF($B435="","",IF(COUNTIF($B$2:$B435,$B435)=1,1,0))</f>
        <v/>
      </c>
      <c r="AG435">
        <f>IF($AF435=1,SUMPRODUCT(--($AJ$2:$AJ$1501&lt;$AJ435))+1,"")</f>
        <v/>
      </c>
      <c r="AH435">
        <f>IF($B435="","",IF(OR($M435=TRUE(),$M435="TRUE"),1,0))</f>
        <v/>
      </c>
      <c r="AI435">
        <f>IF($B435="","",IF($V435="Yes",1,0))</f>
        <v/>
      </c>
      <c r="AJ435">
        <f>IF($AF435=1,IFERROR(IF(VALUE($B435)&lt;100000000,VALUE($B435),1000000000),IFERROR(IF(VALUE(MID($B435,2,20))&lt;100000000,VALUE(MID($B435,2,20)),1000000000),1000000000))+ROW()/100000,"")</f>
        <v/>
      </c>
    </row>
    <row r="436">
      <c r="C436" s="11" t="n"/>
      <c r="J436" s="7">
        <f>IF($B436="","",I436*Q436/100)</f>
        <v/>
      </c>
      <c r="P436" s="7" t="n"/>
      <c r="Q436" s="7" t="n"/>
      <c r="R436" s="7">
        <f>IF($B436="","",Q436*W436/100)</f>
        <v/>
      </c>
      <c r="S436" s="7">
        <f>IF($B436="","",Q436-R436)</f>
        <v/>
      </c>
      <c r="T436" s="7">
        <f>IF($B436="","",S436-J436)</f>
        <v/>
      </c>
      <c r="W436">
        <f>IF($B436="","",IF($AI436=1,0,IF($AH436=1,Settings!$C$6,Settings!$C$7))*100)</f>
        <v/>
      </c>
      <c r="AA436" s="7" t="n"/>
      <c r="AD436" s="11" t="n"/>
      <c r="AF436">
        <f>IF($B436="","",IF(COUNTIF($B$2:$B436,$B436)=1,1,0))</f>
        <v/>
      </c>
      <c r="AG436">
        <f>IF($AF436=1,SUMPRODUCT(--($AJ$2:$AJ$1501&lt;$AJ436))+1,"")</f>
        <v/>
      </c>
      <c r="AH436">
        <f>IF($B436="","",IF(OR($M436=TRUE(),$M436="TRUE"),1,0))</f>
        <v/>
      </c>
      <c r="AI436">
        <f>IF($B436="","",IF($V436="Yes",1,0))</f>
        <v/>
      </c>
      <c r="AJ436">
        <f>IF($AF436=1,IFERROR(IF(VALUE($B436)&lt;100000000,VALUE($B436),1000000000),IFERROR(IF(VALUE(MID($B436,2,20))&lt;100000000,VALUE(MID($B436,2,20)),1000000000),1000000000))+ROW()/100000,"")</f>
        <v/>
      </c>
    </row>
    <row r="437">
      <c r="C437" s="11" t="n"/>
      <c r="J437" s="7">
        <f>IF($B437="","",I437*Q437/100)</f>
        <v/>
      </c>
      <c r="P437" s="7" t="n"/>
      <c r="Q437" s="7" t="n"/>
      <c r="R437" s="7">
        <f>IF($B437="","",Q437*W437/100)</f>
        <v/>
      </c>
      <c r="S437" s="7">
        <f>IF($B437="","",Q437-R437)</f>
        <v/>
      </c>
      <c r="T437" s="7">
        <f>IF($B437="","",S437-J437)</f>
        <v/>
      </c>
      <c r="W437">
        <f>IF($B437="","",IF($AI437=1,0,IF($AH437=1,Settings!$C$6,Settings!$C$7))*100)</f>
        <v/>
      </c>
      <c r="AA437" s="7" t="n"/>
      <c r="AD437" s="11" t="n"/>
      <c r="AF437">
        <f>IF($B437="","",IF(COUNTIF($B$2:$B437,$B437)=1,1,0))</f>
        <v/>
      </c>
      <c r="AG437">
        <f>IF($AF437=1,SUMPRODUCT(--($AJ$2:$AJ$1501&lt;$AJ437))+1,"")</f>
        <v/>
      </c>
      <c r="AH437">
        <f>IF($B437="","",IF(OR($M437=TRUE(),$M437="TRUE"),1,0))</f>
        <v/>
      </c>
      <c r="AI437">
        <f>IF($B437="","",IF($V437="Yes",1,0))</f>
        <v/>
      </c>
      <c r="AJ437">
        <f>IF($AF437=1,IFERROR(IF(VALUE($B437)&lt;100000000,VALUE($B437),1000000000),IFERROR(IF(VALUE(MID($B437,2,20))&lt;100000000,VALUE(MID($B437,2,20)),1000000000),1000000000))+ROW()/100000,"")</f>
        <v/>
      </c>
    </row>
    <row r="438">
      <c r="C438" s="11" t="n"/>
      <c r="J438" s="7">
        <f>IF($B438="","",I438*Q438/100)</f>
        <v/>
      </c>
      <c r="P438" s="7" t="n"/>
      <c r="Q438" s="7" t="n"/>
      <c r="R438" s="7">
        <f>IF($B438="","",Q438*W438/100)</f>
        <v/>
      </c>
      <c r="S438" s="7">
        <f>IF($B438="","",Q438-R438)</f>
        <v/>
      </c>
      <c r="T438" s="7">
        <f>IF($B438="","",S438-J438)</f>
        <v/>
      </c>
      <c r="W438">
        <f>IF($B438="","",IF($AI438=1,0,IF($AH438=1,Settings!$C$6,Settings!$C$7))*100)</f>
        <v/>
      </c>
      <c r="AA438" s="7" t="n"/>
      <c r="AD438" s="11" t="n"/>
      <c r="AF438">
        <f>IF($B438="","",IF(COUNTIF($B$2:$B438,$B438)=1,1,0))</f>
        <v/>
      </c>
      <c r="AG438">
        <f>IF($AF438=1,SUMPRODUCT(--($AJ$2:$AJ$1501&lt;$AJ438))+1,"")</f>
        <v/>
      </c>
      <c r="AH438">
        <f>IF($B438="","",IF(OR($M438=TRUE(),$M438="TRUE"),1,0))</f>
        <v/>
      </c>
      <c r="AI438">
        <f>IF($B438="","",IF($V438="Yes",1,0))</f>
        <v/>
      </c>
      <c r="AJ438">
        <f>IF($AF438=1,IFERROR(IF(VALUE($B438)&lt;100000000,VALUE($B438),1000000000),IFERROR(IF(VALUE(MID($B438,2,20))&lt;100000000,VALUE(MID($B438,2,20)),1000000000),1000000000))+ROW()/100000,"")</f>
        <v/>
      </c>
    </row>
    <row r="439">
      <c r="C439" s="11" t="n"/>
      <c r="J439" s="7">
        <f>IF($B439="","",I439*Q439/100)</f>
        <v/>
      </c>
      <c r="P439" s="7" t="n"/>
      <c r="Q439" s="7" t="n"/>
      <c r="R439" s="7">
        <f>IF($B439="","",Q439*W439/100)</f>
        <v/>
      </c>
      <c r="S439" s="7">
        <f>IF($B439="","",Q439-R439)</f>
        <v/>
      </c>
      <c r="T439" s="7">
        <f>IF($B439="","",S439-J439)</f>
        <v/>
      </c>
      <c r="W439">
        <f>IF($B439="","",IF($AI439=1,0,IF($AH439=1,Settings!$C$6,Settings!$C$7))*100)</f>
        <v/>
      </c>
      <c r="AA439" s="7" t="n"/>
      <c r="AD439" s="11" t="n"/>
      <c r="AF439">
        <f>IF($B439="","",IF(COUNTIF($B$2:$B439,$B439)=1,1,0))</f>
        <v/>
      </c>
      <c r="AG439">
        <f>IF($AF439=1,SUMPRODUCT(--($AJ$2:$AJ$1501&lt;$AJ439))+1,"")</f>
        <v/>
      </c>
      <c r="AH439">
        <f>IF($B439="","",IF(OR($M439=TRUE(),$M439="TRUE"),1,0))</f>
        <v/>
      </c>
      <c r="AI439">
        <f>IF($B439="","",IF($V439="Yes",1,0))</f>
        <v/>
      </c>
      <c r="AJ439">
        <f>IF($AF439=1,IFERROR(IF(VALUE($B439)&lt;100000000,VALUE($B439),1000000000),IFERROR(IF(VALUE(MID($B439,2,20))&lt;100000000,VALUE(MID($B439,2,20)),1000000000),1000000000))+ROW()/100000,"")</f>
        <v/>
      </c>
    </row>
    <row r="440">
      <c r="C440" s="11" t="n"/>
      <c r="J440" s="7">
        <f>IF($B440="","",I440*Q440/100)</f>
        <v/>
      </c>
      <c r="P440" s="7" t="n"/>
      <c r="Q440" s="7" t="n"/>
      <c r="R440" s="7">
        <f>IF($B440="","",Q440*W440/100)</f>
        <v/>
      </c>
      <c r="S440" s="7">
        <f>IF($B440="","",Q440-R440)</f>
        <v/>
      </c>
      <c r="T440" s="7">
        <f>IF($B440="","",S440-J440)</f>
        <v/>
      </c>
      <c r="W440">
        <f>IF($B440="","",IF($AI440=1,0,IF($AH440=1,Settings!$C$6,Settings!$C$7))*100)</f>
        <v/>
      </c>
      <c r="AA440" s="7" t="n"/>
      <c r="AD440" s="11" t="n"/>
      <c r="AF440">
        <f>IF($B440="","",IF(COUNTIF($B$2:$B440,$B440)=1,1,0))</f>
        <v/>
      </c>
      <c r="AG440">
        <f>IF($AF440=1,SUMPRODUCT(--($AJ$2:$AJ$1501&lt;$AJ440))+1,"")</f>
        <v/>
      </c>
      <c r="AH440">
        <f>IF($B440="","",IF(OR($M440=TRUE(),$M440="TRUE"),1,0))</f>
        <v/>
      </c>
      <c r="AI440">
        <f>IF($B440="","",IF($V440="Yes",1,0))</f>
        <v/>
      </c>
      <c r="AJ440">
        <f>IF($AF440=1,IFERROR(IF(VALUE($B440)&lt;100000000,VALUE($B440),1000000000),IFERROR(IF(VALUE(MID($B440,2,20))&lt;100000000,VALUE(MID($B440,2,20)),1000000000),1000000000))+ROW()/100000,"")</f>
        <v/>
      </c>
    </row>
    <row r="441">
      <c r="C441" s="11" t="n"/>
      <c r="J441" s="7">
        <f>IF($B441="","",I441*Q441/100)</f>
        <v/>
      </c>
      <c r="P441" s="7" t="n"/>
      <c r="Q441" s="7" t="n"/>
      <c r="R441" s="7">
        <f>IF($B441="","",Q441*W441/100)</f>
        <v/>
      </c>
      <c r="S441" s="7">
        <f>IF($B441="","",Q441-R441)</f>
        <v/>
      </c>
      <c r="T441" s="7">
        <f>IF($B441="","",S441-J441)</f>
        <v/>
      </c>
      <c r="W441">
        <f>IF($B441="","",IF($AI441=1,0,IF($AH441=1,Settings!$C$6,Settings!$C$7))*100)</f>
        <v/>
      </c>
      <c r="AA441" s="7" t="n"/>
      <c r="AD441" s="11" t="n"/>
      <c r="AF441">
        <f>IF($B441="","",IF(COUNTIF($B$2:$B441,$B441)=1,1,0))</f>
        <v/>
      </c>
      <c r="AG441">
        <f>IF($AF441=1,SUMPRODUCT(--($AJ$2:$AJ$1501&lt;$AJ441))+1,"")</f>
        <v/>
      </c>
      <c r="AH441">
        <f>IF($B441="","",IF(OR($M441=TRUE(),$M441="TRUE"),1,0))</f>
        <v/>
      </c>
      <c r="AI441">
        <f>IF($B441="","",IF($V441="Yes",1,0))</f>
        <v/>
      </c>
      <c r="AJ441">
        <f>IF($AF441=1,IFERROR(IF(VALUE($B441)&lt;100000000,VALUE($B441),1000000000),IFERROR(IF(VALUE(MID($B441,2,20))&lt;100000000,VALUE(MID($B441,2,20)),1000000000),1000000000))+ROW()/100000,"")</f>
        <v/>
      </c>
    </row>
    <row r="442">
      <c r="C442" s="11" t="n"/>
      <c r="J442" s="7">
        <f>IF($B442="","",I442*Q442/100)</f>
        <v/>
      </c>
      <c r="P442" s="7" t="n"/>
      <c r="Q442" s="7" t="n"/>
      <c r="R442" s="7">
        <f>IF($B442="","",Q442*W442/100)</f>
        <v/>
      </c>
      <c r="S442" s="7">
        <f>IF($B442="","",Q442-R442)</f>
        <v/>
      </c>
      <c r="T442" s="7">
        <f>IF($B442="","",S442-J442)</f>
        <v/>
      </c>
      <c r="W442">
        <f>IF($B442="","",IF($AI442=1,0,IF($AH442=1,Settings!$C$6,Settings!$C$7))*100)</f>
        <v/>
      </c>
      <c r="AA442" s="7" t="n"/>
      <c r="AD442" s="11" t="n"/>
      <c r="AF442">
        <f>IF($B442="","",IF(COUNTIF($B$2:$B442,$B442)=1,1,0))</f>
        <v/>
      </c>
      <c r="AG442">
        <f>IF($AF442=1,SUMPRODUCT(--($AJ$2:$AJ$1501&lt;$AJ442))+1,"")</f>
        <v/>
      </c>
      <c r="AH442">
        <f>IF($B442="","",IF(OR($M442=TRUE(),$M442="TRUE"),1,0))</f>
        <v/>
      </c>
      <c r="AI442">
        <f>IF($B442="","",IF($V442="Yes",1,0))</f>
        <v/>
      </c>
      <c r="AJ442">
        <f>IF($AF442=1,IFERROR(IF(VALUE($B442)&lt;100000000,VALUE($B442),1000000000),IFERROR(IF(VALUE(MID($B442,2,20))&lt;100000000,VALUE(MID($B442,2,20)),1000000000),1000000000))+ROW()/100000,"")</f>
        <v/>
      </c>
    </row>
    <row r="443">
      <c r="C443" s="11" t="n"/>
      <c r="J443" s="7">
        <f>IF($B443="","",I443*Q443/100)</f>
        <v/>
      </c>
      <c r="P443" s="7" t="n"/>
      <c r="Q443" s="7" t="n"/>
      <c r="R443" s="7">
        <f>IF($B443="","",Q443*W443/100)</f>
        <v/>
      </c>
      <c r="S443" s="7">
        <f>IF($B443="","",Q443-R443)</f>
        <v/>
      </c>
      <c r="T443" s="7">
        <f>IF($B443="","",S443-J443)</f>
        <v/>
      </c>
      <c r="W443">
        <f>IF($B443="","",IF($AI443=1,0,IF($AH443=1,Settings!$C$6,Settings!$C$7))*100)</f>
        <v/>
      </c>
      <c r="AA443" s="7" t="n"/>
      <c r="AD443" s="11" t="n"/>
      <c r="AF443">
        <f>IF($B443="","",IF(COUNTIF($B$2:$B443,$B443)=1,1,0))</f>
        <v/>
      </c>
      <c r="AG443">
        <f>IF($AF443=1,SUMPRODUCT(--($AJ$2:$AJ$1501&lt;$AJ443))+1,"")</f>
        <v/>
      </c>
      <c r="AH443">
        <f>IF($B443="","",IF(OR($M443=TRUE(),$M443="TRUE"),1,0))</f>
        <v/>
      </c>
      <c r="AI443">
        <f>IF($B443="","",IF($V443="Yes",1,0))</f>
        <v/>
      </c>
      <c r="AJ443">
        <f>IF($AF443=1,IFERROR(IF(VALUE($B443)&lt;100000000,VALUE($B443),1000000000),IFERROR(IF(VALUE(MID($B443,2,20))&lt;100000000,VALUE(MID($B443,2,20)),1000000000),1000000000))+ROW()/100000,"")</f>
        <v/>
      </c>
    </row>
    <row r="444">
      <c r="C444" s="11" t="n"/>
      <c r="J444" s="7">
        <f>IF($B444="","",I444*Q444/100)</f>
        <v/>
      </c>
      <c r="P444" s="7" t="n"/>
      <c r="Q444" s="7" t="n"/>
      <c r="R444" s="7">
        <f>IF($B444="","",Q444*W444/100)</f>
        <v/>
      </c>
      <c r="S444" s="7">
        <f>IF($B444="","",Q444-R444)</f>
        <v/>
      </c>
      <c r="T444" s="7">
        <f>IF($B444="","",S444-J444)</f>
        <v/>
      </c>
      <c r="W444">
        <f>IF($B444="","",IF($AI444=1,0,IF($AH444=1,Settings!$C$6,Settings!$C$7))*100)</f>
        <v/>
      </c>
      <c r="AA444" s="7" t="n"/>
      <c r="AD444" s="11" t="n"/>
      <c r="AF444">
        <f>IF($B444="","",IF(COUNTIF($B$2:$B444,$B444)=1,1,0))</f>
        <v/>
      </c>
      <c r="AG444">
        <f>IF($AF444=1,SUMPRODUCT(--($AJ$2:$AJ$1501&lt;$AJ444))+1,"")</f>
        <v/>
      </c>
      <c r="AH444">
        <f>IF($B444="","",IF(OR($M444=TRUE(),$M444="TRUE"),1,0))</f>
        <v/>
      </c>
      <c r="AI444">
        <f>IF($B444="","",IF($V444="Yes",1,0))</f>
        <v/>
      </c>
      <c r="AJ444">
        <f>IF($AF444=1,IFERROR(IF(VALUE($B444)&lt;100000000,VALUE($B444),1000000000),IFERROR(IF(VALUE(MID($B444,2,20))&lt;100000000,VALUE(MID($B444,2,20)),1000000000),1000000000))+ROW()/100000,"")</f>
        <v/>
      </c>
    </row>
    <row r="445">
      <c r="C445" s="11" t="n"/>
      <c r="J445" s="7">
        <f>IF($B445="","",I445*Q445/100)</f>
        <v/>
      </c>
      <c r="P445" s="7" t="n"/>
      <c r="Q445" s="7" t="n"/>
      <c r="R445" s="7">
        <f>IF($B445="","",Q445*W445/100)</f>
        <v/>
      </c>
      <c r="S445" s="7">
        <f>IF($B445="","",Q445-R445)</f>
        <v/>
      </c>
      <c r="T445" s="7">
        <f>IF($B445="","",S445-J445)</f>
        <v/>
      </c>
      <c r="W445">
        <f>IF($B445="","",IF($AI445=1,0,IF($AH445=1,Settings!$C$6,Settings!$C$7))*100)</f>
        <v/>
      </c>
      <c r="AA445" s="7" t="n"/>
      <c r="AD445" s="11" t="n"/>
      <c r="AF445">
        <f>IF($B445="","",IF(COUNTIF($B$2:$B445,$B445)=1,1,0))</f>
        <v/>
      </c>
      <c r="AG445">
        <f>IF($AF445=1,SUMPRODUCT(--($AJ$2:$AJ$1501&lt;$AJ445))+1,"")</f>
        <v/>
      </c>
      <c r="AH445">
        <f>IF($B445="","",IF(OR($M445=TRUE(),$M445="TRUE"),1,0))</f>
        <v/>
      </c>
      <c r="AI445">
        <f>IF($B445="","",IF($V445="Yes",1,0))</f>
        <v/>
      </c>
      <c r="AJ445">
        <f>IF($AF445=1,IFERROR(IF(VALUE($B445)&lt;100000000,VALUE($B445),1000000000),IFERROR(IF(VALUE(MID($B445,2,20))&lt;100000000,VALUE(MID($B445,2,20)),1000000000),1000000000))+ROW()/100000,"")</f>
        <v/>
      </c>
    </row>
    <row r="446">
      <c r="C446" s="11" t="n"/>
      <c r="J446" s="7">
        <f>IF($B446="","",I446*Q446/100)</f>
        <v/>
      </c>
      <c r="P446" s="7" t="n"/>
      <c r="Q446" s="7" t="n"/>
      <c r="R446" s="7">
        <f>IF($B446="","",Q446*W446/100)</f>
        <v/>
      </c>
      <c r="S446" s="7">
        <f>IF($B446="","",Q446-R446)</f>
        <v/>
      </c>
      <c r="T446" s="7">
        <f>IF($B446="","",S446-J446)</f>
        <v/>
      </c>
      <c r="W446">
        <f>IF($B446="","",IF($AI446=1,0,IF($AH446=1,Settings!$C$6,Settings!$C$7))*100)</f>
        <v/>
      </c>
      <c r="AA446" s="7" t="n"/>
      <c r="AD446" s="11" t="n"/>
      <c r="AF446">
        <f>IF($B446="","",IF(COUNTIF($B$2:$B446,$B446)=1,1,0))</f>
        <v/>
      </c>
      <c r="AG446">
        <f>IF($AF446=1,SUMPRODUCT(--($AJ$2:$AJ$1501&lt;$AJ446))+1,"")</f>
        <v/>
      </c>
      <c r="AH446">
        <f>IF($B446="","",IF(OR($M446=TRUE(),$M446="TRUE"),1,0))</f>
        <v/>
      </c>
      <c r="AI446">
        <f>IF($B446="","",IF($V446="Yes",1,0))</f>
        <v/>
      </c>
      <c r="AJ446">
        <f>IF($AF446=1,IFERROR(IF(VALUE($B446)&lt;100000000,VALUE($B446),1000000000),IFERROR(IF(VALUE(MID($B446,2,20))&lt;100000000,VALUE(MID($B446,2,20)),1000000000),1000000000))+ROW()/100000,"")</f>
        <v/>
      </c>
    </row>
    <row r="447">
      <c r="C447" s="11" t="n"/>
      <c r="J447" s="7">
        <f>IF($B447="","",I447*Q447/100)</f>
        <v/>
      </c>
      <c r="P447" s="7" t="n"/>
      <c r="Q447" s="7" t="n"/>
      <c r="R447" s="7">
        <f>IF($B447="","",Q447*W447/100)</f>
        <v/>
      </c>
      <c r="S447" s="7">
        <f>IF($B447="","",Q447-R447)</f>
        <v/>
      </c>
      <c r="T447" s="7">
        <f>IF($B447="","",S447-J447)</f>
        <v/>
      </c>
      <c r="W447">
        <f>IF($B447="","",IF($AI447=1,0,IF($AH447=1,Settings!$C$6,Settings!$C$7))*100)</f>
        <v/>
      </c>
      <c r="AA447" s="7" t="n"/>
      <c r="AD447" s="11" t="n"/>
      <c r="AF447">
        <f>IF($B447="","",IF(COUNTIF($B$2:$B447,$B447)=1,1,0))</f>
        <v/>
      </c>
      <c r="AG447">
        <f>IF($AF447=1,SUMPRODUCT(--($AJ$2:$AJ$1501&lt;$AJ447))+1,"")</f>
        <v/>
      </c>
      <c r="AH447">
        <f>IF($B447="","",IF(OR($M447=TRUE(),$M447="TRUE"),1,0))</f>
        <v/>
      </c>
      <c r="AI447">
        <f>IF($B447="","",IF($V447="Yes",1,0))</f>
        <v/>
      </c>
      <c r="AJ447">
        <f>IF($AF447=1,IFERROR(IF(VALUE($B447)&lt;100000000,VALUE($B447),1000000000),IFERROR(IF(VALUE(MID($B447,2,20))&lt;100000000,VALUE(MID($B447,2,20)),1000000000),1000000000))+ROW()/100000,"")</f>
        <v/>
      </c>
    </row>
    <row r="448">
      <c r="C448" s="11" t="n"/>
      <c r="J448" s="7">
        <f>IF($B448="","",I448*Q448/100)</f>
        <v/>
      </c>
      <c r="P448" s="7" t="n"/>
      <c r="Q448" s="7" t="n"/>
      <c r="R448" s="7">
        <f>IF($B448="","",Q448*W448/100)</f>
        <v/>
      </c>
      <c r="S448" s="7">
        <f>IF($B448="","",Q448-R448)</f>
        <v/>
      </c>
      <c r="T448" s="7">
        <f>IF($B448="","",S448-J448)</f>
        <v/>
      </c>
      <c r="W448">
        <f>IF($B448="","",IF($AI448=1,0,IF($AH448=1,Settings!$C$6,Settings!$C$7))*100)</f>
        <v/>
      </c>
      <c r="AA448" s="7" t="n"/>
      <c r="AD448" s="11" t="n"/>
      <c r="AF448">
        <f>IF($B448="","",IF(COUNTIF($B$2:$B448,$B448)=1,1,0))</f>
        <v/>
      </c>
      <c r="AG448">
        <f>IF($AF448=1,SUMPRODUCT(--($AJ$2:$AJ$1501&lt;$AJ448))+1,"")</f>
        <v/>
      </c>
      <c r="AH448">
        <f>IF($B448="","",IF(OR($M448=TRUE(),$M448="TRUE"),1,0))</f>
        <v/>
      </c>
      <c r="AI448">
        <f>IF($B448="","",IF($V448="Yes",1,0))</f>
        <v/>
      </c>
      <c r="AJ448">
        <f>IF($AF448=1,IFERROR(IF(VALUE($B448)&lt;100000000,VALUE($B448),1000000000),IFERROR(IF(VALUE(MID($B448,2,20))&lt;100000000,VALUE(MID($B448,2,20)),1000000000),1000000000))+ROW()/100000,"")</f>
        <v/>
      </c>
    </row>
    <row r="449">
      <c r="C449" s="11" t="n"/>
      <c r="J449" s="7">
        <f>IF($B449="","",I449*Q449/100)</f>
        <v/>
      </c>
      <c r="P449" s="7" t="n"/>
      <c r="Q449" s="7" t="n"/>
      <c r="R449" s="7">
        <f>IF($B449="","",Q449*W449/100)</f>
        <v/>
      </c>
      <c r="S449" s="7">
        <f>IF($B449="","",Q449-R449)</f>
        <v/>
      </c>
      <c r="T449" s="7">
        <f>IF($B449="","",S449-J449)</f>
        <v/>
      </c>
      <c r="W449">
        <f>IF($B449="","",IF($AI449=1,0,IF($AH449=1,Settings!$C$6,Settings!$C$7))*100)</f>
        <v/>
      </c>
      <c r="AA449" s="7" t="n"/>
      <c r="AD449" s="11" t="n"/>
      <c r="AF449">
        <f>IF($B449="","",IF(COUNTIF($B$2:$B449,$B449)=1,1,0))</f>
        <v/>
      </c>
      <c r="AG449">
        <f>IF($AF449=1,SUMPRODUCT(--($AJ$2:$AJ$1501&lt;$AJ449))+1,"")</f>
        <v/>
      </c>
      <c r="AH449">
        <f>IF($B449="","",IF(OR($M449=TRUE(),$M449="TRUE"),1,0))</f>
        <v/>
      </c>
      <c r="AI449">
        <f>IF($B449="","",IF($V449="Yes",1,0))</f>
        <v/>
      </c>
      <c r="AJ449">
        <f>IF($AF449=1,IFERROR(IF(VALUE($B449)&lt;100000000,VALUE($B449),1000000000),IFERROR(IF(VALUE(MID($B449,2,20))&lt;100000000,VALUE(MID($B449,2,20)),1000000000),1000000000))+ROW()/100000,"")</f>
        <v/>
      </c>
    </row>
    <row r="450">
      <c r="C450" s="11" t="n"/>
      <c r="J450" s="7">
        <f>IF($B450="","",I450*Q450/100)</f>
        <v/>
      </c>
      <c r="P450" s="7" t="n"/>
      <c r="Q450" s="7" t="n"/>
      <c r="R450" s="7">
        <f>IF($B450="","",Q450*W450/100)</f>
        <v/>
      </c>
      <c r="S450" s="7">
        <f>IF($B450="","",Q450-R450)</f>
        <v/>
      </c>
      <c r="T450" s="7">
        <f>IF($B450="","",S450-J450)</f>
        <v/>
      </c>
      <c r="W450">
        <f>IF($B450="","",IF($AI450=1,0,IF($AH450=1,Settings!$C$6,Settings!$C$7))*100)</f>
        <v/>
      </c>
      <c r="AA450" s="7" t="n"/>
      <c r="AD450" s="11" t="n"/>
      <c r="AF450">
        <f>IF($B450="","",IF(COUNTIF($B$2:$B450,$B450)=1,1,0))</f>
        <v/>
      </c>
      <c r="AG450">
        <f>IF($AF450=1,SUMPRODUCT(--($AJ$2:$AJ$1501&lt;$AJ450))+1,"")</f>
        <v/>
      </c>
      <c r="AH450">
        <f>IF($B450="","",IF(OR($M450=TRUE(),$M450="TRUE"),1,0))</f>
        <v/>
      </c>
      <c r="AI450">
        <f>IF($B450="","",IF($V450="Yes",1,0))</f>
        <v/>
      </c>
      <c r="AJ450">
        <f>IF($AF450=1,IFERROR(IF(VALUE($B450)&lt;100000000,VALUE($B450),1000000000),IFERROR(IF(VALUE(MID($B450,2,20))&lt;100000000,VALUE(MID($B450,2,20)),1000000000),1000000000))+ROW()/100000,"")</f>
        <v/>
      </c>
    </row>
    <row r="451">
      <c r="C451" s="11" t="n"/>
      <c r="J451" s="7">
        <f>IF($B451="","",I451*Q451/100)</f>
        <v/>
      </c>
      <c r="P451" s="7" t="n"/>
      <c r="Q451" s="7" t="n"/>
      <c r="R451" s="7">
        <f>IF($B451="","",Q451*W451/100)</f>
        <v/>
      </c>
      <c r="S451" s="7">
        <f>IF($B451="","",Q451-R451)</f>
        <v/>
      </c>
      <c r="T451" s="7">
        <f>IF($B451="","",S451-J451)</f>
        <v/>
      </c>
      <c r="W451">
        <f>IF($B451="","",IF($AI451=1,0,IF($AH451=1,Settings!$C$6,Settings!$C$7))*100)</f>
        <v/>
      </c>
      <c r="AA451" s="7" t="n"/>
      <c r="AD451" s="11" t="n"/>
      <c r="AF451">
        <f>IF($B451="","",IF(COUNTIF($B$2:$B451,$B451)=1,1,0))</f>
        <v/>
      </c>
      <c r="AG451">
        <f>IF($AF451=1,SUMPRODUCT(--($AJ$2:$AJ$1501&lt;$AJ451))+1,"")</f>
        <v/>
      </c>
      <c r="AH451">
        <f>IF($B451="","",IF(OR($M451=TRUE(),$M451="TRUE"),1,0))</f>
        <v/>
      </c>
      <c r="AI451">
        <f>IF($B451="","",IF($V451="Yes",1,0))</f>
        <v/>
      </c>
      <c r="AJ451">
        <f>IF($AF451=1,IFERROR(IF(VALUE($B451)&lt;100000000,VALUE($B451),1000000000),IFERROR(IF(VALUE(MID($B451,2,20))&lt;100000000,VALUE(MID($B451,2,20)),1000000000),1000000000))+ROW()/100000,"")</f>
        <v/>
      </c>
    </row>
    <row r="452">
      <c r="C452" s="11" t="n"/>
      <c r="J452" s="7">
        <f>IF($B452="","",I452*Q452/100)</f>
        <v/>
      </c>
      <c r="P452" s="7" t="n"/>
      <c r="Q452" s="7" t="n"/>
      <c r="R452" s="7">
        <f>IF($B452="","",Q452*W452/100)</f>
        <v/>
      </c>
      <c r="S452" s="7">
        <f>IF($B452="","",Q452-R452)</f>
        <v/>
      </c>
      <c r="T452" s="7">
        <f>IF($B452="","",S452-J452)</f>
        <v/>
      </c>
      <c r="W452">
        <f>IF($B452="","",IF($AI452=1,0,IF($AH452=1,Settings!$C$6,Settings!$C$7))*100)</f>
        <v/>
      </c>
      <c r="AA452" s="7" t="n"/>
      <c r="AD452" s="11" t="n"/>
      <c r="AF452">
        <f>IF($B452="","",IF(COUNTIF($B$2:$B452,$B452)=1,1,0))</f>
        <v/>
      </c>
      <c r="AG452">
        <f>IF($AF452=1,SUMPRODUCT(--($AJ$2:$AJ$1501&lt;$AJ452))+1,"")</f>
        <v/>
      </c>
      <c r="AH452">
        <f>IF($B452="","",IF(OR($M452=TRUE(),$M452="TRUE"),1,0))</f>
        <v/>
      </c>
      <c r="AI452">
        <f>IF($B452="","",IF($V452="Yes",1,0))</f>
        <v/>
      </c>
      <c r="AJ452">
        <f>IF($AF452=1,IFERROR(IF(VALUE($B452)&lt;100000000,VALUE($B452),1000000000),IFERROR(IF(VALUE(MID($B452,2,20))&lt;100000000,VALUE(MID($B452,2,20)),1000000000),1000000000))+ROW()/100000,"")</f>
        <v/>
      </c>
    </row>
    <row r="453">
      <c r="C453" s="11" t="n"/>
      <c r="J453" s="7">
        <f>IF($B453="","",I453*Q453/100)</f>
        <v/>
      </c>
      <c r="P453" s="7" t="n"/>
      <c r="Q453" s="7" t="n"/>
      <c r="R453" s="7">
        <f>IF($B453="","",Q453*W453/100)</f>
        <v/>
      </c>
      <c r="S453" s="7">
        <f>IF($B453="","",Q453-R453)</f>
        <v/>
      </c>
      <c r="T453" s="7">
        <f>IF($B453="","",S453-J453)</f>
        <v/>
      </c>
      <c r="W453">
        <f>IF($B453="","",IF($AI453=1,0,IF($AH453=1,Settings!$C$6,Settings!$C$7))*100)</f>
        <v/>
      </c>
      <c r="AA453" s="7" t="n"/>
      <c r="AD453" s="11" t="n"/>
      <c r="AF453">
        <f>IF($B453="","",IF(COUNTIF($B$2:$B453,$B453)=1,1,0))</f>
        <v/>
      </c>
      <c r="AG453">
        <f>IF($AF453=1,SUMPRODUCT(--($AJ$2:$AJ$1501&lt;$AJ453))+1,"")</f>
        <v/>
      </c>
      <c r="AH453">
        <f>IF($B453="","",IF(OR($M453=TRUE(),$M453="TRUE"),1,0))</f>
        <v/>
      </c>
      <c r="AI453">
        <f>IF($B453="","",IF($V453="Yes",1,0))</f>
        <v/>
      </c>
      <c r="AJ453">
        <f>IF($AF453=1,IFERROR(IF(VALUE($B453)&lt;100000000,VALUE($B453),1000000000),IFERROR(IF(VALUE(MID($B453,2,20))&lt;100000000,VALUE(MID($B453,2,20)),1000000000),1000000000))+ROW()/100000,"")</f>
        <v/>
      </c>
    </row>
    <row r="454">
      <c r="C454" s="11" t="n"/>
      <c r="J454" s="7">
        <f>IF($B454="","",I454*Q454/100)</f>
        <v/>
      </c>
      <c r="P454" s="7" t="n"/>
      <c r="Q454" s="7" t="n"/>
      <c r="R454" s="7">
        <f>IF($B454="","",Q454*W454/100)</f>
        <v/>
      </c>
      <c r="S454" s="7">
        <f>IF($B454="","",Q454-R454)</f>
        <v/>
      </c>
      <c r="T454" s="7">
        <f>IF($B454="","",S454-J454)</f>
        <v/>
      </c>
      <c r="W454">
        <f>IF($B454="","",IF($AI454=1,0,IF($AH454=1,Settings!$C$6,Settings!$C$7))*100)</f>
        <v/>
      </c>
      <c r="AA454" s="7" t="n"/>
      <c r="AD454" s="11" t="n"/>
      <c r="AF454">
        <f>IF($B454="","",IF(COUNTIF($B$2:$B454,$B454)=1,1,0))</f>
        <v/>
      </c>
      <c r="AG454">
        <f>IF($AF454=1,SUMPRODUCT(--($AJ$2:$AJ$1501&lt;$AJ454))+1,"")</f>
        <v/>
      </c>
      <c r="AH454">
        <f>IF($B454="","",IF(OR($M454=TRUE(),$M454="TRUE"),1,0))</f>
        <v/>
      </c>
      <c r="AI454">
        <f>IF($B454="","",IF($V454="Yes",1,0))</f>
        <v/>
      </c>
      <c r="AJ454">
        <f>IF($AF454=1,IFERROR(IF(VALUE($B454)&lt;100000000,VALUE($B454),1000000000),IFERROR(IF(VALUE(MID($B454,2,20))&lt;100000000,VALUE(MID($B454,2,20)),1000000000),1000000000))+ROW()/100000,"")</f>
        <v/>
      </c>
    </row>
    <row r="455">
      <c r="C455" s="11" t="n"/>
      <c r="J455" s="7">
        <f>IF($B455="","",I455*Q455/100)</f>
        <v/>
      </c>
      <c r="P455" s="7" t="n"/>
      <c r="Q455" s="7" t="n"/>
      <c r="R455" s="7">
        <f>IF($B455="","",Q455*W455/100)</f>
        <v/>
      </c>
      <c r="S455" s="7">
        <f>IF($B455="","",Q455-R455)</f>
        <v/>
      </c>
      <c r="T455" s="7">
        <f>IF($B455="","",S455-J455)</f>
        <v/>
      </c>
      <c r="W455">
        <f>IF($B455="","",IF($AI455=1,0,IF($AH455=1,Settings!$C$6,Settings!$C$7))*100)</f>
        <v/>
      </c>
      <c r="AA455" s="7" t="n"/>
      <c r="AD455" s="11" t="n"/>
      <c r="AF455">
        <f>IF($B455="","",IF(COUNTIF($B$2:$B455,$B455)=1,1,0))</f>
        <v/>
      </c>
      <c r="AG455">
        <f>IF($AF455=1,SUMPRODUCT(--($AJ$2:$AJ$1501&lt;$AJ455))+1,"")</f>
        <v/>
      </c>
      <c r="AH455">
        <f>IF($B455="","",IF(OR($M455=TRUE(),$M455="TRUE"),1,0))</f>
        <v/>
      </c>
      <c r="AI455">
        <f>IF($B455="","",IF($V455="Yes",1,0))</f>
        <v/>
      </c>
      <c r="AJ455">
        <f>IF($AF455=1,IFERROR(IF(VALUE($B455)&lt;100000000,VALUE($B455),1000000000),IFERROR(IF(VALUE(MID($B455,2,20))&lt;100000000,VALUE(MID($B455,2,20)),1000000000),1000000000))+ROW()/100000,"")</f>
        <v/>
      </c>
    </row>
    <row r="456">
      <c r="C456" s="11" t="n"/>
      <c r="J456" s="7">
        <f>IF($B456="","",I456*Q456/100)</f>
        <v/>
      </c>
      <c r="P456" s="7" t="n"/>
      <c r="Q456" s="7" t="n"/>
      <c r="R456" s="7">
        <f>IF($B456="","",Q456*W456/100)</f>
        <v/>
      </c>
      <c r="S456" s="7">
        <f>IF($B456="","",Q456-R456)</f>
        <v/>
      </c>
      <c r="T456" s="7">
        <f>IF($B456="","",S456-J456)</f>
        <v/>
      </c>
      <c r="W456">
        <f>IF($B456="","",IF($AI456=1,0,IF($AH456=1,Settings!$C$6,Settings!$C$7))*100)</f>
        <v/>
      </c>
      <c r="AA456" s="7" t="n"/>
      <c r="AD456" s="11" t="n"/>
      <c r="AF456">
        <f>IF($B456="","",IF(COUNTIF($B$2:$B456,$B456)=1,1,0))</f>
        <v/>
      </c>
      <c r="AG456">
        <f>IF($AF456=1,SUMPRODUCT(--($AJ$2:$AJ$1501&lt;$AJ456))+1,"")</f>
        <v/>
      </c>
      <c r="AH456">
        <f>IF($B456="","",IF(OR($M456=TRUE(),$M456="TRUE"),1,0))</f>
        <v/>
      </c>
      <c r="AI456">
        <f>IF($B456="","",IF($V456="Yes",1,0))</f>
        <v/>
      </c>
      <c r="AJ456">
        <f>IF($AF456=1,IFERROR(IF(VALUE($B456)&lt;100000000,VALUE($B456),1000000000),IFERROR(IF(VALUE(MID($B456,2,20))&lt;100000000,VALUE(MID($B456,2,20)),1000000000),1000000000))+ROW()/100000,"")</f>
        <v/>
      </c>
    </row>
    <row r="457">
      <c r="C457" s="11" t="n"/>
      <c r="J457" s="7">
        <f>IF($B457="","",I457*Q457/100)</f>
        <v/>
      </c>
      <c r="P457" s="7" t="n"/>
      <c r="Q457" s="7" t="n"/>
      <c r="R457" s="7">
        <f>IF($B457="","",Q457*W457/100)</f>
        <v/>
      </c>
      <c r="S457" s="7">
        <f>IF($B457="","",Q457-R457)</f>
        <v/>
      </c>
      <c r="T457" s="7">
        <f>IF($B457="","",S457-J457)</f>
        <v/>
      </c>
      <c r="W457">
        <f>IF($B457="","",IF($AI457=1,0,IF($AH457=1,Settings!$C$6,Settings!$C$7))*100)</f>
        <v/>
      </c>
      <c r="AA457" s="7" t="n"/>
      <c r="AD457" s="11" t="n"/>
      <c r="AF457">
        <f>IF($B457="","",IF(COUNTIF($B$2:$B457,$B457)=1,1,0))</f>
        <v/>
      </c>
      <c r="AG457">
        <f>IF($AF457=1,SUMPRODUCT(--($AJ$2:$AJ$1501&lt;$AJ457))+1,"")</f>
        <v/>
      </c>
      <c r="AH457">
        <f>IF($B457="","",IF(OR($M457=TRUE(),$M457="TRUE"),1,0))</f>
        <v/>
      </c>
      <c r="AI457">
        <f>IF($B457="","",IF($V457="Yes",1,0))</f>
        <v/>
      </c>
      <c r="AJ457">
        <f>IF($AF457=1,IFERROR(IF(VALUE($B457)&lt;100000000,VALUE($B457),1000000000),IFERROR(IF(VALUE(MID($B457,2,20))&lt;100000000,VALUE(MID($B457,2,20)),1000000000),1000000000))+ROW()/100000,"")</f>
        <v/>
      </c>
    </row>
    <row r="458">
      <c r="C458" s="11" t="n"/>
      <c r="J458" s="7">
        <f>IF($B458="","",I458*Q458/100)</f>
        <v/>
      </c>
      <c r="P458" s="7" t="n"/>
      <c r="Q458" s="7" t="n"/>
      <c r="R458" s="7">
        <f>IF($B458="","",Q458*W458/100)</f>
        <v/>
      </c>
      <c r="S458" s="7">
        <f>IF($B458="","",Q458-R458)</f>
        <v/>
      </c>
      <c r="T458" s="7">
        <f>IF($B458="","",S458-J458)</f>
        <v/>
      </c>
      <c r="W458">
        <f>IF($B458="","",IF($AI458=1,0,IF($AH458=1,Settings!$C$6,Settings!$C$7))*100)</f>
        <v/>
      </c>
      <c r="AA458" s="7" t="n"/>
      <c r="AD458" s="11" t="n"/>
      <c r="AF458">
        <f>IF($B458="","",IF(COUNTIF($B$2:$B458,$B458)=1,1,0))</f>
        <v/>
      </c>
      <c r="AG458">
        <f>IF($AF458=1,SUMPRODUCT(--($AJ$2:$AJ$1501&lt;$AJ458))+1,"")</f>
        <v/>
      </c>
      <c r="AH458">
        <f>IF($B458="","",IF(OR($M458=TRUE(),$M458="TRUE"),1,0))</f>
        <v/>
      </c>
      <c r="AI458">
        <f>IF($B458="","",IF($V458="Yes",1,0))</f>
        <v/>
      </c>
      <c r="AJ458">
        <f>IF($AF458=1,IFERROR(IF(VALUE($B458)&lt;100000000,VALUE($B458),1000000000),IFERROR(IF(VALUE(MID($B458,2,20))&lt;100000000,VALUE(MID($B458,2,20)),1000000000),1000000000))+ROW()/100000,"")</f>
        <v/>
      </c>
    </row>
    <row r="459">
      <c r="C459" s="11" t="n"/>
      <c r="J459" s="7">
        <f>IF($B459="","",I459*Q459/100)</f>
        <v/>
      </c>
      <c r="P459" s="7" t="n"/>
      <c r="Q459" s="7" t="n"/>
      <c r="R459" s="7">
        <f>IF($B459="","",Q459*W459/100)</f>
        <v/>
      </c>
      <c r="S459" s="7">
        <f>IF($B459="","",Q459-R459)</f>
        <v/>
      </c>
      <c r="T459" s="7">
        <f>IF($B459="","",S459-J459)</f>
        <v/>
      </c>
      <c r="W459">
        <f>IF($B459="","",IF($AI459=1,0,IF($AH459=1,Settings!$C$6,Settings!$C$7))*100)</f>
        <v/>
      </c>
      <c r="AA459" s="7" t="n"/>
      <c r="AD459" s="11" t="n"/>
      <c r="AF459">
        <f>IF($B459="","",IF(COUNTIF($B$2:$B459,$B459)=1,1,0))</f>
        <v/>
      </c>
      <c r="AG459">
        <f>IF($AF459=1,SUMPRODUCT(--($AJ$2:$AJ$1501&lt;$AJ459))+1,"")</f>
        <v/>
      </c>
      <c r="AH459">
        <f>IF($B459="","",IF(OR($M459=TRUE(),$M459="TRUE"),1,0))</f>
        <v/>
      </c>
      <c r="AI459">
        <f>IF($B459="","",IF($V459="Yes",1,0))</f>
        <v/>
      </c>
      <c r="AJ459">
        <f>IF($AF459=1,IFERROR(IF(VALUE($B459)&lt;100000000,VALUE($B459),1000000000),IFERROR(IF(VALUE(MID($B459,2,20))&lt;100000000,VALUE(MID($B459,2,20)),1000000000),1000000000))+ROW()/100000,"")</f>
        <v/>
      </c>
    </row>
    <row r="460">
      <c r="C460" s="11" t="n"/>
      <c r="J460" s="7">
        <f>IF($B460="","",I460*Q460/100)</f>
        <v/>
      </c>
      <c r="P460" s="7" t="n"/>
      <c r="Q460" s="7" t="n"/>
      <c r="R460" s="7">
        <f>IF($B460="","",Q460*W460/100)</f>
        <v/>
      </c>
      <c r="S460" s="7">
        <f>IF($B460="","",Q460-R460)</f>
        <v/>
      </c>
      <c r="T460" s="7">
        <f>IF($B460="","",S460-J460)</f>
        <v/>
      </c>
      <c r="W460">
        <f>IF($B460="","",IF($AI460=1,0,IF($AH460=1,Settings!$C$6,Settings!$C$7))*100)</f>
        <v/>
      </c>
      <c r="AA460" s="7" t="n"/>
      <c r="AD460" s="11" t="n"/>
      <c r="AF460">
        <f>IF($B460="","",IF(COUNTIF($B$2:$B460,$B460)=1,1,0))</f>
        <v/>
      </c>
      <c r="AG460">
        <f>IF($AF460=1,SUMPRODUCT(--($AJ$2:$AJ$1501&lt;$AJ460))+1,"")</f>
        <v/>
      </c>
      <c r="AH460">
        <f>IF($B460="","",IF(OR($M460=TRUE(),$M460="TRUE"),1,0))</f>
        <v/>
      </c>
      <c r="AI460">
        <f>IF($B460="","",IF($V460="Yes",1,0))</f>
        <v/>
      </c>
      <c r="AJ460">
        <f>IF($AF460=1,IFERROR(IF(VALUE($B460)&lt;100000000,VALUE($B460),1000000000),IFERROR(IF(VALUE(MID($B460,2,20))&lt;100000000,VALUE(MID($B460,2,20)),1000000000),1000000000))+ROW()/100000,"")</f>
        <v/>
      </c>
    </row>
    <row r="461">
      <c r="C461" s="11" t="n"/>
      <c r="J461" s="7">
        <f>IF($B461="","",I461*Q461/100)</f>
        <v/>
      </c>
      <c r="P461" s="7" t="n"/>
      <c r="Q461" s="7" t="n"/>
      <c r="R461" s="7">
        <f>IF($B461="","",Q461*W461/100)</f>
        <v/>
      </c>
      <c r="S461" s="7">
        <f>IF($B461="","",Q461-R461)</f>
        <v/>
      </c>
      <c r="T461" s="7">
        <f>IF($B461="","",S461-J461)</f>
        <v/>
      </c>
      <c r="W461">
        <f>IF($B461="","",IF($AI461=1,0,IF($AH461=1,Settings!$C$6,Settings!$C$7))*100)</f>
        <v/>
      </c>
      <c r="AA461" s="7" t="n"/>
      <c r="AD461" s="11" t="n"/>
      <c r="AF461">
        <f>IF($B461="","",IF(COUNTIF($B$2:$B461,$B461)=1,1,0))</f>
        <v/>
      </c>
      <c r="AG461">
        <f>IF($AF461=1,SUMPRODUCT(--($AJ$2:$AJ$1501&lt;$AJ461))+1,"")</f>
        <v/>
      </c>
      <c r="AH461">
        <f>IF($B461="","",IF(OR($M461=TRUE(),$M461="TRUE"),1,0))</f>
        <v/>
      </c>
      <c r="AI461">
        <f>IF($B461="","",IF($V461="Yes",1,0))</f>
        <v/>
      </c>
      <c r="AJ461">
        <f>IF($AF461=1,IFERROR(IF(VALUE($B461)&lt;100000000,VALUE($B461),1000000000),IFERROR(IF(VALUE(MID($B461,2,20))&lt;100000000,VALUE(MID($B461,2,20)),1000000000),1000000000))+ROW()/100000,"")</f>
        <v/>
      </c>
    </row>
    <row r="462">
      <c r="C462" s="11" t="n"/>
      <c r="J462" s="7">
        <f>IF($B462="","",I462*Q462/100)</f>
        <v/>
      </c>
      <c r="P462" s="7" t="n"/>
      <c r="Q462" s="7" t="n"/>
      <c r="R462" s="7">
        <f>IF($B462="","",Q462*W462/100)</f>
        <v/>
      </c>
      <c r="S462" s="7">
        <f>IF($B462="","",Q462-R462)</f>
        <v/>
      </c>
      <c r="T462" s="7">
        <f>IF($B462="","",S462-J462)</f>
        <v/>
      </c>
      <c r="W462">
        <f>IF($B462="","",IF($AI462=1,0,IF($AH462=1,Settings!$C$6,Settings!$C$7))*100)</f>
        <v/>
      </c>
      <c r="AA462" s="7" t="n"/>
      <c r="AD462" s="11" t="n"/>
      <c r="AF462">
        <f>IF($B462="","",IF(COUNTIF($B$2:$B462,$B462)=1,1,0))</f>
        <v/>
      </c>
      <c r="AG462">
        <f>IF($AF462=1,SUMPRODUCT(--($AJ$2:$AJ$1501&lt;$AJ462))+1,"")</f>
        <v/>
      </c>
      <c r="AH462">
        <f>IF($B462="","",IF(OR($M462=TRUE(),$M462="TRUE"),1,0))</f>
        <v/>
      </c>
      <c r="AI462">
        <f>IF($B462="","",IF($V462="Yes",1,0))</f>
        <v/>
      </c>
      <c r="AJ462">
        <f>IF($AF462=1,IFERROR(IF(VALUE($B462)&lt;100000000,VALUE($B462),1000000000),IFERROR(IF(VALUE(MID($B462,2,20))&lt;100000000,VALUE(MID($B462,2,20)),1000000000),1000000000))+ROW()/100000,"")</f>
        <v/>
      </c>
    </row>
    <row r="463">
      <c r="C463" s="11" t="n"/>
      <c r="J463" s="7">
        <f>IF($B463="","",I463*Q463/100)</f>
        <v/>
      </c>
      <c r="P463" s="7" t="n"/>
      <c r="Q463" s="7" t="n"/>
      <c r="R463" s="7">
        <f>IF($B463="","",Q463*W463/100)</f>
        <v/>
      </c>
      <c r="S463" s="7">
        <f>IF($B463="","",Q463-R463)</f>
        <v/>
      </c>
      <c r="T463" s="7">
        <f>IF($B463="","",S463-J463)</f>
        <v/>
      </c>
      <c r="W463">
        <f>IF($B463="","",IF($AI463=1,0,IF($AH463=1,Settings!$C$6,Settings!$C$7))*100)</f>
        <v/>
      </c>
      <c r="AA463" s="7" t="n"/>
      <c r="AD463" s="11" t="n"/>
      <c r="AF463">
        <f>IF($B463="","",IF(COUNTIF($B$2:$B463,$B463)=1,1,0))</f>
        <v/>
      </c>
      <c r="AG463">
        <f>IF($AF463=1,SUMPRODUCT(--($AJ$2:$AJ$1501&lt;$AJ463))+1,"")</f>
        <v/>
      </c>
      <c r="AH463">
        <f>IF($B463="","",IF(OR($M463=TRUE(),$M463="TRUE"),1,0))</f>
        <v/>
      </c>
      <c r="AI463">
        <f>IF($B463="","",IF($V463="Yes",1,0))</f>
        <v/>
      </c>
      <c r="AJ463">
        <f>IF($AF463=1,IFERROR(IF(VALUE($B463)&lt;100000000,VALUE($B463),1000000000),IFERROR(IF(VALUE(MID($B463,2,20))&lt;100000000,VALUE(MID($B463,2,20)),1000000000),1000000000))+ROW()/100000,"")</f>
        <v/>
      </c>
    </row>
    <row r="464">
      <c r="C464" s="11" t="n"/>
      <c r="J464" s="7">
        <f>IF($B464="","",I464*Q464/100)</f>
        <v/>
      </c>
      <c r="P464" s="7" t="n"/>
      <c r="Q464" s="7" t="n"/>
      <c r="R464" s="7">
        <f>IF($B464="","",Q464*W464/100)</f>
        <v/>
      </c>
      <c r="S464" s="7">
        <f>IF($B464="","",Q464-R464)</f>
        <v/>
      </c>
      <c r="T464" s="7">
        <f>IF($B464="","",S464-J464)</f>
        <v/>
      </c>
      <c r="W464">
        <f>IF($B464="","",IF($AI464=1,0,IF($AH464=1,Settings!$C$6,Settings!$C$7))*100)</f>
        <v/>
      </c>
      <c r="AA464" s="7" t="n"/>
      <c r="AD464" s="11" t="n"/>
      <c r="AF464">
        <f>IF($B464="","",IF(COUNTIF($B$2:$B464,$B464)=1,1,0))</f>
        <v/>
      </c>
      <c r="AG464">
        <f>IF($AF464=1,SUMPRODUCT(--($AJ$2:$AJ$1501&lt;$AJ464))+1,"")</f>
        <v/>
      </c>
      <c r="AH464">
        <f>IF($B464="","",IF(OR($M464=TRUE(),$M464="TRUE"),1,0))</f>
        <v/>
      </c>
      <c r="AI464">
        <f>IF($B464="","",IF($V464="Yes",1,0))</f>
        <v/>
      </c>
      <c r="AJ464">
        <f>IF($AF464=1,IFERROR(IF(VALUE($B464)&lt;100000000,VALUE($B464),1000000000),IFERROR(IF(VALUE(MID($B464,2,20))&lt;100000000,VALUE(MID($B464,2,20)),1000000000),1000000000))+ROW()/100000,"")</f>
        <v/>
      </c>
    </row>
    <row r="465">
      <c r="C465" s="11" t="n"/>
      <c r="J465" s="7">
        <f>IF($B465="","",I465*Q465/100)</f>
        <v/>
      </c>
      <c r="P465" s="7" t="n"/>
      <c r="Q465" s="7" t="n"/>
      <c r="R465" s="7">
        <f>IF($B465="","",Q465*W465/100)</f>
        <v/>
      </c>
      <c r="S465" s="7">
        <f>IF($B465="","",Q465-R465)</f>
        <v/>
      </c>
      <c r="T465" s="7">
        <f>IF($B465="","",S465-J465)</f>
        <v/>
      </c>
      <c r="W465">
        <f>IF($B465="","",IF($AI465=1,0,IF($AH465=1,Settings!$C$6,Settings!$C$7))*100)</f>
        <v/>
      </c>
      <c r="AA465" s="7" t="n"/>
      <c r="AD465" s="11" t="n"/>
      <c r="AF465">
        <f>IF($B465="","",IF(COUNTIF($B$2:$B465,$B465)=1,1,0))</f>
        <v/>
      </c>
      <c r="AG465">
        <f>IF($AF465=1,SUMPRODUCT(--($AJ$2:$AJ$1501&lt;$AJ465))+1,"")</f>
        <v/>
      </c>
      <c r="AH465">
        <f>IF($B465="","",IF(OR($M465=TRUE(),$M465="TRUE"),1,0))</f>
        <v/>
      </c>
      <c r="AI465">
        <f>IF($B465="","",IF($V465="Yes",1,0))</f>
        <v/>
      </c>
      <c r="AJ465">
        <f>IF($AF465=1,IFERROR(IF(VALUE($B465)&lt;100000000,VALUE($B465),1000000000),IFERROR(IF(VALUE(MID($B465,2,20))&lt;100000000,VALUE(MID($B465,2,20)),1000000000),1000000000))+ROW()/100000,"")</f>
        <v/>
      </c>
    </row>
    <row r="466">
      <c r="C466" s="11" t="n"/>
      <c r="J466" s="7">
        <f>IF($B466="","",I466*Q466/100)</f>
        <v/>
      </c>
      <c r="P466" s="7" t="n"/>
      <c r="Q466" s="7" t="n"/>
      <c r="R466" s="7">
        <f>IF($B466="","",Q466*W466/100)</f>
        <v/>
      </c>
      <c r="S466" s="7">
        <f>IF($B466="","",Q466-R466)</f>
        <v/>
      </c>
      <c r="T466" s="7">
        <f>IF($B466="","",S466-J466)</f>
        <v/>
      </c>
      <c r="W466">
        <f>IF($B466="","",IF($AI466=1,0,IF($AH466=1,Settings!$C$6,Settings!$C$7))*100)</f>
        <v/>
      </c>
      <c r="AA466" s="7" t="n"/>
      <c r="AD466" s="11" t="n"/>
      <c r="AF466">
        <f>IF($B466="","",IF(COUNTIF($B$2:$B466,$B466)=1,1,0))</f>
        <v/>
      </c>
      <c r="AG466">
        <f>IF($AF466=1,SUMPRODUCT(--($AJ$2:$AJ$1501&lt;$AJ466))+1,"")</f>
        <v/>
      </c>
      <c r="AH466">
        <f>IF($B466="","",IF(OR($M466=TRUE(),$M466="TRUE"),1,0))</f>
        <v/>
      </c>
      <c r="AI466">
        <f>IF($B466="","",IF($V466="Yes",1,0))</f>
        <v/>
      </c>
      <c r="AJ466">
        <f>IF($AF466=1,IFERROR(IF(VALUE($B466)&lt;100000000,VALUE($B466),1000000000),IFERROR(IF(VALUE(MID($B466,2,20))&lt;100000000,VALUE(MID($B466,2,20)),1000000000),1000000000))+ROW()/100000,"")</f>
        <v/>
      </c>
    </row>
    <row r="467">
      <c r="C467" s="11" t="n"/>
      <c r="J467" s="7">
        <f>IF($B467="","",I467*Q467/100)</f>
        <v/>
      </c>
      <c r="P467" s="7" t="n"/>
      <c r="Q467" s="7" t="n"/>
      <c r="R467" s="7">
        <f>IF($B467="","",Q467*W467/100)</f>
        <v/>
      </c>
      <c r="S467" s="7">
        <f>IF($B467="","",Q467-R467)</f>
        <v/>
      </c>
      <c r="T467" s="7">
        <f>IF($B467="","",S467-J467)</f>
        <v/>
      </c>
      <c r="W467">
        <f>IF($B467="","",IF($AI467=1,0,IF($AH467=1,Settings!$C$6,Settings!$C$7))*100)</f>
        <v/>
      </c>
      <c r="AA467" s="7" t="n"/>
      <c r="AD467" s="11" t="n"/>
      <c r="AF467">
        <f>IF($B467="","",IF(COUNTIF($B$2:$B467,$B467)=1,1,0))</f>
        <v/>
      </c>
      <c r="AG467">
        <f>IF($AF467=1,SUMPRODUCT(--($AJ$2:$AJ$1501&lt;$AJ467))+1,"")</f>
        <v/>
      </c>
      <c r="AH467">
        <f>IF($B467="","",IF(OR($M467=TRUE(),$M467="TRUE"),1,0))</f>
        <v/>
      </c>
      <c r="AI467">
        <f>IF($B467="","",IF($V467="Yes",1,0))</f>
        <v/>
      </c>
      <c r="AJ467">
        <f>IF($AF467=1,IFERROR(IF(VALUE($B467)&lt;100000000,VALUE($B467),1000000000),IFERROR(IF(VALUE(MID($B467,2,20))&lt;100000000,VALUE(MID($B467,2,20)),1000000000),1000000000))+ROW()/100000,"")</f>
        <v/>
      </c>
    </row>
    <row r="468">
      <c r="C468" s="11" t="n"/>
      <c r="J468" s="7">
        <f>IF($B468="","",I468*Q468/100)</f>
        <v/>
      </c>
      <c r="P468" s="7" t="n"/>
      <c r="Q468" s="7" t="n"/>
      <c r="R468" s="7">
        <f>IF($B468="","",Q468*W468/100)</f>
        <v/>
      </c>
      <c r="S468" s="7">
        <f>IF($B468="","",Q468-R468)</f>
        <v/>
      </c>
      <c r="T468" s="7">
        <f>IF($B468="","",S468-J468)</f>
        <v/>
      </c>
      <c r="W468">
        <f>IF($B468="","",IF($AI468=1,0,IF($AH468=1,Settings!$C$6,Settings!$C$7))*100)</f>
        <v/>
      </c>
      <c r="AA468" s="7" t="n"/>
      <c r="AD468" s="11" t="n"/>
      <c r="AF468">
        <f>IF($B468="","",IF(COUNTIF($B$2:$B468,$B468)=1,1,0))</f>
        <v/>
      </c>
      <c r="AG468">
        <f>IF($AF468=1,SUMPRODUCT(--($AJ$2:$AJ$1501&lt;$AJ468))+1,"")</f>
        <v/>
      </c>
      <c r="AH468">
        <f>IF($B468="","",IF(OR($M468=TRUE(),$M468="TRUE"),1,0))</f>
        <v/>
      </c>
      <c r="AI468">
        <f>IF($B468="","",IF($V468="Yes",1,0))</f>
        <v/>
      </c>
      <c r="AJ468">
        <f>IF($AF468=1,IFERROR(IF(VALUE($B468)&lt;100000000,VALUE($B468),1000000000),IFERROR(IF(VALUE(MID($B468,2,20))&lt;100000000,VALUE(MID($B468,2,20)),1000000000),1000000000))+ROW()/100000,"")</f>
        <v/>
      </c>
    </row>
    <row r="469">
      <c r="C469" s="11" t="n"/>
      <c r="J469" s="7">
        <f>IF($B469="","",I469*Q469/100)</f>
        <v/>
      </c>
      <c r="P469" s="7" t="n"/>
      <c r="Q469" s="7" t="n"/>
      <c r="R469" s="7">
        <f>IF($B469="","",Q469*W469/100)</f>
        <v/>
      </c>
      <c r="S469" s="7">
        <f>IF($B469="","",Q469-R469)</f>
        <v/>
      </c>
      <c r="T469" s="7">
        <f>IF($B469="","",S469-J469)</f>
        <v/>
      </c>
      <c r="W469">
        <f>IF($B469="","",IF($AI469=1,0,IF($AH469=1,Settings!$C$6,Settings!$C$7))*100)</f>
        <v/>
      </c>
      <c r="AA469" s="7" t="n"/>
      <c r="AD469" s="11" t="n"/>
      <c r="AF469">
        <f>IF($B469="","",IF(COUNTIF($B$2:$B469,$B469)=1,1,0))</f>
        <v/>
      </c>
      <c r="AG469">
        <f>IF($AF469=1,SUMPRODUCT(--($AJ$2:$AJ$1501&lt;$AJ469))+1,"")</f>
        <v/>
      </c>
      <c r="AH469">
        <f>IF($B469="","",IF(OR($M469=TRUE(),$M469="TRUE"),1,0))</f>
        <v/>
      </c>
      <c r="AI469">
        <f>IF($B469="","",IF($V469="Yes",1,0))</f>
        <v/>
      </c>
      <c r="AJ469">
        <f>IF($AF469=1,IFERROR(IF(VALUE($B469)&lt;100000000,VALUE($B469),1000000000),IFERROR(IF(VALUE(MID($B469,2,20))&lt;100000000,VALUE(MID($B469,2,20)),1000000000),1000000000))+ROW()/100000,"")</f>
        <v/>
      </c>
    </row>
    <row r="470">
      <c r="C470" s="11" t="n"/>
      <c r="J470" s="7">
        <f>IF($B470="","",I470*Q470/100)</f>
        <v/>
      </c>
      <c r="P470" s="7" t="n"/>
      <c r="Q470" s="7" t="n"/>
      <c r="R470" s="7">
        <f>IF($B470="","",Q470*W470/100)</f>
        <v/>
      </c>
      <c r="S470" s="7">
        <f>IF($B470="","",Q470-R470)</f>
        <v/>
      </c>
      <c r="T470" s="7">
        <f>IF($B470="","",S470-J470)</f>
        <v/>
      </c>
      <c r="W470">
        <f>IF($B470="","",IF($AI470=1,0,IF($AH470=1,Settings!$C$6,Settings!$C$7))*100)</f>
        <v/>
      </c>
      <c r="AA470" s="7" t="n"/>
      <c r="AD470" s="11" t="n"/>
      <c r="AF470">
        <f>IF($B470="","",IF(COUNTIF($B$2:$B470,$B470)=1,1,0))</f>
        <v/>
      </c>
      <c r="AG470">
        <f>IF($AF470=1,SUMPRODUCT(--($AJ$2:$AJ$1501&lt;$AJ470))+1,"")</f>
        <v/>
      </c>
      <c r="AH470">
        <f>IF($B470="","",IF(OR($M470=TRUE(),$M470="TRUE"),1,0))</f>
        <v/>
      </c>
      <c r="AI470">
        <f>IF($B470="","",IF($V470="Yes",1,0))</f>
        <v/>
      </c>
      <c r="AJ470">
        <f>IF($AF470=1,IFERROR(IF(VALUE($B470)&lt;100000000,VALUE($B470),1000000000),IFERROR(IF(VALUE(MID($B470,2,20))&lt;100000000,VALUE(MID($B470,2,20)),1000000000),1000000000))+ROW()/100000,"")</f>
        <v/>
      </c>
    </row>
    <row r="471">
      <c r="C471" s="11" t="n"/>
      <c r="J471" s="7">
        <f>IF($B471="","",I471*Q471/100)</f>
        <v/>
      </c>
      <c r="P471" s="7" t="n"/>
      <c r="Q471" s="7" t="n"/>
      <c r="R471" s="7">
        <f>IF($B471="","",Q471*W471/100)</f>
        <v/>
      </c>
      <c r="S471" s="7">
        <f>IF($B471="","",Q471-R471)</f>
        <v/>
      </c>
      <c r="T471" s="7">
        <f>IF($B471="","",S471-J471)</f>
        <v/>
      </c>
      <c r="W471">
        <f>IF($B471="","",IF($AI471=1,0,IF($AH471=1,Settings!$C$6,Settings!$C$7))*100)</f>
        <v/>
      </c>
      <c r="AA471" s="7" t="n"/>
      <c r="AD471" s="11" t="n"/>
      <c r="AF471">
        <f>IF($B471="","",IF(COUNTIF($B$2:$B471,$B471)=1,1,0))</f>
        <v/>
      </c>
      <c r="AG471">
        <f>IF($AF471=1,SUMPRODUCT(--($AJ$2:$AJ$1501&lt;$AJ471))+1,"")</f>
        <v/>
      </c>
      <c r="AH471">
        <f>IF($B471="","",IF(OR($M471=TRUE(),$M471="TRUE"),1,0))</f>
        <v/>
      </c>
      <c r="AI471">
        <f>IF($B471="","",IF($V471="Yes",1,0))</f>
        <v/>
      </c>
      <c r="AJ471">
        <f>IF($AF471=1,IFERROR(IF(VALUE($B471)&lt;100000000,VALUE($B471),1000000000),IFERROR(IF(VALUE(MID($B471,2,20))&lt;100000000,VALUE(MID($B471,2,20)),1000000000),1000000000))+ROW()/100000,"")</f>
        <v/>
      </c>
    </row>
    <row r="472">
      <c r="C472" s="11" t="n"/>
      <c r="J472" s="7">
        <f>IF($B472="","",I472*Q472/100)</f>
        <v/>
      </c>
      <c r="P472" s="7" t="n"/>
      <c r="Q472" s="7" t="n"/>
      <c r="R472" s="7">
        <f>IF($B472="","",Q472*W472/100)</f>
        <v/>
      </c>
      <c r="S472" s="7">
        <f>IF($B472="","",Q472-R472)</f>
        <v/>
      </c>
      <c r="T472" s="7">
        <f>IF($B472="","",S472-J472)</f>
        <v/>
      </c>
      <c r="W472">
        <f>IF($B472="","",IF($AI472=1,0,IF($AH472=1,Settings!$C$6,Settings!$C$7))*100)</f>
        <v/>
      </c>
      <c r="AA472" s="7" t="n"/>
      <c r="AD472" s="11" t="n"/>
      <c r="AF472">
        <f>IF($B472="","",IF(COUNTIF($B$2:$B472,$B472)=1,1,0))</f>
        <v/>
      </c>
      <c r="AG472">
        <f>IF($AF472=1,SUMPRODUCT(--($AJ$2:$AJ$1501&lt;$AJ472))+1,"")</f>
        <v/>
      </c>
      <c r="AH472">
        <f>IF($B472="","",IF(OR($M472=TRUE(),$M472="TRUE"),1,0))</f>
        <v/>
      </c>
      <c r="AI472">
        <f>IF($B472="","",IF($V472="Yes",1,0))</f>
        <v/>
      </c>
      <c r="AJ472">
        <f>IF($AF472=1,IFERROR(IF(VALUE($B472)&lt;100000000,VALUE($B472),1000000000),IFERROR(IF(VALUE(MID($B472,2,20))&lt;100000000,VALUE(MID($B472,2,20)),1000000000),1000000000))+ROW()/100000,"")</f>
        <v/>
      </c>
    </row>
    <row r="473">
      <c r="C473" s="11" t="n"/>
      <c r="J473" s="7">
        <f>IF($B473="","",I473*Q473/100)</f>
        <v/>
      </c>
      <c r="P473" s="7" t="n"/>
      <c r="Q473" s="7" t="n"/>
      <c r="R473" s="7">
        <f>IF($B473="","",Q473*W473/100)</f>
        <v/>
      </c>
      <c r="S473" s="7">
        <f>IF($B473="","",Q473-R473)</f>
        <v/>
      </c>
      <c r="T473" s="7">
        <f>IF($B473="","",S473-J473)</f>
        <v/>
      </c>
      <c r="W473">
        <f>IF($B473="","",IF($AI473=1,0,IF($AH473=1,Settings!$C$6,Settings!$C$7))*100)</f>
        <v/>
      </c>
      <c r="AA473" s="7" t="n"/>
      <c r="AD473" s="11" t="n"/>
      <c r="AF473">
        <f>IF($B473="","",IF(COUNTIF($B$2:$B473,$B473)=1,1,0))</f>
        <v/>
      </c>
      <c r="AG473">
        <f>IF($AF473=1,SUMPRODUCT(--($AJ$2:$AJ$1501&lt;$AJ473))+1,"")</f>
        <v/>
      </c>
      <c r="AH473">
        <f>IF($B473="","",IF(OR($M473=TRUE(),$M473="TRUE"),1,0))</f>
        <v/>
      </c>
      <c r="AI473">
        <f>IF($B473="","",IF($V473="Yes",1,0))</f>
        <v/>
      </c>
      <c r="AJ473">
        <f>IF($AF473=1,IFERROR(IF(VALUE($B473)&lt;100000000,VALUE($B473),1000000000),IFERROR(IF(VALUE(MID($B473,2,20))&lt;100000000,VALUE(MID($B473,2,20)),1000000000),1000000000))+ROW()/100000,"")</f>
        <v/>
      </c>
    </row>
    <row r="474">
      <c r="C474" s="11" t="n"/>
      <c r="J474" s="7">
        <f>IF($B474="","",I474*Q474/100)</f>
        <v/>
      </c>
      <c r="P474" s="7" t="n"/>
      <c r="Q474" s="7" t="n"/>
      <c r="R474" s="7">
        <f>IF($B474="","",Q474*W474/100)</f>
        <v/>
      </c>
      <c r="S474" s="7">
        <f>IF($B474="","",Q474-R474)</f>
        <v/>
      </c>
      <c r="T474" s="7">
        <f>IF($B474="","",S474-J474)</f>
        <v/>
      </c>
      <c r="W474">
        <f>IF($B474="","",IF($AI474=1,0,IF($AH474=1,Settings!$C$6,Settings!$C$7))*100)</f>
        <v/>
      </c>
      <c r="AA474" s="7" t="n"/>
      <c r="AD474" s="11" t="n"/>
      <c r="AF474">
        <f>IF($B474="","",IF(COUNTIF($B$2:$B474,$B474)=1,1,0))</f>
        <v/>
      </c>
      <c r="AG474">
        <f>IF($AF474=1,SUMPRODUCT(--($AJ$2:$AJ$1501&lt;$AJ474))+1,"")</f>
        <v/>
      </c>
      <c r="AH474">
        <f>IF($B474="","",IF(OR($M474=TRUE(),$M474="TRUE"),1,0))</f>
        <v/>
      </c>
      <c r="AI474">
        <f>IF($B474="","",IF($V474="Yes",1,0))</f>
        <v/>
      </c>
      <c r="AJ474">
        <f>IF($AF474=1,IFERROR(IF(VALUE($B474)&lt;100000000,VALUE($B474),1000000000),IFERROR(IF(VALUE(MID($B474,2,20))&lt;100000000,VALUE(MID($B474,2,20)),1000000000),1000000000))+ROW()/100000,"")</f>
        <v/>
      </c>
    </row>
    <row r="475">
      <c r="C475" s="11" t="n"/>
      <c r="J475" s="7">
        <f>IF($B475="","",I475*Q475/100)</f>
        <v/>
      </c>
      <c r="P475" s="7" t="n"/>
      <c r="Q475" s="7" t="n"/>
      <c r="R475" s="7">
        <f>IF($B475="","",Q475*W475/100)</f>
        <v/>
      </c>
      <c r="S475" s="7">
        <f>IF($B475="","",Q475-R475)</f>
        <v/>
      </c>
      <c r="T475" s="7">
        <f>IF($B475="","",S475-J475)</f>
        <v/>
      </c>
      <c r="W475">
        <f>IF($B475="","",IF($AI475=1,0,IF($AH475=1,Settings!$C$6,Settings!$C$7))*100)</f>
        <v/>
      </c>
      <c r="AA475" s="7" t="n"/>
      <c r="AD475" s="11" t="n"/>
      <c r="AF475">
        <f>IF($B475="","",IF(COUNTIF($B$2:$B475,$B475)=1,1,0))</f>
        <v/>
      </c>
      <c r="AG475">
        <f>IF($AF475=1,SUMPRODUCT(--($AJ$2:$AJ$1501&lt;$AJ475))+1,"")</f>
        <v/>
      </c>
      <c r="AH475">
        <f>IF($B475="","",IF(OR($M475=TRUE(),$M475="TRUE"),1,0))</f>
        <v/>
      </c>
      <c r="AI475">
        <f>IF($B475="","",IF($V475="Yes",1,0))</f>
        <v/>
      </c>
      <c r="AJ475">
        <f>IF($AF475=1,IFERROR(IF(VALUE($B475)&lt;100000000,VALUE($B475),1000000000),IFERROR(IF(VALUE(MID($B475,2,20))&lt;100000000,VALUE(MID($B475,2,20)),1000000000),1000000000))+ROW()/100000,"")</f>
        <v/>
      </c>
    </row>
    <row r="476">
      <c r="C476" s="11" t="n"/>
      <c r="J476" s="7">
        <f>IF($B476="","",I476*Q476/100)</f>
        <v/>
      </c>
      <c r="P476" s="7" t="n"/>
      <c r="Q476" s="7" t="n"/>
      <c r="R476" s="7">
        <f>IF($B476="","",Q476*W476/100)</f>
        <v/>
      </c>
      <c r="S476" s="7">
        <f>IF($B476="","",Q476-R476)</f>
        <v/>
      </c>
      <c r="T476" s="7">
        <f>IF($B476="","",S476-J476)</f>
        <v/>
      </c>
      <c r="W476">
        <f>IF($B476="","",IF($AI476=1,0,IF($AH476=1,Settings!$C$6,Settings!$C$7))*100)</f>
        <v/>
      </c>
      <c r="AA476" s="7" t="n"/>
      <c r="AD476" s="11" t="n"/>
      <c r="AF476">
        <f>IF($B476="","",IF(COUNTIF($B$2:$B476,$B476)=1,1,0))</f>
        <v/>
      </c>
      <c r="AG476">
        <f>IF($AF476=1,SUMPRODUCT(--($AJ$2:$AJ$1501&lt;$AJ476))+1,"")</f>
        <v/>
      </c>
      <c r="AH476">
        <f>IF($B476="","",IF(OR($M476=TRUE(),$M476="TRUE"),1,0))</f>
        <v/>
      </c>
      <c r="AI476">
        <f>IF($B476="","",IF($V476="Yes",1,0))</f>
        <v/>
      </c>
      <c r="AJ476">
        <f>IF($AF476=1,IFERROR(IF(VALUE($B476)&lt;100000000,VALUE($B476),1000000000),IFERROR(IF(VALUE(MID($B476,2,20))&lt;100000000,VALUE(MID($B476,2,20)),1000000000),1000000000))+ROW()/100000,"")</f>
        <v/>
      </c>
    </row>
    <row r="477">
      <c r="C477" s="11" t="n"/>
      <c r="J477" s="7">
        <f>IF($B477="","",I477*Q477/100)</f>
        <v/>
      </c>
      <c r="P477" s="7" t="n"/>
      <c r="Q477" s="7" t="n"/>
      <c r="R477" s="7">
        <f>IF($B477="","",Q477*W477/100)</f>
        <v/>
      </c>
      <c r="S477" s="7">
        <f>IF($B477="","",Q477-R477)</f>
        <v/>
      </c>
      <c r="T477" s="7">
        <f>IF($B477="","",S477-J477)</f>
        <v/>
      </c>
      <c r="W477">
        <f>IF($B477="","",IF($AI477=1,0,IF($AH477=1,Settings!$C$6,Settings!$C$7))*100)</f>
        <v/>
      </c>
      <c r="AA477" s="7" t="n"/>
      <c r="AD477" s="11" t="n"/>
      <c r="AF477">
        <f>IF($B477="","",IF(COUNTIF($B$2:$B477,$B477)=1,1,0))</f>
        <v/>
      </c>
      <c r="AG477">
        <f>IF($AF477=1,SUMPRODUCT(--($AJ$2:$AJ$1501&lt;$AJ477))+1,"")</f>
        <v/>
      </c>
      <c r="AH477">
        <f>IF($B477="","",IF(OR($M477=TRUE(),$M477="TRUE"),1,0))</f>
        <v/>
      </c>
      <c r="AI477">
        <f>IF($B477="","",IF($V477="Yes",1,0))</f>
        <v/>
      </c>
      <c r="AJ477">
        <f>IF($AF477=1,IFERROR(IF(VALUE($B477)&lt;100000000,VALUE($B477),1000000000),IFERROR(IF(VALUE(MID($B477,2,20))&lt;100000000,VALUE(MID($B477,2,20)),1000000000),1000000000))+ROW()/100000,"")</f>
        <v/>
      </c>
    </row>
    <row r="478">
      <c r="C478" s="11" t="n"/>
      <c r="J478" s="7">
        <f>IF($B478="","",I478*Q478/100)</f>
        <v/>
      </c>
      <c r="P478" s="7" t="n"/>
      <c r="Q478" s="7" t="n"/>
      <c r="R478" s="7">
        <f>IF($B478="","",Q478*W478/100)</f>
        <v/>
      </c>
      <c r="S478" s="7">
        <f>IF($B478="","",Q478-R478)</f>
        <v/>
      </c>
      <c r="T478" s="7">
        <f>IF($B478="","",S478-J478)</f>
        <v/>
      </c>
      <c r="W478">
        <f>IF($B478="","",IF($AI478=1,0,IF($AH478=1,Settings!$C$6,Settings!$C$7))*100)</f>
        <v/>
      </c>
      <c r="AA478" s="7" t="n"/>
      <c r="AD478" s="11" t="n"/>
      <c r="AF478">
        <f>IF($B478="","",IF(COUNTIF($B$2:$B478,$B478)=1,1,0))</f>
        <v/>
      </c>
      <c r="AG478">
        <f>IF($AF478=1,SUMPRODUCT(--($AJ$2:$AJ$1501&lt;$AJ478))+1,"")</f>
        <v/>
      </c>
      <c r="AH478">
        <f>IF($B478="","",IF(OR($M478=TRUE(),$M478="TRUE"),1,0))</f>
        <v/>
      </c>
      <c r="AI478">
        <f>IF($B478="","",IF($V478="Yes",1,0))</f>
        <v/>
      </c>
      <c r="AJ478">
        <f>IF($AF478=1,IFERROR(IF(VALUE($B478)&lt;100000000,VALUE($B478),1000000000),IFERROR(IF(VALUE(MID($B478,2,20))&lt;100000000,VALUE(MID($B478,2,20)),1000000000),1000000000))+ROW()/100000,"")</f>
        <v/>
      </c>
    </row>
    <row r="479">
      <c r="C479" s="11" t="n"/>
      <c r="J479" s="7">
        <f>IF($B479="","",I479*Q479/100)</f>
        <v/>
      </c>
      <c r="P479" s="7" t="n"/>
      <c r="Q479" s="7" t="n"/>
      <c r="R479" s="7">
        <f>IF($B479="","",Q479*W479/100)</f>
        <v/>
      </c>
      <c r="S479" s="7">
        <f>IF($B479="","",Q479-R479)</f>
        <v/>
      </c>
      <c r="T479" s="7">
        <f>IF($B479="","",S479-J479)</f>
        <v/>
      </c>
      <c r="W479">
        <f>IF($B479="","",IF($AI479=1,0,IF($AH479=1,Settings!$C$6,Settings!$C$7))*100)</f>
        <v/>
      </c>
      <c r="AA479" s="7" t="n"/>
      <c r="AD479" s="11" t="n"/>
      <c r="AF479">
        <f>IF($B479="","",IF(COUNTIF($B$2:$B479,$B479)=1,1,0))</f>
        <v/>
      </c>
      <c r="AG479">
        <f>IF($AF479=1,SUMPRODUCT(--($AJ$2:$AJ$1501&lt;$AJ479))+1,"")</f>
        <v/>
      </c>
      <c r="AH479">
        <f>IF($B479="","",IF(OR($M479=TRUE(),$M479="TRUE"),1,0))</f>
        <v/>
      </c>
      <c r="AI479">
        <f>IF($B479="","",IF($V479="Yes",1,0))</f>
        <v/>
      </c>
      <c r="AJ479">
        <f>IF($AF479=1,IFERROR(IF(VALUE($B479)&lt;100000000,VALUE($B479),1000000000),IFERROR(IF(VALUE(MID($B479,2,20))&lt;100000000,VALUE(MID($B479,2,20)),1000000000),1000000000))+ROW()/100000,"")</f>
        <v/>
      </c>
    </row>
    <row r="480">
      <c r="C480" s="11" t="n"/>
      <c r="J480" s="7">
        <f>IF($B480="","",I480*Q480/100)</f>
        <v/>
      </c>
      <c r="P480" s="7" t="n"/>
      <c r="Q480" s="7" t="n"/>
      <c r="R480" s="7">
        <f>IF($B480="","",Q480*W480/100)</f>
        <v/>
      </c>
      <c r="S480" s="7">
        <f>IF($B480="","",Q480-R480)</f>
        <v/>
      </c>
      <c r="T480" s="7">
        <f>IF($B480="","",S480-J480)</f>
        <v/>
      </c>
      <c r="W480">
        <f>IF($B480="","",IF($AI480=1,0,IF($AH480=1,Settings!$C$6,Settings!$C$7))*100)</f>
        <v/>
      </c>
      <c r="AA480" s="7" t="n"/>
      <c r="AD480" s="11" t="n"/>
      <c r="AF480">
        <f>IF($B480="","",IF(COUNTIF($B$2:$B480,$B480)=1,1,0))</f>
        <v/>
      </c>
      <c r="AG480">
        <f>IF($AF480=1,SUMPRODUCT(--($AJ$2:$AJ$1501&lt;$AJ480))+1,"")</f>
        <v/>
      </c>
      <c r="AH480">
        <f>IF($B480="","",IF(OR($M480=TRUE(),$M480="TRUE"),1,0))</f>
        <v/>
      </c>
      <c r="AI480">
        <f>IF($B480="","",IF($V480="Yes",1,0))</f>
        <v/>
      </c>
      <c r="AJ480">
        <f>IF($AF480=1,IFERROR(IF(VALUE($B480)&lt;100000000,VALUE($B480),1000000000),IFERROR(IF(VALUE(MID($B480,2,20))&lt;100000000,VALUE(MID($B480,2,20)),1000000000),1000000000))+ROW()/100000,"")</f>
        <v/>
      </c>
    </row>
    <row r="481">
      <c r="C481" s="11" t="n"/>
      <c r="J481" s="7">
        <f>IF($B481="","",I481*Q481/100)</f>
        <v/>
      </c>
      <c r="P481" s="7" t="n"/>
      <c r="Q481" s="7" t="n"/>
      <c r="R481" s="7">
        <f>IF($B481="","",Q481*W481/100)</f>
        <v/>
      </c>
      <c r="S481" s="7">
        <f>IF($B481="","",Q481-R481)</f>
        <v/>
      </c>
      <c r="T481" s="7">
        <f>IF($B481="","",S481-J481)</f>
        <v/>
      </c>
      <c r="W481">
        <f>IF($B481="","",IF($AI481=1,0,IF($AH481=1,Settings!$C$6,Settings!$C$7))*100)</f>
        <v/>
      </c>
      <c r="AA481" s="7" t="n"/>
      <c r="AD481" s="11" t="n"/>
      <c r="AF481">
        <f>IF($B481="","",IF(COUNTIF($B$2:$B481,$B481)=1,1,0))</f>
        <v/>
      </c>
      <c r="AG481">
        <f>IF($AF481=1,SUMPRODUCT(--($AJ$2:$AJ$1501&lt;$AJ481))+1,"")</f>
        <v/>
      </c>
      <c r="AH481">
        <f>IF($B481="","",IF(OR($M481=TRUE(),$M481="TRUE"),1,0))</f>
        <v/>
      </c>
      <c r="AI481">
        <f>IF($B481="","",IF($V481="Yes",1,0))</f>
        <v/>
      </c>
      <c r="AJ481">
        <f>IF($AF481=1,IFERROR(IF(VALUE($B481)&lt;100000000,VALUE($B481),1000000000),IFERROR(IF(VALUE(MID($B481,2,20))&lt;100000000,VALUE(MID($B481,2,20)),1000000000),1000000000))+ROW()/100000,"")</f>
        <v/>
      </c>
    </row>
    <row r="482">
      <c r="C482" s="11" t="n"/>
      <c r="J482" s="7">
        <f>IF($B482="","",I482*Q482/100)</f>
        <v/>
      </c>
      <c r="P482" s="7" t="n"/>
      <c r="Q482" s="7" t="n"/>
      <c r="R482" s="7">
        <f>IF($B482="","",Q482*W482/100)</f>
        <v/>
      </c>
      <c r="S482" s="7">
        <f>IF($B482="","",Q482-R482)</f>
        <v/>
      </c>
      <c r="T482" s="7">
        <f>IF($B482="","",S482-J482)</f>
        <v/>
      </c>
      <c r="W482">
        <f>IF($B482="","",IF($AI482=1,0,IF($AH482=1,Settings!$C$6,Settings!$C$7))*100)</f>
        <v/>
      </c>
      <c r="AA482" s="7" t="n"/>
      <c r="AD482" s="11" t="n"/>
      <c r="AF482">
        <f>IF($B482="","",IF(COUNTIF($B$2:$B482,$B482)=1,1,0))</f>
        <v/>
      </c>
      <c r="AG482">
        <f>IF($AF482=1,SUMPRODUCT(--($AJ$2:$AJ$1501&lt;$AJ482))+1,"")</f>
        <v/>
      </c>
      <c r="AH482">
        <f>IF($B482="","",IF(OR($M482=TRUE(),$M482="TRUE"),1,0))</f>
        <v/>
      </c>
      <c r="AI482">
        <f>IF($B482="","",IF($V482="Yes",1,0))</f>
        <v/>
      </c>
      <c r="AJ482">
        <f>IF($AF482=1,IFERROR(IF(VALUE($B482)&lt;100000000,VALUE($B482),1000000000),IFERROR(IF(VALUE(MID($B482,2,20))&lt;100000000,VALUE(MID($B482,2,20)),1000000000),1000000000))+ROW()/100000,"")</f>
        <v/>
      </c>
    </row>
    <row r="483">
      <c r="C483" s="11" t="n"/>
      <c r="J483" s="7">
        <f>IF($B483="","",I483*Q483/100)</f>
        <v/>
      </c>
      <c r="P483" s="7" t="n"/>
      <c r="Q483" s="7" t="n"/>
      <c r="R483" s="7">
        <f>IF($B483="","",Q483*W483/100)</f>
        <v/>
      </c>
      <c r="S483" s="7">
        <f>IF($B483="","",Q483-R483)</f>
        <v/>
      </c>
      <c r="T483" s="7">
        <f>IF($B483="","",S483-J483)</f>
        <v/>
      </c>
      <c r="W483">
        <f>IF($B483="","",IF($AI483=1,0,IF($AH483=1,Settings!$C$6,Settings!$C$7))*100)</f>
        <v/>
      </c>
      <c r="AA483" s="7" t="n"/>
      <c r="AD483" s="11" t="n"/>
      <c r="AF483">
        <f>IF($B483="","",IF(COUNTIF($B$2:$B483,$B483)=1,1,0))</f>
        <v/>
      </c>
      <c r="AG483">
        <f>IF($AF483=1,SUMPRODUCT(--($AJ$2:$AJ$1501&lt;$AJ483))+1,"")</f>
        <v/>
      </c>
      <c r="AH483">
        <f>IF($B483="","",IF(OR($M483=TRUE(),$M483="TRUE"),1,0))</f>
        <v/>
      </c>
      <c r="AI483">
        <f>IF($B483="","",IF($V483="Yes",1,0))</f>
        <v/>
      </c>
      <c r="AJ483">
        <f>IF($AF483=1,IFERROR(IF(VALUE($B483)&lt;100000000,VALUE($B483),1000000000),IFERROR(IF(VALUE(MID($B483,2,20))&lt;100000000,VALUE(MID($B483,2,20)),1000000000),1000000000))+ROW()/100000,"")</f>
        <v/>
      </c>
    </row>
    <row r="484">
      <c r="C484" s="11" t="n"/>
      <c r="J484" s="7">
        <f>IF($B484="","",I484*Q484/100)</f>
        <v/>
      </c>
      <c r="P484" s="7" t="n"/>
      <c r="Q484" s="7" t="n"/>
      <c r="R484" s="7">
        <f>IF($B484="","",Q484*W484/100)</f>
        <v/>
      </c>
      <c r="S484" s="7">
        <f>IF($B484="","",Q484-R484)</f>
        <v/>
      </c>
      <c r="T484" s="7">
        <f>IF($B484="","",S484-J484)</f>
        <v/>
      </c>
      <c r="W484">
        <f>IF($B484="","",IF($AI484=1,0,IF($AH484=1,Settings!$C$6,Settings!$C$7))*100)</f>
        <v/>
      </c>
      <c r="AA484" s="7" t="n"/>
      <c r="AD484" s="11" t="n"/>
      <c r="AF484">
        <f>IF($B484="","",IF(COUNTIF($B$2:$B484,$B484)=1,1,0))</f>
        <v/>
      </c>
      <c r="AG484">
        <f>IF($AF484=1,SUMPRODUCT(--($AJ$2:$AJ$1501&lt;$AJ484))+1,"")</f>
        <v/>
      </c>
      <c r="AH484">
        <f>IF($B484="","",IF(OR($M484=TRUE(),$M484="TRUE"),1,0))</f>
        <v/>
      </c>
      <c r="AI484">
        <f>IF($B484="","",IF($V484="Yes",1,0))</f>
        <v/>
      </c>
      <c r="AJ484">
        <f>IF($AF484=1,IFERROR(IF(VALUE($B484)&lt;100000000,VALUE($B484),1000000000),IFERROR(IF(VALUE(MID($B484,2,20))&lt;100000000,VALUE(MID($B484,2,20)),1000000000),1000000000))+ROW()/100000,"")</f>
        <v/>
      </c>
    </row>
    <row r="485">
      <c r="C485" s="11" t="n"/>
      <c r="J485" s="7">
        <f>IF($B485="","",I485*Q485/100)</f>
        <v/>
      </c>
      <c r="P485" s="7" t="n"/>
      <c r="Q485" s="7" t="n"/>
      <c r="R485" s="7">
        <f>IF($B485="","",Q485*W485/100)</f>
        <v/>
      </c>
      <c r="S485" s="7">
        <f>IF($B485="","",Q485-R485)</f>
        <v/>
      </c>
      <c r="T485" s="7">
        <f>IF($B485="","",S485-J485)</f>
        <v/>
      </c>
      <c r="W485">
        <f>IF($B485="","",IF($AI485=1,0,IF($AH485=1,Settings!$C$6,Settings!$C$7))*100)</f>
        <v/>
      </c>
      <c r="AA485" s="7" t="n"/>
      <c r="AD485" s="11" t="n"/>
      <c r="AF485">
        <f>IF($B485="","",IF(COUNTIF($B$2:$B485,$B485)=1,1,0))</f>
        <v/>
      </c>
      <c r="AG485">
        <f>IF($AF485=1,SUMPRODUCT(--($AJ$2:$AJ$1501&lt;$AJ485))+1,"")</f>
        <v/>
      </c>
      <c r="AH485">
        <f>IF($B485="","",IF(OR($M485=TRUE(),$M485="TRUE"),1,0))</f>
        <v/>
      </c>
      <c r="AI485">
        <f>IF($B485="","",IF($V485="Yes",1,0))</f>
        <v/>
      </c>
      <c r="AJ485">
        <f>IF($AF485=1,IFERROR(IF(VALUE($B485)&lt;100000000,VALUE($B485),1000000000),IFERROR(IF(VALUE(MID($B485,2,20))&lt;100000000,VALUE(MID($B485,2,20)),1000000000),1000000000))+ROW()/100000,"")</f>
        <v/>
      </c>
    </row>
    <row r="486">
      <c r="C486" s="11" t="n"/>
      <c r="J486" s="7">
        <f>IF($B486="","",I486*Q486/100)</f>
        <v/>
      </c>
      <c r="P486" s="7" t="n"/>
      <c r="Q486" s="7" t="n"/>
      <c r="R486" s="7">
        <f>IF($B486="","",Q486*W486/100)</f>
        <v/>
      </c>
      <c r="S486" s="7">
        <f>IF($B486="","",Q486-R486)</f>
        <v/>
      </c>
      <c r="T486" s="7">
        <f>IF($B486="","",S486-J486)</f>
        <v/>
      </c>
      <c r="W486">
        <f>IF($B486="","",IF($AI486=1,0,IF($AH486=1,Settings!$C$6,Settings!$C$7))*100)</f>
        <v/>
      </c>
      <c r="AA486" s="7" t="n"/>
      <c r="AD486" s="11" t="n"/>
      <c r="AF486">
        <f>IF($B486="","",IF(COUNTIF($B$2:$B486,$B486)=1,1,0))</f>
        <v/>
      </c>
      <c r="AG486">
        <f>IF($AF486=1,SUMPRODUCT(--($AJ$2:$AJ$1501&lt;$AJ486))+1,"")</f>
        <v/>
      </c>
      <c r="AH486">
        <f>IF($B486="","",IF(OR($M486=TRUE(),$M486="TRUE"),1,0))</f>
        <v/>
      </c>
      <c r="AI486">
        <f>IF($B486="","",IF($V486="Yes",1,0))</f>
        <v/>
      </c>
      <c r="AJ486">
        <f>IF($AF486=1,IFERROR(IF(VALUE($B486)&lt;100000000,VALUE($B486),1000000000),IFERROR(IF(VALUE(MID($B486,2,20))&lt;100000000,VALUE(MID($B486,2,20)),1000000000),1000000000))+ROW()/100000,"")</f>
        <v/>
      </c>
    </row>
    <row r="487">
      <c r="C487" s="11" t="n"/>
      <c r="J487" s="7">
        <f>IF($B487="","",I487*Q487/100)</f>
        <v/>
      </c>
      <c r="P487" s="7" t="n"/>
      <c r="Q487" s="7" t="n"/>
      <c r="R487" s="7">
        <f>IF($B487="","",Q487*W487/100)</f>
        <v/>
      </c>
      <c r="S487" s="7">
        <f>IF($B487="","",Q487-R487)</f>
        <v/>
      </c>
      <c r="T487" s="7">
        <f>IF($B487="","",S487-J487)</f>
        <v/>
      </c>
      <c r="W487">
        <f>IF($B487="","",IF($AI487=1,0,IF($AH487=1,Settings!$C$6,Settings!$C$7))*100)</f>
        <v/>
      </c>
      <c r="AA487" s="7" t="n"/>
      <c r="AD487" s="11" t="n"/>
      <c r="AF487">
        <f>IF($B487="","",IF(COUNTIF($B$2:$B487,$B487)=1,1,0))</f>
        <v/>
      </c>
      <c r="AG487">
        <f>IF($AF487=1,SUMPRODUCT(--($AJ$2:$AJ$1501&lt;$AJ487))+1,"")</f>
        <v/>
      </c>
      <c r="AH487">
        <f>IF($B487="","",IF(OR($M487=TRUE(),$M487="TRUE"),1,0))</f>
        <v/>
      </c>
      <c r="AI487">
        <f>IF($B487="","",IF($V487="Yes",1,0))</f>
        <v/>
      </c>
      <c r="AJ487">
        <f>IF($AF487=1,IFERROR(IF(VALUE($B487)&lt;100000000,VALUE($B487),1000000000),IFERROR(IF(VALUE(MID($B487,2,20))&lt;100000000,VALUE(MID($B487,2,20)),1000000000),1000000000))+ROW()/100000,"")</f>
        <v/>
      </c>
    </row>
    <row r="488">
      <c r="C488" s="11" t="n"/>
      <c r="J488" s="7">
        <f>IF($B488="","",I488*Q488/100)</f>
        <v/>
      </c>
      <c r="P488" s="7" t="n"/>
      <c r="Q488" s="7" t="n"/>
      <c r="R488" s="7">
        <f>IF($B488="","",Q488*W488/100)</f>
        <v/>
      </c>
      <c r="S488" s="7">
        <f>IF($B488="","",Q488-R488)</f>
        <v/>
      </c>
      <c r="T488" s="7">
        <f>IF($B488="","",S488-J488)</f>
        <v/>
      </c>
      <c r="W488">
        <f>IF($B488="","",IF($AI488=1,0,IF($AH488=1,Settings!$C$6,Settings!$C$7))*100)</f>
        <v/>
      </c>
      <c r="AA488" s="7" t="n"/>
      <c r="AD488" s="11" t="n"/>
      <c r="AF488">
        <f>IF($B488="","",IF(COUNTIF($B$2:$B488,$B488)=1,1,0))</f>
        <v/>
      </c>
      <c r="AG488">
        <f>IF($AF488=1,SUMPRODUCT(--($AJ$2:$AJ$1501&lt;$AJ488))+1,"")</f>
        <v/>
      </c>
      <c r="AH488">
        <f>IF($B488="","",IF(OR($M488=TRUE(),$M488="TRUE"),1,0))</f>
        <v/>
      </c>
      <c r="AI488">
        <f>IF($B488="","",IF($V488="Yes",1,0))</f>
        <v/>
      </c>
      <c r="AJ488">
        <f>IF($AF488=1,IFERROR(IF(VALUE($B488)&lt;100000000,VALUE($B488),1000000000),IFERROR(IF(VALUE(MID($B488,2,20))&lt;100000000,VALUE(MID($B488,2,20)),1000000000),1000000000))+ROW()/100000,"")</f>
        <v/>
      </c>
    </row>
    <row r="489">
      <c r="C489" s="11" t="n"/>
      <c r="J489" s="7">
        <f>IF($B489="","",I489*Q489/100)</f>
        <v/>
      </c>
      <c r="P489" s="7" t="n"/>
      <c r="Q489" s="7" t="n"/>
      <c r="R489" s="7">
        <f>IF($B489="","",Q489*W489/100)</f>
        <v/>
      </c>
      <c r="S489" s="7">
        <f>IF($B489="","",Q489-R489)</f>
        <v/>
      </c>
      <c r="T489" s="7">
        <f>IF($B489="","",S489-J489)</f>
        <v/>
      </c>
      <c r="W489">
        <f>IF($B489="","",IF($AI489=1,0,IF($AH489=1,Settings!$C$6,Settings!$C$7))*100)</f>
        <v/>
      </c>
      <c r="AA489" s="7" t="n"/>
      <c r="AD489" s="11" t="n"/>
      <c r="AF489">
        <f>IF($B489="","",IF(COUNTIF($B$2:$B489,$B489)=1,1,0))</f>
        <v/>
      </c>
      <c r="AG489">
        <f>IF($AF489=1,SUMPRODUCT(--($AJ$2:$AJ$1501&lt;$AJ489))+1,"")</f>
        <v/>
      </c>
      <c r="AH489">
        <f>IF($B489="","",IF(OR($M489=TRUE(),$M489="TRUE"),1,0))</f>
        <v/>
      </c>
      <c r="AI489">
        <f>IF($B489="","",IF($V489="Yes",1,0))</f>
        <v/>
      </c>
      <c r="AJ489">
        <f>IF($AF489=1,IFERROR(IF(VALUE($B489)&lt;100000000,VALUE($B489),1000000000),IFERROR(IF(VALUE(MID($B489,2,20))&lt;100000000,VALUE(MID($B489,2,20)),1000000000),1000000000))+ROW()/100000,"")</f>
        <v/>
      </c>
    </row>
    <row r="490">
      <c r="C490" s="11" t="n"/>
      <c r="J490" s="7">
        <f>IF($B490="","",I490*Q490/100)</f>
        <v/>
      </c>
      <c r="P490" s="7" t="n"/>
      <c r="Q490" s="7" t="n"/>
      <c r="R490" s="7">
        <f>IF($B490="","",Q490*W490/100)</f>
        <v/>
      </c>
      <c r="S490" s="7">
        <f>IF($B490="","",Q490-R490)</f>
        <v/>
      </c>
      <c r="T490" s="7">
        <f>IF($B490="","",S490-J490)</f>
        <v/>
      </c>
      <c r="W490">
        <f>IF($B490="","",IF($AI490=1,0,IF($AH490=1,Settings!$C$6,Settings!$C$7))*100)</f>
        <v/>
      </c>
      <c r="AA490" s="7" t="n"/>
      <c r="AD490" s="11" t="n"/>
      <c r="AF490">
        <f>IF($B490="","",IF(COUNTIF($B$2:$B490,$B490)=1,1,0))</f>
        <v/>
      </c>
      <c r="AG490">
        <f>IF($AF490=1,SUMPRODUCT(--($AJ$2:$AJ$1501&lt;$AJ490))+1,"")</f>
        <v/>
      </c>
      <c r="AH490">
        <f>IF($B490="","",IF(OR($M490=TRUE(),$M490="TRUE"),1,0))</f>
        <v/>
      </c>
      <c r="AI490">
        <f>IF($B490="","",IF($V490="Yes",1,0))</f>
        <v/>
      </c>
      <c r="AJ490">
        <f>IF($AF490=1,IFERROR(IF(VALUE($B490)&lt;100000000,VALUE($B490),1000000000),IFERROR(IF(VALUE(MID($B490,2,20))&lt;100000000,VALUE(MID($B490,2,20)),1000000000),1000000000))+ROW()/100000,"")</f>
        <v/>
      </c>
    </row>
    <row r="491">
      <c r="C491" s="11" t="n"/>
      <c r="J491" s="7">
        <f>IF($B491="","",I491*Q491/100)</f>
        <v/>
      </c>
      <c r="P491" s="7" t="n"/>
      <c r="Q491" s="7" t="n"/>
      <c r="R491" s="7">
        <f>IF($B491="","",Q491*W491/100)</f>
        <v/>
      </c>
      <c r="S491" s="7">
        <f>IF($B491="","",Q491-R491)</f>
        <v/>
      </c>
      <c r="T491" s="7">
        <f>IF($B491="","",S491-J491)</f>
        <v/>
      </c>
      <c r="W491">
        <f>IF($B491="","",IF($AI491=1,0,IF($AH491=1,Settings!$C$6,Settings!$C$7))*100)</f>
        <v/>
      </c>
      <c r="AA491" s="7" t="n"/>
      <c r="AD491" s="11" t="n"/>
      <c r="AF491">
        <f>IF($B491="","",IF(COUNTIF($B$2:$B491,$B491)=1,1,0))</f>
        <v/>
      </c>
      <c r="AG491">
        <f>IF($AF491=1,SUMPRODUCT(--($AJ$2:$AJ$1501&lt;$AJ491))+1,"")</f>
        <v/>
      </c>
      <c r="AH491">
        <f>IF($B491="","",IF(OR($M491=TRUE(),$M491="TRUE"),1,0))</f>
        <v/>
      </c>
      <c r="AI491">
        <f>IF($B491="","",IF($V491="Yes",1,0))</f>
        <v/>
      </c>
      <c r="AJ491">
        <f>IF($AF491=1,IFERROR(IF(VALUE($B491)&lt;100000000,VALUE($B491),1000000000),IFERROR(IF(VALUE(MID($B491,2,20))&lt;100000000,VALUE(MID($B491,2,20)),1000000000),1000000000))+ROW()/100000,"")</f>
        <v/>
      </c>
    </row>
    <row r="492">
      <c r="C492" s="11" t="n"/>
      <c r="J492" s="7">
        <f>IF($B492="","",I492*Q492/100)</f>
        <v/>
      </c>
      <c r="P492" s="7" t="n"/>
      <c r="Q492" s="7" t="n"/>
      <c r="R492" s="7">
        <f>IF($B492="","",Q492*W492/100)</f>
        <v/>
      </c>
      <c r="S492" s="7">
        <f>IF($B492="","",Q492-R492)</f>
        <v/>
      </c>
      <c r="T492" s="7">
        <f>IF($B492="","",S492-J492)</f>
        <v/>
      </c>
      <c r="W492">
        <f>IF($B492="","",IF($AI492=1,0,IF($AH492=1,Settings!$C$6,Settings!$C$7))*100)</f>
        <v/>
      </c>
      <c r="AA492" s="7" t="n"/>
      <c r="AD492" s="11" t="n"/>
      <c r="AF492">
        <f>IF($B492="","",IF(COUNTIF($B$2:$B492,$B492)=1,1,0))</f>
        <v/>
      </c>
      <c r="AG492">
        <f>IF($AF492=1,SUMPRODUCT(--($AJ$2:$AJ$1501&lt;$AJ492))+1,"")</f>
        <v/>
      </c>
      <c r="AH492">
        <f>IF($B492="","",IF(OR($M492=TRUE(),$M492="TRUE"),1,0))</f>
        <v/>
      </c>
      <c r="AI492">
        <f>IF($B492="","",IF($V492="Yes",1,0))</f>
        <v/>
      </c>
      <c r="AJ492">
        <f>IF($AF492=1,IFERROR(IF(VALUE($B492)&lt;100000000,VALUE($B492),1000000000),IFERROR(IF(VALUE(MID($B492,2,20))&lt;100000000,VALUE(MID($B492,2,20)),1000000000),1000000000))+ROW()/100000,"")</f>
        <v/>
      </c>
    </row>
    <row r="493">
      <c r="C493" s="11" t="n"/>
      <c r="J493" s="7">
        <f>IF($B493="","",I493*Q493/100)</f>
        <v/>
      </c>
      <c r="P493" s="7" t="n"/>
      <c r="Q493" s="7" t="n"/>
      <c r="R493" s="7">
        <f>IF($B493="","",Q493*W493/100)</f>
        <v/>
      </c>
      <c r="S493" s="7">
        <f>IF($B493="","",Q493-R493)</f>
        <v/>
      </c>
      <c r="T493" s="7">
        <f>IF($B493="","",S493-J493)</f>
        <v/>
      </c>
      <c r="W493">
        <f>IF($B493="","",IF($AI493=1,0,IF($AH493=1,Settings!$C$6,Settings!$C$7))*100)</f>
        <v/>
      </c>
      <c r="AA493" s="7" t="n"/>
      <c r="AD493" s="11" t="n"/>
      <c r="AF493">
        <f>IF($B493="","",IF(COUNTIF($B$2:$B493,$B493)=1,1,0))</f>
        <v/>
      </c>
      <c r="AG493">
        <f>IF($AF493=1,SUMPRODUCT(--($AJ$2:$AJ$1501&lt;$AJ493))+1,"")</f>
        <v/>
      </c>
      <c r="AH493">
        <f>IF($B493="","",IF(OR($M493=TRUE(),$M493="TRUE"),1,0))</f>
        <v/>
      </c>
      <c r="AI493">
        <f>IF($B493="","",IF($V493="Yes",1,0))</f>
        <v/>
      </c>
      <c r="AJ493">
        <f>IF($AF493=1,IFERROR(IF(VALUE($B493)&lt;100000000,VALUE($B493),1000000000),IFERROR(IF(VALUE(MID($B493,2,20))&lt;100000000,VALUE(MID($B493,2,20)),1000000000),1000000000))+ROW()/100000,"")</f>
        <v/>
      </c>
    </row>
    <row r="494">
      <c r="C494" s="11" t="n"/>
      <c r="J494" s="7">
        <f>IF($B494="","",I494*Q494/100)</f>
        <v/>
      </c>
      <c r="P494" s="7" t="n"/>
      <c r="Q494" s="7" t="n"/>
      <c r="R494" s="7">
        <f>IF($B494="","",Q494*W494/100)</f>
        <v/>
      </c>
      <c r="S494" s="7">
        <f>IF($B494="","",Q494-R494)</f>
        <v/>
      </c>
      <c r="T494" s="7">
        <f>IF($B494="","",S494-J494)</f>
        <v/>
      </c>
      <c r="W494">
        <f>IF($B494="","",IF($AI494=1,0,IF($AH494=1,Settings!$C$6,Settings!$C$7))*100)</f>
        <v/>
      </c>
      <c r="AA494" s="7" t="n"/>
      <c r="AD494" s="11" t="n"/>
      <c r="AF494">
        <f>IF($B494="","",IF(COUNTIF($B$2:$B494,$B494)=1,1,0))</f>
        <v/>
      </c>
      <c r="AG494">
        <f>IF($AF494=1,SUMPRODUCT(--($AJ$2:$AJ$1501&lt;$AJ494))+1,"")</f>
        <v/>
      </c>
      <c r="AH494">
        <f>IF($B494="","",IF(OR($M494=TRUE(),$M494="TRUE"),1,0))</f>
        <v/>
      </c>
      <c r="AI494">
        <f>IF($B494="","",IF($V494="Yes",1,0))</f>
        <v/>
      </c>
      <c r="AJ494">
        <f>IF($AF494=1,IFERROR(IF(VALUE($B494)&lt;100000000,VALUE($B494),1000000000),IFERROR(IF(VALUE(MID($B494,2,20))&lt;100000000,VALUE(MID($B494,2,20)),1000000000),1000000000))+ROW()/100000,"")</f>
        <v/>
      </c>
    </row>
    <row r="495">
      <c r="C495" s="11" t="n"/>
      <c r="J495" s="7">
        <f>IF($B495="","",I495*Q495/100)</f>
        <v/>
      </c>
      <c r="P495" s="7" t="n"/>
      <c r="Q495" s="7" t="n"/>
      <c r="R495" s="7">
        <f>IF($B495="","",Q495*W495/100)</f>
        <v/>
      </c>
      <c r="S495" s="7">
        <f>IF($B495="","",Q495-R495)</f>
        <v/>
      </c>
      <c r="T495" s="7">
        <f>IF($B495="","",S495-J495)</f>
        <v/>
      </c>
      <c r="W495">
        <f>IF($B495="","",IF($AI495=1,0,IF($AH495=1,Settings!$C$6,Settings!$C$7))*100)</f>
        <v/>
      </c>
      <c r="AA495" s="7" t="n"/>
      <c r="AD495" s="11" t="n"/>
      <c r="AF495">
        <f>IF($B495="","",IF(COUNTIF($B$2:$B495,$B495)=1,1,0))</f>
        <v/>
      </c>
      <c r="AG495">
        <f>IF($AF495=1,SUMPRODUCT(--($AJ$2:$AJ$1501&lt;$AJ495))+1,"")</f>
        <v/>
      </c>
      <c r="AH495">
        <f>IF($B495="","",IF(OR($M495=TRUE(),$M495="TRUE"),1,0))</f>
        <v/>
      </c>
      <c r="AI495">
        <f>IF($B495="","",IF($V495="Yes",1,0))</f>
        <v/>
      </c>
      <c r="AJ495">
        <f>IF($AF495=1,IFERROR(IF(VALUE($B495)&lt;100000000,VALUE($B495),1000000000),IFERROR(IF(VALUE(MID($B495,2,20))&lt;100000000,VALUE(MID($B495,2,20)),1000000000),1000000000))+ROW()/100000,"")</f>
        <v/>
      </c>
    </row>
    <row r="496">
      <c r="C496" s="11" t="n"/>
      <c r="J496" s="7">
        <f>IF($B496="","",I496*Q496/100)</f>
        <v/>
      </c>
      <c r="P496" s="7" t="n"/>
      <c r="Q496" s="7" t="n"/>
      <c r="R496" s="7">
        <f>IF($B496="","",Q496*W496/100)</f>
        <v/>
      </c>
      <c r="S496" s="7">
        <f>IF($B496="","",Q496-R496)</f>
        <v/>
      </c>
      <c r="T496" s="7">
        <f>IF($B496="","",S496-J496)</f>
        <v/>
      </c>
      <c r="W496">
        <f>IF($B496="","",IF($AI496=1,0,IF($AH496=1,Settings!$C$6,Settings!$C$7))*100)</f>
        <v/>
      </c>
      <c r="AA496" s="7" t="n"/>
      <c r="AD496" s="11" t="n"/>
      <c r="AF496">
        <f>IF($B496="","",IF(COUNTIF($B$2:$B496,$B496)=1,1,0))</f>
        <v/>
      </c>
      <c r="AG496">
        <f>IF($AF496=1,SUMPRODUCT(--($AJ$2:$AJ$1501&lt;$AJ496))+1,"")</f>
        <v/>
      </c>
      <c r="AH496">
        <f>IF($B496="","",IF(OR($M496=TRUE(),$M496="TRUE"),1,0))</f>
        <v/>
      </c>
      <c r="AI496">
        <f>IF($B496="","",IF($V496="Yes",1,0))</f>
        <v/>
      </c>
      <c r="AJ496">
        <f>IF($AF496=1,IFERROR(IF(VALUE($B496)&lt;100000000,VALUE($B496),1000000000),IFERROR(IF(VALUE(MID($B496,2,20))&lt;100000000,VALUE(MID($B496,2,20)),1000000000),1000000000))+ROW()/100000,"")</f>
        <v/>
      </c>
    </row>
    <row r="497">
      <c r="C497" s="11" t="n"/>
      <c r="J497" s="7">
        <f>IF($B497="","",I497*Q497/100)</f>
        <v/>
      </c>
      <c r="P497" s="7" t="n"/>
      <c r="Q497" s="7" t="n"/>
      <c r="R497" s="7">
        <f>IF($B497="","",Q497*W497/100)</f>
        <v/>
      </c>
      <c r="S497" s="7">
        <f>IF($B497="","",Q497-R497)</f>
        <v/>
      </c>
      <c r="T497" s="7">
        <f>IF($B497="","",S497-J497)</f>
        <v/>
      </c>
      <c r="W497">
        <f>IF($B497="","",IF($AI497=1,0,IF($AH497=1,Settings!$C$6,Settings!$C$7))*100)</f>
        <v/>
      </c>
      <c r="AA497" s="7" t="n"/>
      <c r="AD497" s="11" t="n"/>
      <c r="AF497">
        <f>IF($B497="","",IF(COUNTIF($B$2:$B497,$B497)=1,1,0))</f>
        <v/>
      </c>
      <c r="AG497">
        <f>IF($AF497=1,SUMPRODUCT(--($AJ$2:$AJ$1501&lt;$AJ497))+1,"")</f>
        <v/>
      </c>
      <c r="AH497">
        <f>IF($B497="","",IF(OR($M497=TRUE(),$M497="TRUE"),1,0))</f>
        <v/>
      </c>
      <c r="AI497">
        <f>IF($B497="","",IF($V497="Yes",1,0))</f>
        <v/>
      </c>
      <c r="AJ497">
        <f>IF($AF497=1,IFERROR(IF(VALUE($B497)&lt;100000000,VALUE($B497),1000000000),IFERROR(IF(VALUE(MID($B497,2,20))&lt;100000000,VALUE(MID($B497,2,20)),1000000000),1000000000))+ROW()/100000,"")</f>
        <v/>
      </c>
    </row>
    <row r="498">
      <c r="C498" s="11" t="n"/>
      <c r="J498" s="7">
        <f>IF($B498="","",I498*Q498/100)</f>
        <v/>
      </c>
      <c r="P498" s="7" t="n"/>
      <c r="Q498" s="7" t="n"/>
      <c r="R498" s="7">
        <f>IF($B498="","",Q498*W498/100)</f>
        <v/>
      </c>
      <c r="S498" s="7">
        <f>IF($B498="","",Q498-R498)</f>
        <v/>
      </c>
      <c r="T498" s="7">
        <f>IF($B498="","",S498-J498)</f>
        <v/>
      </c>
      <c r="W498">
        <f>IF($B498="","",IF($AI498=1,0,IF($AH498=1,Settings!$C$6,Settings!$C$7))*100)</f>
        <v/>
      </c>
      <c r="AA498" s="7" t="n"/>
      <c r="AD498" s="11" t="n"/>
      <c r="AF498">
        <f>IF($B498="","",IF(COUNTIF($B$2:$B498,$B498)=1,1,0))</f>
        <v/>
      </c>
      <c r="AG498">
        <f>IF($AF498=1,SUMPRODUCT(--($AJ$2:$AJ$1501&lt;$AJ498))+1,"")</f>
        <v/>
      </c>
      <c r="AH498">
        <f>IF($B498="","",IF(OR($M498=TRUE(),$M498="TRUE"),1,0))</f>
        <v/>
      </c>
      <c r="AI498">
        <f>IF($B498="","",IF($V498="Yes",1,0))</f>
        <v/>
      </c>
      <c r="AJ498">
        <f>IF($AF498=1,IFERROR(IF(VALUE($B498)&lt;100000000,VALUE($B498),1000000000),IFERROR(IF(VALUE(MID($B498,2,20))&lt;100000000,VALUE(MID($B498,2,20)),1000000000),1000000000))+ROW()/100000,"")</f>
        <v/>
      </c>
    </row>
    <row r="499">
      <c r="C499" s="11" t="n"/>
      <c r="J499" s="7">
        <f>IF($B499="","",I499*Q499/100)</f>
        <v/>
      </c>
      <c r="P499" s="7" t="n"/>
      <c r="Q499" s="7" t="n"/>
      <c r="R499" s="7">
        <f>IF($B499="","",Q499*W499/100)</f>
        <v/>
      </c>
      <c r="S499" s="7">
        <f>IF($B499="","",Q499-R499)</f>
        <v/>
      </c>
      <c r="T499" s="7">
        <f>IF($B499="","",S499-J499)</f>
        <v/>
      </c>
      <c r="W499">
        <f>IF($B499="","",IF($AI499=1,0,IF($AH499=1,Settings!$C$6,Settings!$C$7))*100)</f>
        <v/>
      </c>
      <c r="AA499" s="7" t="n"/>
      <c r="AD499" s="11" t="n"/>
      <c r="AF499">
        <f>IF($B499="","",IF(COUNTIF($B$2:$B499,$B499)=1,1,0))</f>
        <v/>
      </c>
      <c r="AG499">
        <f>IF($AF499=1,SUMPRODUCT(--($AJ$2:$AJ$1501&lt;$AJ499))+1,"")</f>
        <v/>
      </c>
      <c r="AH499">
        <f>IF($B499="","",IF(OR($M499=TRUE(),$M499="TRUE"),1,0))</f>
        <v/>
      </c>
      <c r="AI499">
        <f>IF($B499="","",IF($V499="Yes",1,0))</f>
        <v/>
      </c>
      <c r="AJ499">
        <f>IF($AF499=1,IFERROR(IF(VALUE($B499)&lt;100000000,VALUE($B499),1000000000),IFERROR(IF(VALUE(MID($B499,2,20))&lt;100000000,VALUE(MID($B499,2,20)),1000000000),1000000000))+ROW()/100000,"")</f>
        <v/>
      </c>
    </row>
    <row r="500">
      <c r="C500" s="11" t="n"/>
      <c r="J500" s="7">
        <f>IF($B500="","",I500*Q500/100)</f>
        <v/>
      </c>
      <c r="P500" s="7" t="n"/>
      <c r="Q500" s="7" t="n"/>
      <c r="R500" s="7">
        <f>IF($B500="","",Q500*W500/100)</f>
        <v/>
      </c>
      <c r="S500" s="7">
        <f>IF($B500="","",Q500-R500)</f>
        <v/>
      </c>
      <c r="T500" s="7">
        <f>IF($B500="","",S500-J500)</f>
        <v/>
      </c>
      <c r="W500">
        <f>IF($B500="","",IF($AI500=1,0,IF($AH500=1,Settings!$C$6,Settings!$C$7))*100)</f>
        <v/>
      </c>
      <c r="AA500" s="7" t="n"/>
      <c r="AD500" s="11" t="n"/>
      <c r="AF500">
        <f>IF($B500="","",IF(COUNTIF($B$2:$B500,$B500)=1,1,0))</f>
        <v/>
      </c>
      <c r="AG500">
        <f>IF($AF500=1,SUMPRODUCT(--($AJ$2:$AJ$1501&lt;$AJ500))+1,"")</f>
        <v/>
      </c>
      <c r="AH500">
        <f>IF($B500="","",IF(OR($M500=TRUE(),$M500="TRUE"),1,0))</f>
        <v/>
      </c>
      <c r="AI500">
        <f>IF($B500="","",IF($V500="Yes",1,0))</f>
        <v/>
      </c>
      <c r="AJ500">
        <f>IF($AF500=1,IFERROR(IF(VALUE($B500)&lt;100000000,VALUE($B500),1000000000),IFERROR(IF(VALUE(MID($B500,2,20))&lt;100000000,VALUE(MID($B500,2,20)),1000000000),1000000000))+ROW()/100000,"")</f>
        <v/>
      </c>
    </row>
    <row r="501">
      <c r="C501" s="11" t="n"/>
      <c r="J501" s="7">
        <f>IF($B501="","",I501*Q501/100)</f>
        <v/>
      </c>
      <c r="P501" s="7" t="n"/>
      <c r="Q501" s="7" t="n"/>
      <c r="R501" s="7">
        <f>IF($B501="","",Q501*W501/100)</f>
        <v/>
      </c>
      <c r="S501" s="7">
        <f>IF($B501="","",Q501-R501)</f>
        <v/>
      </c>
      <c r="T501" s="7">
        <f>IF($B501="","",S501-J501)</f>
        <v/>
      </c>
      <c r="W501">
        <f>IF($B501="","",IF($AI501=1,0,IF($AH501=1,Settings!$C$6,Settings!$C$7))*100)</f>
        <v/>
      </c>
      <c r="AA501" s="7" t="n"/>
      <c r="AD501" s="11" t="n"/>
      <c r="AF501">
        <f>IF($B501="","",IF(COUNTIF($B$2:$B501,$B501)=1,1,0))</f>
        <v/>
      </c>
      <c r="AG501">
        <f>IF($AF501=1,SUMPRODUCT(--($AJ$2:$AJ$1501&lt;$AJ501))+1,"")</f>
        <v/>
      </c>
      <c r="AH501">
        <f>IF($B501="","",IF(OR($M501=TRUE(),$M501="TRUE"),1,0))</f>
        <v/>
      </c>
      <c r="AI501">
        <f>IF($B501="","",IF($V501="Yes",1,0))</f>
        <v/>
      </c>
      <c r="AJ501">
        <f>IF($AF501=1,IFERROR(IF(VALUE($B501)&lt;100000000,VALUE($B501),1000000000),IFERROR(IF(VALUE(MID($B501,2,20))&lt;100000000,VALUE(MID($B501,2,20)),1000000000),1000000000))+ROW()/100000,"")</f>
        <v/>
      </c>
    </row>
    <row r="502">
      <c r="C502" s="11" t="n"/>
      <c r="J502" s="7">
        <f>IF($B502="","",I502*Q502/100)</f>
        <v/>
      </c>
      <c r="P502" s="7" t="n"/>
      <c r="Q502" s="7" t="n"/>
      <c r="R502" s="7">
        <f>IF($B502="","",Q502*W502/100)</f>
        <v/>
      </c>
      <c r="S502" s="7">
        <f>IF($B502="","",Q502-R502)</f>
        <v/>
      </c>
      <c r="T502" s="7">
        <f>IF($B502="","",S502-J502)</f>
        <v/>
      </c>
      <c r="W502">
        <f>IF($B502="","",IF($AI502=1,0,IF($AH502=1,Settings!$C$6,Settings!$C$7))*100)</f>
        <v/>
      </c>
      <c r="AA502" s="7" t="n"/>
      <c r="AD502" s="11" t="n"/>
      <c r="AF502">
        <f>IF($B502="","",IF(COUNTIF($B$2:$B502,$B502)=1,1,0))</f>
        <v/>
      </c>
      <c r="AG502">
        <f>IF($AF502=1,SUMPRODUCT(--($AJ$2:$AJ$1501&lt;$AJ502))+1,"")</f>
        <v/>
      </c>
      <c r="AH502">
        <f>IF($B502="","",IF(OR($M502=TRUE(),$M502="TRUE"),1,0))</f>
        <v/>
      </c>
      <c r="AI502">
        <f>IF($B502="","",IF($V502="Yes",1,0))</f>
        <v/>
      </c>
      <c r="AJ502">
        <f>IF($AF502=1,IFERROR(IF(VALUE($B502)&lt;100000000,VALUE($B502),1000000000),IFERROR(IF(VALUE(MID($B502,2,20))&lt;100000000,VALUE(MID($B502,2,20)),1000000000),1000000000))+ROW()/100000,"")</f>
        <v/>
      </c>
    </row>
    <row r="503">
      <c r="C503" s="11" t="n"/>
      <c r="J503" s="7">
        <f>IF($B503="","",I503*Q503/100)</f>
        <v/>
      </c>
      <c r="P503" s="7" t="n"/>
      <c r="Q503" s="7" t="n"/>
      <c r="R503" s="7">
        <f>IF($B503="","",Q503*W503/100)</f>
        <v/>
      </c>
      <c r="S503" s="7">
        <f>IF($B503="","",Q503-R503)</f>
        <v/>
      </c>
      <c r="T503" s="7">
        <f>IF($B503="","",S503-J503)</f>
        <v/>
      </c>
      <c r="W503">
        <f>IF($B503="","",IF($AI503=1,0,IF($AH503=1,Settings!$C$6,Settings!$C$7))*100)</f>
        <v/>
      </c>
      <c r="AA503" s="7" t="n"/>
      <c r="AD503" s="11" t="n"/>
      <c r="AF503">
        <f>IF($B503="","",IF(COUNTIF($B$2:$B503,$B503)=1,1,0))</f>
        <v/>
      </c>
      <c r="AG503">
        <f>IF($AF503=1,SUMPRODUCT(--($AJ$2:$AJ$1501&lt;$AJ503))+1,"")</f>
        <v/>
      </c>
      <c r="AH503">
        <f>IF($B503="","",IF(OR($M503=TRUE(),$M503="TRUE"),1,0))</f>
        <v/>
      </c>
      <c r="AI503">
        <f>IF($B503="","",IF($V503="Yes",1,0))</f>
        <v/>
      </c>
      <c r="AJ503">
        <f>IF($AF503=1,IFERROR(IF(VALUE($B503)&lt;100000000,VALUE($B503),1000000000),IFERROR(IF(VALUE(MID($B503,2,20))&lt;100000000,VALUE(MID($B503,2,20)),1000000000),1000000000))+ROW()/100000,"")</f>
        <v/>
      </c>
    </row>
    <row r="504">
      <c r="C504" s="11" t="n"/>
      <c r="J504" s="7">
        <f>IF($B504="","",I504*Q504/100)</f>
        <v/>
      </c>
      <c r="P504" s="7" t="n"/>
      <c r="Q504" s="7" t="n"/>
      <c r="R504" s="7">
        <f>IF($B504="","",Q504*W504/100)</f>
        <v/>
      </c>
      <c r="S504" s="7">
        <f>IF($B504="","",Q504-R504)</f>
        <v/>
      </c>
      <c r="T504" s="7">
        <f>IF($B504="","",S504-J504)</f>
        <v/>
      </c>
      <c r="W504">
        <f>IF($B504="","",IF($AI504=1,0,IF($AH504=1,Settings!$C$6,Settings!$C$7))*100)</f>
        <v/>
      </c>
      <c r="AA504" s="7" t="n"/>
      <c r="AD504" s="11" t="n"/>
      <c r="AF504">
        <f>IF($B504="","",IF(COUNTIF($B$2:$B504,$B504)=1,1,0))</f>
        <v/>
      </c>
      <c r="AG504">
        <f>IF($AF504=1,SUMPRODUCT(--($AJ$2:$AJ$1501&lt;$AJ504))+1,"")</f>
        <v/>
      </c>
      <c r="AH504">
        <f>IF($B504="","",IF(OR($M504=TRUE(),$M504="TRUE"),1,0))</f>
        <v/>
      </c>
      <c r="AI504">
        <f>IF($B504="","",IF($V504="Yes",1,0))</f>
        <v/>
      </c>
      <c r="AJ504">
        <f>IF($AF504=1,IFERROR(IF(VALUE($B504)&lt;100000000,VALUE($B504),1000000000),IFERROR(IF(VALUE(MID($B504,2,20))&lt;100000000,VALUE(MID($B504,2,20)),1000000000),1000000000))+ROW()/100000,"")</f>
        <v/>
      </c>
    </row>
    <row r="505">
      <c r="C505" s="11" t="n"/>
      <c r="J505" s="7">
        <f>IF($B505="","",I505*Q505/100)</f>
        <v/>
      </c>
      <c r="P505" s="7" t="n"/>
      <c r="Q505" s="7" t="n"/>
      <c r="R505" s="7">
        <f>IF($B505="","",Q505*W505/100)</f>
        <v/>
      </c>
      <c r="S505" s="7">
        <f>IF($B505="","",Q505-R505)</f>
        <v/>
      </c>
      <c r="T505" s="7">
        <f>IF($B505="","",S505-J505)</f>
        <v/>
      </c>
      <c r="W505">
        <f>IF($B505="","",IF($AI505=1,0,IF($AH505=1,Settings!$C$6,Settings!$C$7))*100)</f>
        <v/>
      </c>
      <c r="AA505" s="7" t="n"/>
      <c r="AD505" s="11" t="n"/>
      <c r="AF505">
        <f>IF($B505="","",IF(COUNTIF($B$2:$B505,$B505)=1,1,0))</f>
        <v/>
      </c>
      <c r="AG505">
        <f>IF($AF505=1,SUMPRODUCT(--($AJ$2:$AJ$1501&lt;$AJ505))+1,"")</f>
        <v/>
      </c>
      <c r="AH505">
        <f>IF($B505="","",IF(OR($M505=TRUE(),$M505="TRUE"),1,0))</f>
        <v/>
      </c>
      <c r="AI505">
        <f>IF($B505="","",IF($V505="Yes",1,0))</f>
        <v/>
      </c>
      <c r="AJ505">
        <f>IF($AF505=1,IFERROR(IF(VALUE($B505)&lt;100000000,VALUE($B505),1000000000),IFERROR(IF(VALUE(MID($B505,2,20))&lt;100000000,VALUE(MID($B505,2,20)),1000000000),1000000000))+ROW()/100000,"")</f>
        <v/>
      </c>
    </row>
    <row r="506">
      <c r="C506" s="11" t="n"/>
      <c r="J506" s="7">
        <f>IF($B506="","",I506*Q506/100)</f>
        <v/>
      </c>
      <c r="P506" s="7" t="n"/>
      <c r="Q506" s="7" t="n"/>
      <c r="R506" s="7">
        <f>IF($B506="","",Q506*W506/100)</f>
        <v/>
      </c>
      <c r="S506" s="7">
        <f>IF($B506="","",Q506-R506)</f>
        <v/>
      </c>
      <c r="T506" s="7">
        <f>IF($B506="","",S506-J506)</f>
        <v/>
      </c>
      <c r="W506">
        <f>IF($B506="","",IF($AI506=1,0,IF($AH506=1,Settings!$C$6,Settings!$C$7))*100)</f>
        <v/>
      </c>
      <c r="AA506" s="7" t="n"/>
      <c r="AD506" s="11" t="n"/>
      <c r="AF506">
        <f>IF($B506="","",IF(COUNTIF($B$2:$B506,$B506)=1,1,0))</f>
        <v/>
      </c>
      <c r="AG506">
        <f>IF($AF506=1,SUMPRODUCT(--($AJ$2:$AJ$1501&lt;$AJ506))+1,"")</f>
        <v/>
      </c>
      <c r="AH506">
        <f>IF($B506="","",IF(OR($M506=TRUE(),$M506="TRUE"),1,0))</f>
        <v/>
      </c>
      <c r="AI506">
        <f>IF($B506="","",IF($V506="Yes",1,0))</f>
        <v/>
      </c>
      <c r="AJ506">
        <f>IF($AF506=1,IFERROR(IF(VALUE($B506)&lt;100000000,VALUE($B506),1000000000),IFERROR(IF(VALUE(MID($B506,2,20))&lt;100000000,VALUE(MID($B506,2,20)),1000000000),1000000000))+ROW()/100000,"")</f>
        <v/>
      </c>
    </row>
    <row r="507">
      <c r="C507" s="11" t="n"/>
      <c r="J507" s="7">
        <f>IF($B507="","",I507*Q507/100)</f>
        <v/>
      </c>
      <c r="P507" s="7" t="n"/>
      <c r="Q507" s="7" t="n"/>
      <c r="R507" s="7">
        <f>IF($B507="","",Q507*W507/100)</f>
        <v/>
      </c>
      <c r="S507" s="7">
        <f>IF($B507="","",Q507-R507)</f>
        <v/>
      </c>
      <c r="T507" s="7">
        <f>IF($B507="","",S507-J507)</f>
        <v/>
      </c>
      <c r="W507">
        <f>IF($B507="","",IF($AI507=1,0,IF($AH507=1,Settings!$C$6,Settings!$C$7))*100)</f>
        <v/>
      </c>
      <c r="AA507" s="7" t="n"/>
      <c r="AD507" s="11" t="n"/>
      <c r="AF507">
        <f>IF($B507="","",IF(COUNTIF($B$2:$B507,$B507)=1,1,0))</f>
        <v/>
      </c>
      <c r="AG507">
        <f>IF($AF507=1,SUMPRODUCT(--($AJ$2:$AJ$1501&lt;$AJ507))+1,"")</f>
        <v/>
      </c>
      <c r="AH507">
        <f>IF($B507="","",IF(OR($M507=TRUE(),$M507="TRUE"),1,0))</f>
        <v/>
      </c>
      <c r="AI507">
        <f>IF($B507="","",IF($V507="Yes",1,0))</f>
        <v/>
      </c>
      <c r="AJ507">
        <f>IF($AF507=1,IFERROR(IF(VALUE($B507)&lt;100000000,VALUE($B507),1000000000),IFERROR(IF(VALUE(MID($B507,2,20))&lt;100000000,VALUE(MID($B507,2,20)),1000000000),1000000000))+ROW()/100000,"")</f>
        <v/>
      </c>
    </row>
    <row r="508">
      <c r="C508" s="11" t="n"/>
      <c r="J508" s="7">
        <f>IF($B508="","",I508*Q508/100)</f>
        <v/>
      </c>
      <c r="P508" s="7" t="n"/>
      <c r="Q508" s="7" t="n"/>
      <c r="R508" s="7">
        <f>IF($B508="","",Q508*W508/100)</f>
        <v/>
      </c>
      <c r="S508" s="7">
        <f>IF($B508="","",Q508-R508)</f>
        <v/>
      </c>
      <c r="T508" s="7">
        <f>IF($B508="","",S508-J508)</f>
        <v/>
      </c>
      <c r="W508">
        <f>IF($B508="","",IF($AI508=1,0,IF($AH508=1,Settings!$C$6,Settings!$C$7))*100)</f>
        <v/>
      </c>
      <c r="AA508" s="7" t="n"/>
      <c r="AD508" s="11" t="n"/>
      <c r="AF508">
        <f>IF($B508="","",IF(COUNTIF($B$2:$B508,$B508)=1,1,0))</f>
        <v/>
      </c>
      <c r="AG508">
        <f>IF($AF508=1,SUMPRODUCT(--($AJ$2:$AJ$1501&lt;$AJ508))+1,"")</f>
        <v/>
      </c>
      <c r="AH508">
        <f>IF($B508="","",IF(OR($M508=TRUE(),$M508="TRUE"),1,0))</f>
        <v/>
      </c>
      <c r="AI508">
        <f>IF($B508="","",IF($V508="Yes",1,0))</f>
        <v/>
      </c>
      <c r="AJ508">
        <f>IF($AF508=1,IFERROR(IF(VALUE($B508)&lt;100000000,VALUE($B508),1000000000),IFERROR(IF(VALUE(MID($B508,2,20))&lt;100000000,VALUE(MID($B508,2,20)),1000000000),1000000000))+ROW()/100000,"")</f>
        <v/>
      </c>
    </row>
    <row r="509">
      <c r="C509" s="11" t="n"/>
      <c r="J509" s="7">
        <f>IF($B509="","",I509*Q509/100)</f>
        <v/>
      </c>
      <c r="P509" s="7" t="n"/>
      <c r="Q509" s="7" t="n"/>
      <c r="R509" s="7">
        <f>IF($B509="","",Q509*W509/100)</f>
        <v/>
      </c>
      <c r="S509" s="7">
        <f>IF($B509="","",Q509-R509)</f>
        <v/>
      </c>
      <c r="T509" s="7">
        <f>IF($B509="","",S509-J509)</f>
        <v/>
      </c>
      <c r="W509">
        <f>IF($B509="","",IF($AI509=1,0,IF($AH509=1,Settings!$C$6,Settings!$C$7))*100)</f>
        <v/>
      </c>
      <c r="AA509" s="7" t="n"/>
      <c r="AD509" s="11" t="n"/>
      <c r="AF509">
        <f>IF($B509="","",IF(COUNTIF($B$2:$B509,$B509)=1,1,0))</f>
        <v/>
      </c>
      <c r="AG509">
        <f>IF($AF509=1,SUMPRODUCT(--($AJ$2:$AJ$1501&lt;$AJ509))+1,"")</f>
        <v/>
      </c>
      <c r="AH509">
        <f>IF($B509="","",IF(OR($M509=TRUE(),$M509="TRUE"),1,0))</f>
        <v/>
      </c>
      <c r="AI509">
        <f>IF($B509="","",IF($V509="Yes",1,0))</f>
        <v/>
      </c>
      <c r="AJ509">
        <f>IF($AF509=1,IFERROR(IF(VALUE($B509)&lt;100000000,VALUE($B509),1000000000),IFERROR(IF(VALUE(MID($B509,2,20))&lt;100000000,VALUE(MID($B509,2,20)),1000000000),1000000000))+ROW()/100000,"")</f>
        <v/>
      </c>
    </row>
    <row r="510">
      <c r="C510" s="11" t="n"/>
      <c r="J510" s="7">
        <f>IF($B510="","",I510*Q510/100)</f>
        <v/>
      </c>
      <c r="P510" s="7" t="n"/>
      <c r="Q510" s="7" t="n"/>
      <c r="R510" s="7">
        <f>IF($B510="","",Q510*W510/100)</f>
        <v/>
      </c>
      <c r="S510" s="7">
        <f>IF($B510="","",Q510-R510)</f>
        <v/>
      </c>
      <c r="T510" s="7">
        <f>IF($B510="","",S510-J510)</f>
        <v/>
      </c>
      <c r="W510">
        <f>IF($B510="","",IF($AI510=1,0,IF($AH510=1,Settings!$C$6,Settings!$C$7))*100)</f>
        <v/>
      </c>
      <c r="AA510" s="7" t="n"/>
      <c r="AD510" s="11" t="n"/>
      <c r="AF510">
        <f>IF($B510="","",IF(COUNTIF($B$2:$B510,$B510)=1,1,0))</f>
        <v/>
      </c>
      <c r="AG510">
        <f>IF($AF510=1,SUMPRODUCT(--($AJ$2:$AJ$1501&lt;$AJ510))+1,"")</f>
        <v/>
      </c>
      <c r="AH510">
        <f>IF($B510="","",IF(OR($M510=TRUE(),$M510="TRUE"),1,0))</f>
        <v/>
      </c>
      <c r="AI510">
        <f>IF($B510="","",IF($V510="Yes",1,0))</f>
        <v/>
      </c>
      <c r="AJ510">
        <f>IF($AF510=1,IFERROR(IF(VALUE($B510)&lt;100000000,VALUE($B510),1000000000),IFERROR(IF(VALUE(MID($B510,2,20))&lt;100000000,VALUE(MID($B510,2,20)),1000000000),1000000000))+ROW()/100000,"")</f>
        <v/>
      </c>
    </row>
    <row r="511">
      <c r="C511" s="11" t="n"/>
      <c r="J511" s="7">
        <f>IF($B511="","",I511*Q511/100)</f>
        <v/>
      </c>
      <c r="P511" s="7" t="n"/>
      <c r="Q511" s="7" t="n"/>
      <c r="R511" s="7">
        <f>IF($B511="","",Q511*W511/100)</f>
        <v/>
      </c>
      <c r="S511" s="7">
        <f>IF($B511="","",Q511-R511)</f>
        <v/>
      </c>
      <c r="T511" s="7">
        <f>IF($B511="","",S511-J511)</f>
        <v/>
      </c>
      <c r="W511">
        <f>IF($B511="","",IF($AI511=1,0,IF($AH511=1,Settings!$C$6,Settings!$C$7))*100)</f>
        <v/>
      </c>
      <c r="AA511" s="7" t="n"/>
      <c r="AD511" s="11" t="n"/>
      <c r="AF511">
        <f>IF($B511="","",IF(COUNTIF($B$2:$B511,$B511)=1,1,0))</f>
        <v/>
      </c>
      <c r="AG511">
        <f>IF($AF511=1,SUMPRODUCT(--($AJ$2:$AJ$1501&lt;$AJ511))+1,"")</f>
        <v/>
      </c>
      <c r="AH511">
        <f>IF($B511="","",IF(OR($M511=TRUE(),$M511="TRUE"),1,0))</f>
        <v/>
      </c>
      <c r="AI511">
        <f>IF($B511="","",IF($V511="Yes",1,0))</f>
        <v/>
      </c>
      <c r="AJ511">
        <f>IF($AF511=1,IFERROR(IF(VALUE($B511)&lt;100000000,VALUE($B511),1000000000),IFERROR(IF(VALUE(MID($B511,2,20))&lt;100000000,VALUE(MID($B511,2,20)),1000000000),1000000000))+ROW()/100000,"")</f>
        <v/>
      </c>
    </row>
    <row r="512">
      <c r="C512" s="11" t="n"/>
      <c r="J512" s="7">
        <f>IF($B512="","",I512*Q512/100)</f>
        <v/>
      </c>
      <c r="P512" s="7" t="n"/>
      <c r="Q512" s="7" t="n"/>
      <c r="R512" s="7">
        <f>IF($B512="","",Q512*W512/100)</f>
        <v/>
      </c>
      <c r="S512" s="7">
        <f>IF($B512="","",Q512-R512)</f>
        <v/>
      </c>
      <c r="T512" s="7">
        <f>IF($B512="","",S512-J512)</f>
        <v/>
      </c>
      <c r="W512">
        <f>IF($B512="","",IF($AI512=1,0,IF($AH512=1,Settings!$C$6,Settings!$C$7))*100)</f>
        <v/>
      </c>
      <c r="AA512" s="7" t="n"/>
      <c r="AD512" s="11" t="n"/>
      <c r="AF512">
        <f>IF($B512="","",IF(COUNTIF($B$2:$B512,$B512)=1,1,0))</f>
        <v/>
      </c>
      <c r="AG512">
        <f>IF($AF512=1,SUMPRODUCT(--($AJ$2:$AJ$1501&lt;$AJ512))+1,"")</f>
        <v/>
      </c>
      <c r="AH512">
        <f>IF($B512="","",IF(OR($M512=TRUE(),$M512="TRUE"),1,0))</f>
        <v/>
      </c>
      <c r="AI512">
        <f>IF($B512="","",IF($V512="Yes",1,0))</f>
        <v/>
      </c>
      <c r="AJ512">
        <f>IF($AF512=1,IFERROR(IF(VALUE($B512)&lt;100000000,VALUE($B512),1000000000),IFERROR(IF(VALUE(MID($B512,2,20))&lt;100000000,VALUE(MID($B512,2,20)),1000000000),1000000000))+ROW()/100000,"")</f>
        <v/>
      </c>
    </row>
    <row r="513">
      <c r="C513" s="11" t="n"/>
      <c r="J513" s="7">
        <f>IF($B513="","",I513*Q513/100)</f>
        <v/>
      </c>
      <c r="P513" s="7" t="n"/>
      <c r="Q513" s="7" t="n"/>
      <c r="R513" s="7">
        <f>IF($B513="","",Q513*W513/100)</f>
        <v/>
      </c>
      <c r="S513" s="7">
        <f>IF($B513="","",Q513-R513)</f>
        <v/>
      </c>
      <c r="T513" s="7">
        <f>IF($B513="","",S513-J513)</f>
        <v/>
      </c>
      <c r="W513">
        <f>IF($B513="","",IF($AI513=1,0,IF($AH513=1,Settings!$C$6,Settings!$C$7))*100)</f>
        <v/>
      </c>
      <c r="AA513" s="7" t="n"/>
      <c r="AD513" s="11" t="n"/>
      <c r="AF513">
        <f>IF($B513="","",IF(COUNTIF($B$2:$B513,$B513)=1,1,0))</f>
        <v/>
      </c>
      <c r="AG513">
        <f>IF($AF513=1,SUMPRODUCT(--($AJ$2:$AJ$1501&lt;$AJ513))+1,"")</f>
        <v/>
      </c>
      <c r="AH513">
        <f>IF($B513="","",IF(OR($M513=TRUE(),$M513="TRUE"),1,0))</f>
        <v/>
      </c>
      <c r="AI513">
        <f>IF($B513="","",IF($V513="Yes",1,0))</f>
        <v/>
      </c>
      <c r="AJ513">
        <f>IF($AF513=1,IFERROR(IF(VALUE($B513)&lt;100000000,VALUE($B513),1000000000),IFERROR(IF(VALUE(MID($B513,2,20))&lt;100000000,VALUE(MID($B513,2,20)),1000000000),1000000000))+ROW()/100000,"")</f>
        <v/>
      </c>
    </row>
    <row r="514">
      <c r="C514" s="11" t="n"/>
      <c r="J514" s="7">
        <f>IF($B514="","",I514*Q514/100)</f>
        <v/>
      </c>
      <c r="P514" s="7" t="n"/>
      <c r="Q514" s="7" t="n"/>
      <c r="R514" s="7">
        <f>IF($B514="","",Q514*W514/100)</f>
        <v/>
      </c>
      <c r="S514" s="7">
        <f>IF($B514="","",Q514-R514)</f>
        <v/>
      </c>
      <c r="T514" s="7">
        <f>IF($B514="","",S514-J514)</f>
        <v/>
      </c>
      <c r="W514">
        <f>IF($B514="","",IF($AI514=1,0,IF($AH514=1,Settings!$C$6,Settings!$C$7))*100)</f>
        <v/>
      </c>
      <c r="AA514" s="7" t="n"/>
      <c r="AD514" s="11" t="n"/>
      <c r="AF514">
        <f>IF($B514="","",IF(COUNTIF($B$2:$B514,$B514)=1,1,0))</f>
        <v/>
      </c>
      <c r="AG514">
        <f>IF($AF514=1,SUMPRODUCT(--($AJ$2:$AJ$1501&lt;$AJ514))+1,"")</f>
        <v/>
      </c>
      <c r="AH514">
        <f>IF($B514="","",IF(OR($M514=TRUE(),$M514="TRUE"),1,0))</f>
        <v/>
      </c>
      <c r="AI514">
        <f>IF($B514="","",IF($V514="Yes",1,0))</f>
        <v/>
      </c>
      <c r="AJ514">
        <f>IF($AF514=1,IFERROR(IF(VALUE($B514)&lt;100000000,VALUE($B514),1000000000),IFERROR(IF(VALUE(MID($B514,2,20))&lt;100000000,VALUE(MID($B514,2,20)),1000000000),1000000000))+ROW()/100000,"")</f>
        <v/>
      </c>
    </row>
    <row r="515">
      <c r="C515" s="11" t="n"/>
      <c r="J515" s="7">
        <f>IF($B515="","",I515*Q515/100)</f>
        <v/>
      </c>
      <c r="P515" s="7" t="n"/>
      <c r="Q515" s="7" t="n"/>
      <c r="R515" s="7">
        <f>IF($B515="","",Q515*W515/100)</f>
        <v/>
      </c>
      <c r="S515" s="7">
        <f>IF($B515="","",Q515-R515)</f>
        <v/>
      </c>
      <c r="T515" s="7">
        <f>IF($B515="","",S515-J515)</f>
        <v/>
      </c>
      <c r="W515">
        <f>IF($B515="","",IF($AI515=1,0,IF($AH515=1,Settings!$C$6,Settings!$C$7))*100)</f>
        <v/>
      </c>
      <c r="AA515" s="7" t="n"/>
      <c r="AD515" s="11" t="n"/>
      <c r="AF515">
        <f>IF($B515="","",IF(COUNTIF($B$2:$B515,$B515)=1,1,0))</f>
        <v/>
      </c>
      <c r="AG515">
        <f>IF($AF515=1,SUMPRODUCT(--($AJ$2:$AJ$1501&lt;$AJ515))+1,"")</f>
        <v/>
      </c>
      <c r="AH515">
        <f>IF($B515="","",IF(OR($M515=TRUE(),$M515="TRUE"),1,0))</f>
        <v/>
      </c>
      <c r="AI515">
        <f>IF($B515="","",IF($V515="Yes",1,0))</f>
        <v/>
      </c>
      <c r="AJ515">
        <f>IF($AF515=1,IFERROR(IF(VALUE($B515)&lt;100000000,VALUE($B515),1000000000),IFERROR(IF(VALUE(MID($B515,2,20))&lt;100000000,VALUE(MID($B515,2,20)),1000000000),1000000000))+ROW()/100000,"")</f>
        <v/>
      </c>
    </row>
    <row r="516">
      <c r="C516" s="11" t="n"/>
      <c r="J516" s="7">
        <f>IF($B516="","",I516*Q516/100)</f>
        <v/>
      </c>
      <c r="P516" s="7" t="n"/>
      <c r="Q516" s="7" t="n"/>
      <c r="R516" s="7">
        <f>IF($B516="","",Q516*W516/100)</f>
        <v/>
      </c>
      <c r="S516" s="7">
        <f>IF($B516="","",Q516-R516)</f>
        <v/>
      </c>
      <c r="T516" s="7">
        <f>IF($B516="","",S516-J516)</f>
        <v/>
      </c>
      <c r="W516">
        <f>IF($B516="","",IF($AI516=1,0,IF($AH516=1,Settings!$C$6,Settings!$C$7))*100)</f>
        <v/>
      </c>
      <c r="AA516" s="7" t="n"/>
      <c r="AD516" s="11" t="n"/>
      <c r="AF516">
        <f>IF($B516="","",IF(COUNTIF($B$2:$B516,$B516)=1,1,0))</f>
        <v/>
      </c>
      <c r="AG516">
        <f>IF($AF516=1,SUMPRODUCT(--($AJ$2:$AJ$1501&lt;$AJ516))+1,"")</f>
        <v/>
      </c>
      <c r="AH516">
        <f>IF($B516="","",IF(OR($M516=TRUE(),$M516="TRUE"),1,0))</f>
        <v/>
      </c>
      <c r="AI516">
        <f>IF($B516="","",IF($V516="Yes",1,0))</f>
        <v/>
      </c>
      <c r="AJ516">
        <f>IF($AF516=1,IFERROR(IF(VALUE($B516)&lt;100000000,VALUE($B516),1000000000),IFERROR(IF(VALUE(MID($B516,2,20))&lt;100000000,VALUE(MID($B516,2,20)),1000000000),1000000000))+ROW()/100000,"")</f>
        <v/>
      </c>
    </row>
    <row r="517">
      <c r="C517" s="11" t="n"/>
      <c r="J517" s="7">
        <f>IF($B517="","",I517*Q517/100)</f>
        <v/>
      </c>
      <c r="P517" s="7" t="n"/>
      <c r="Q517" s="7" t="n"/>
      <c r="R517" s="7">
        <f>IF($B517="","",Q517*W517/100)</f>
        <v/>
      </c>
      <c r="S517" s="7">
        <f>IF($B517="","",Q517-R517)</f>
        <v/>
      </c>
      <c r="T517" s="7">
        <f>IF($B517="","",S517-J517)</f>
        <v/>
      </c>
      <c r="W517">
        <f>IF($B517="","",IF($AI517=1,0,IF($AH517=1,Settings!$C$6,Settings!$C$7))*100)</f>
        <v/>
      </c>
      <c r="AA517" s="7" t="n"/>
      <c r="AD517" s="11" t="n"/>
      <c r="AF517">
        <f>IF($B517="","",IF(COUNTIF($B$2:$B517,$B517)=1,1,0))</f>
        <v/>
      </c>
      <c r="AG517">
        <f>IF($AF517=1,SUMPRODUCT(--($AJ$2:$AJ$1501&lt;$AJ517))+1,"")</f>
        <v/>
      </c>
      <c r="AH517">
        <f>IF($B517="","",IF(OR($M517=TRUE(),$M517="TRUE"),1,0))</f>
        <v/>
      </c>
      <c r="AI517">
        <f>IF($B517="","",IF($V517="Yes",1,0))</f>
        <v/>
      </c>
      <c r="AJ517">
        <f>IF($AF517=1,IFERROR(IF(VALUE($B517)&lt;100000000,VALUE($B517),1000000000),IFERROR(IF(VALUE(MID($B517,2,20))&lt;100000000,VALUE(MID($B517,2,20)),1000000000),1000000000))+ROW()/100000,"")</f>
        <v/>
      </c>
    </row>
    <row r="518">
      <c r="C518" s="11" t="n"/>
      <c r="J518" s="7">
        <f>IF($B518="","",I518*Q518/100)</f>
        <v/>
      </c>
      <c r="P518" s="7" t="n"/>
      <c r="Q518" s="7" t="n"/>
      <c r="R518" s="7">
        <f>IF($B518="","",Q518*W518/100)</f>
        <v/>
      </c>
      <c r="S518" s="7">
        <f>IF($B518="","",Q518-R518)</f>
        <v/>
      </c>
      <c r="T518" s="7">
        <f>IF($B518="","",S518-J518)</f>
        <v/>
      </c>
      <c r="W518">
        <f>IF($B518="","",IF($AI518=1,0,IF($AH518=1,Settings!$C$6,Settings!$C$7))*100)</f>
        <v/>
      </c>
      <c r="AA518" s="7" t="n"/>
      <c r="AD518" s="11" t="n"/>
      <c r="AF518">
        <f>IF($B518="","",IF(COUNTIF($B$2:$B518,$B518)=1,1,0))</f>
        <v/>
      </c>
      <c r="AG518">
        <f>IF($AF518=1,SUMPRODUCT(--($AJ$2:$AJ$1501&lt;$AJ518))+1,"")</f>
        <v/>
      </c>
      <c r="AH518">
        <f>IF($B518="","",IF(OR($M518=TRUE(),$M518="TRUE"),1,0))</f>
        <v/>
      </c>
      <c r="AI518">
        <f>IF($B518="","",IF($V518="Yes",1,0))</f>
        <v/>
      </c>
      <c r="AJ518">
        <f>IF($AF518=1,IFERROR(IF(VALUE($B518)&lt;100000000,VALUE($B518),1000000000),IFERROR(IF(VALUE(MID($B518,2,20))&lt;100000000,VALUE(MID($B518,2,20)),1000000000),1000000000))+ROW()/100000,"")</f>
        <v/>
      </c>
    </row>
    <row r="519">
      <c r="C519" s="11" t="n"/>
      <c r="J519" s="7">
        <f>IF($B519="","",I519*Q519/100)</f>
        <v/>
      </c>
      <c r="P519" s="7" t="n"/>
      <c r="Q519" s="7" t="n"/>
      <c r="R519" s="7">
        <f>IF($B519="","",Q519*W519/100)</f>
        <v/>
      </c>
      <c r="S519" s="7">
        <f>IF($B519="","",Q519-R519)</f>
        <v/>
      </c>
      <c r="T519" s="7">
        <f>IF($B519="","",S519-J519)</f>
        <v/>
      </c>
      <c r="W519">
        <f>IF($B519="","",IF($AI519=1,0,IF($AH519=1,Settings!$C$6,Settings!$C$7))*100)</f>
        <v/>
      </c>
      <c r="AA519" s="7" t="n"/>
      <c r="AD519" s="11" t="n"/>
      <c r="AF519">
        <f>IF($B519="","",IF(COUNTIF($B$2:$B519,$B519)=1,1,0))</f>
        <v/>
      </c>
      <c r="AG519">
        <f>IF($AF519=1,SUMPRODUCT(--($AJ$2:$AJ$1501&lt;$AJ519))+1,"")</f>
        <v/>
      </c>
      <c r="AH519">
        <f>IF($B519="","",IF(OR($M519=TRUE(),$M519="TRUE"),1,0))</f>
        <v/>
      </c>
      <c r="AI519">
        <f>IF($B519="","",IF($V519="Yes",1,0))</f>
        <v/>
      </c>
      <c r="AJ519">
        <f>IF($AF519=1,IFERROR(IF(VALUE($B519)&lt;100000000,VALUE($B519),1000000000),IFERROR(IF(VALUE(MID($B519,2,20))&lt;100000000,VALUE(MID($B519,2,20)),1000000000),1000000000))+ROW()/100000,"")</f>
        <v/>
      </c>
    </row>
    <row r="520">
      <c r="C520" s="11" t="n"/>
      <c r="J520" s="7">
        <f>IF($B520="","",I520*Q520/100)</f>
        <v/>
      </c>
      <c r="P520" s="7" t="n"/>
      <c r="Q520" s="7" t="n"/>
      <c r="R520" s="7">
        <f>IF($B520="","",Q520*W520/100)</f>
        <v/>
      </c>
      <c r="S520" s="7">
        <f>IF($B520="","",Q520-R520)</f>
        <v/>
      </c>
      <c r="T520" s="7">
        <f>IF($B520="","",S520-J520)</f>
        <v/>
      </c>
      <c r="W520">
        <f>IF($B520="","",IF($AI520=1,0,IF($AH520=1,Settings!$C$6,Settings!$C$7))*100)</f>
        <v/>
      </c>
      <c r="AA520" s="7" t="n"/>
      <c r="AD520" s="11" t="n"/>
      <c r="AF520">
        <f>IF($B520="","",IF(COUNTIF($B$2:$B520,$B520)=1,1,0))</f>
        <v/>
      </c>
      <c r="AG520">
        <f>IF($AF520=1,SUMPRODUCT(--($AJ$2:$AJ$1501&lt;$AJ520))+1,"")</f>
        <v/>
      </c>
      <c r="AH520">
        <f>IF($B520="","",IF(OR($M520=TRUE(),$M520="TRUE"),1,0))</f>
        <v/>
      </c>
      <c r="AI520">
        <f>IF($B520="","",IF($V520="Yes",1,0))</f>
        <v/>
      </c>
      <c r="AJ520">
        <f>IF($AF520=1,IFERROR(IF(VALUE($B520)&lt;100000000,VALUE($B520),1000000000),IFERROR(IF(VALUE(MID($B520,2,20))&lt;100000000,VALUE(MID($B520,2,20)),1000000000),1000000000))+ROW()/100000,"")</f>
        <v/>
      </c>
    </row>
    <row r="521">
      <c r="C521" s="11" t="n"/>
      <c r="J521" s="7">
        <f>IF($B521="","",I521*Q521/100)</f>
        <v/>
      </c>
      <c r="P521" s="7" t="n"/>
      <c r="Q521" s="7" t="n"/>
      <c r="R521" s="7">
        <f>IF($B521="","",Q521*W521/100)</f>
        <v/>
      </c>
      <c r="S521" s="7">
        <f>IF($B521="","",Q521-R521)</f>
        <v/>
      </c>
      <c r="T521" s="7">
        <f>IF($B521="","",S521-J521)</f>
        <v/>
      </c>
      <c r="W521">
        <f>IF($B521="","",IF($AI521=1,0,IF($AH521=1,Settings!$C$6,Settings!$C$7))*100)</f>
        <v/>
      </c>
      <c r="AA521" s="7" t="n"/>
      <c r="AD521" s="11" t="n"/>
      <c r="AF521">
        <f>IF($B521="","",IF(COUNTIF($B$2:$B521,$B521)=1,1,0))</f>
        <v/>
      </c>
      <c r="AG521">
        <f>IF($AF521=1,SUMPRODUCT(--($AJ$2:$AJ$1501&lt;$AJ521))+1,"")</f>
        <v/>
      </c>
      <c r="AH521">
        <f>IF($B521="","",IF(OR($M521=TRUE(),$M521="TRUE"),1,0))</f>
        <v/>
      </c>
      <c r="AI521">
        <f>IF($B521="","",IF($V521="Yes",1,0))</f>
        <v/>
      </c>
      <c r="AJ521">
        <f>IF($AF521=1,IFERROR(IF(VALUE($B521)&lt;100000000,VALUE($B521),1000000000),IFERROR(IF(VALUE(MID($B521,2,20))&lt;100000000,VALUE(MID($B521,2,20)),1000000000),1000000000))+ROW()/100000,"")</f>
        <v/>
      </c>
    </row>
    <row r="522">
      <c r="C522" s="11" t="n"/>
      <c r="J522" s="7">
        <f>IF($B522="","",I522*Q522/100)</f>
        <v/>
      </c>
      <c r="P522" s="7" t="n"/>
      <c r="Q522" s="7" t="n"/>
      <c r="R522" s="7">
        <f>IF($B522="","",Q522*W522/100)</f>
        <v/>
      </c>
      <c r="S522" s="7">
        <f>IF($B522="","",Q522-R522)</f>
        <v/>
      </c>
      <c r="T522" s="7">
        <f>IF($B522="","",S522-J522)</f>
        <v/>
      </c>
      <c r="W522">
        <f>IF($B522="","",IF($AI522=1,0,IF($AH522=1,Settings!$C$6,Settings!$C$7))*100)</f>
        <v/>
      </c>
      <c r="AA522" s="7" t="n"/>
      <c r="AD522" s="11" t="n"/>
      <c r="AF522">
        <f>IF($B522="","",IF(COUNTIF($B$2:$B522,$B522)=1,1,0))</f>
        <v/>
      </c>
      <c r="AG522">
        <f>IF($AF522=1,SUMPRODUCT(--($AJ$2:$AJ$1501&lt;$AJ522))+1,"")</f>
        <v/>
      </c>
      <c r="AH522">
        <f>IF($B522="","",IF(OR($M522=TRUE(),$M522="TRUE"),1,0))</f>
        <v/>
      </c>
      <c r="AI522">
        <f>IF($B522="","",IF($V522="Yes",1,0))</f>
        <v/>
      </c>
      <c r="AJ522">
        <f>IF($AF522=1,IFERROR(IF(VALUE($B522)&lt;100000000,VALUE($B522),1000000000),IFERROR(IF(VALUE(MID($B522,2,20))&lt;100000000,VALUE(MID($B522,2,20)),1000000000),1000000000))+ROW()/100000,"")</f>
        <v/>
      </c>
    </row>
    <row r="523">
      <c r="C523" s="11" t="n"/>
      <c r="J523" s="7">
        <f>IF($B523="","",I523*Q523/100)</f>
        <v/>
      </c>
      <c r="P523" s="7" t="n"/>
      <c r="Q523" s="7" t="n"/>
      <c r="R523" s="7">
        <f>IF($B523="","",Q523*W523/100)</f>
        <v/>
      </c>
      <c r="S523" s="7">
        <f>IF($B523="","",Q523-R523)</f>
        <v/>
      </c>
      <c r="T523" s="7">
        <f>IF($B523="","",S523-J523)</f>
        <v/>
      </c>
      <c r="W523">
        <f>IF($B523="","",IF($AI523=1,0,IF($AH523=1,Settings!$C$6,Settings!$C$7))*100)</f>
        <v/>
      </c>
      <c r="AA523" s="7" t="n"/>
      <c r="AD523" s="11" t="n"/>
      <c r="AF523">
        <f>IF($B523="","",IF(COUNTIF($B$2:$B523,$B523)=1,1,0))</f>
        <v/>
      </c>
      <c r="AG523">
        <f>IF($AF523=1,SUMPRODUCT(--($AJ$2:$AJ$1501&lt;$AJ523))+1,"")</f>
        <v/>
      </c>
      <c r="AH523">
        <f>IF($B523="","",IF(OR($M523=TRUE(),$M523="TRUE"),1,0))</f>
        <v/>
      </c>
      <c r="AI523">
        <f>IF($B523="","",IF($V523="Yes",1,0))</f>
        <v/>
      </c>
      <c r="AJ523">
        <f>IF($AF523=1,IFERROR(IF(VALUE($B523)&lt;100000000,VALUE($B523),1000000000),IFERROR(IF(VALUE(MID($B523,2,20))&lt;100000000,VALUE(MID($B523,2,20)),1000000000),1000000000))+ROW()/100000,"")</f>
        <v/>
      </c>
    </row>
    <row r="524">
      <c r="C524" s="11" t="n"/>
      <c r="J524" s="7">
        <f>IF($B524="","",I524*Q524/100)</f>
        <v/>
      </c>
      <c r="P524" s="7" t="n"/>
      <c r="Q524" s="7" t="n"/>
      <c r="R524" s="7">
        <f>IF($B524="","",Q524*W524/100)</f>
        <v/>
      </c>
      <c r="S524" s="7">
        <f>IF($B524="","",Q524-R524)</f>
        <v/>
      </c>
      <c r="T524" s="7">
        <f>IF($B524="","",S524-J524)</f>
        <v/>
      </c>
      <c r="W524">
        <f>IF($B524="","",IF($AI524=1,0,IF($AH524=1,Settings!$C$6,Settings!$C$7))*100)</f>
        <v/>
      </c>
      <c r="AA524" s="7" t="n"/>
      <c r="AD524" s="11" t="n"/>
      <c r="AF524">
        <f>IF($B524="","",IF(COUNTIF($B$2:$B524,$B524)=1,1,0))</f>
        <v/>
      </c>
      <c r="AG524">
        <f>IF($AF524=1,SUMPRODUCT(--($AJ$2:$AJ$1501&lt;$AJ524))+1,"")</f>
        <v/>
      </c>
      <c r="AH524">
        <f>IF($B524="","",IF(OR($M524=TRUE(),$M524="TRUE"),1,0))</f>
        <v/>
      </c>
      <c r="AI524">
        <f>IF($B524="","",IF($V524="Yes",1,0))</f>
        <v/>
      </c>
      <c r="AJ524">
        <f>IF($AF524=1,IFERROR(IF(VALUE($B524)&lt;100000000,VALUE($B524),1000000000),IFERROR(IF(VALUE(MID($B524,2,20))&lt;100000000,VALUE(MID($B524,2,20)),1000000000),1000000000))+ROW()/100000,"")</f>
        <v/>
      </c>
    </row>
    <row r="525">
      <c r="C525" s="11" t="n"/>
      <c r="J525" s="7">
        <f>IF($B525="","",I525*Q525/100)</f>
        <v/>
      </c>
      <c r="P525" s="7" t="n"/>
      <c r="Q525" s="7" t="n"/>
      <c r="R525" s="7">
        <f>IF($B525="","",Q525*W525/100)</f>
        <v/>
      </c>
      <c r="S525" s="7">
        <f>IF($B525="","",Q525-R525)</f>
        <v/>
      </c>
      <c r="T525" s="7">
        <f>IF($B525="","",S525-J525)</f>
        <v/>
      </c>
      <c r="W525">
        <f>IF($B525="","",IF($AI525=1,0,IF($AH525=1,Settings!$C$6,Settings!$C$7))*100)</f>
        <v/>
      </c>
      <c r="AA525" s="7" t="n"/>
      <c r="AD525" s="11" t="n"/>
      <c r="AF525">
        <f>IF($B525="","",IF(COUNTIF($B$2:$B525,$B525)=1,1,0))</f>
        <v/>
      </c>
      <c r="AG525">
        <f>IF($AF525=1,SUMPRODUCT(--($AJ$2:$AJ$1501&lt;$AJ525))+1,"")</f>
        <v/>
      </c>
      <c r="AH525">
        <f>IF($B525="","",IF(OR($M525=TRUE(),$M525="TRUE"),1,0))</f>
        <v/>
      </c>
      <c r="AI525">
        <f>IF($B525="","",IF($V525="Yes",1,0))</f>
        <v/>
      </c>
      <c r="AJ525">
        <f>IF($AF525=1,IFERROR(IF(VALUE($B525)&lt;100000000,VALUE($B525),1000000000),IFERROR(IF(VALUE(MID($B525,2,20))&lt;100000000,VALUE(MID($B525,2,20)),1000000000),1000000000))+ROW()/100000,"")</f>
        <v/>
      </c>
    </row>
    <row r="526">
      <c r="C526" s="11" t="n"/>
      <c r="J526" s="7">
        <f>IF($B526="","",I526*Q526/100)</f>
        <v/>
      </c>
      <c r="P526" s="7" t="n"/>
      <c r="Q526" s="7" t="n"/>
      <c r="R526" s="7">
        <f>IF($B526="","",Q526*W526/100)</f>
        <v/>
      </c>
      <c r="S526" s="7">
        <f>IF($B526="","",Q526-R526)</f>
        <v/>
      </c>
      <c r="T526" s="7">
        <f>IF($B526="","",S526-J526)</f>
        <v/>
      </c>
      <c r="W526">
        <f>IF($B526="","",IF($AI526=1,0,IF($AH526=1,Settings!$C$6,Settings!$C$7))*100)</f>
        <v/>
      </c>
      <c r="AA526" s="7" t="n"/>
      <c r="AD526" s="11" t="n"/>
      <c r="AF526">
        <f>IF($B526="","",IF(COUNTIF($B$2:$B526,$B526)=1,1,0))</f>
        <v/>
      </c>
      <c r="AG526">
        <f>IF($AF526=1,SUMPRODUCT(--($AJ$2:$AJ$1501&lt;$AJ526))+1,"")</f>
        <v/>
      </c>
      <c r="AH526">
        <f>IF($B526="","",IF(OR($M526=TRUE(),$M526="TRUE"),1,0))</f>
        <v/>
      </c>
      <c r="AI526">
        <f>IF($B526="","",IF($V526="Yes",1,0))</f>
        <v/>
      </c>
      <c r="AJ526">
        <f>IF($AF526=1,IFERROR(IF(VALUE($B526)&lt;100000000,VALUE($B526),1000000000),IFERROR(IF(VALUE(MID($B526,2,20))&lt;100000000,VALUE(MID($B526,2,20)),1000000000),1000000000))+ROW()/100000,"")</f>
        <v/>
      </c>
    </row>
    <row r="527">
      <c r="C527" s="11" t="n"/>
      <c r="J527" s="7">
        <f>IF($B527="","",I527*Q527/100)</f>
        <v/>
      </c>
      <c r="P527" s="7" t="n"/>
      <c r="Q527" s="7" t="n"/>
      <c r="R527" s="7">
        <f>IF($B527="","",Q527*W527/100)</f>
        <v/>
      </c>
      <c r="S527" s="7">
        <f>IF($B527="","",Q527-R527)</f>
        <v/>
      </c>
      <c r="T527" s="7">
        <f>IF($B527="","",S527-J527)</f>
        <v/>
      </c>
      <c r="W527">
        <f>IF($B527="","",IF($AI527=1,0,IF($AH527=1,Settings!$C$6,Settings!$C$7))*100)</f>
        <v/>
      </c>
      <c r="AA527" s="7" t="n"/>
      <c r="AD527" s="11" t="n"/>
      <c r="AF527">
        <f>IF($B527="","",IF(COUNTIF($B$2:$B527,$B527)=1,1,0))</f>
        <v/>
      </c>
      <c r="AG527">
        <f>IF($AF527=1,SUMPRODUCT(--($AJ$2:$AJ$1501&lt;$AJ527))+1,"")</f>
        <v/>
      </c>
      <c r="AH527">
        <f>IF($B527="","",IF(OR($M527=TRUE(),$M527="TRUE"),1,0))</f>
        <v/>
      </c>
      <c r="AI527">
        <f>IF($B527="","",IF($V527="Yes",1,0))</f>
        <v/>
      </c>
      <c r="AJ527">
        <f>IF($AF527=1,IFERROR(IF(VALUE($B527)&lt;100000000,VALUE($B527),1000000000),IFERROR(IF(VALUE(MID($B527,2,20))&lt;100000000,VALUE(MID($B527,2,20)),1000000000),1000000000))+ROW()/100000,"")</f>
        <v/>
      </c>
    </row>
    <row r="528">
      <c r="C528" s="11" t="n"/>
      <c r="J528" s="7">
        <f>IF($B528="","",I528*Q528/100)</f>
        <v/>
      </c>
      <c r="P528" s="7" t="n"/>
      <c r="Q528" s="7" t="n"/>
      <c r="R528" s="7">
        <f>IF($B528="","",Q528*W528/100)</f>
        <v/>
      </c>
      <c r="S528" s="7">
        <f>IF($B528="","",Q528-R528)</f>
        <v/>
      </c>
      <c r="T528" s="7">
        <f>IF($B528="","",S528-J528)</f>
        <v/>
      </c>
      <c r="W528">
        <f>IF($B528="","",IF($AI528=1,0,IF($AH528=1,Settings!$C$6,Settings!$C$7))*100)</f>
        <v/>
      </c>
      <c r="AA528" s="7" t="n"/>
      <c r="AD528" s="11" t="n"/>
      <c r="AF528">
        <f>IF($B528="","",IF(COUNTIF($B$2:$B528,$B528)=1,1,0))</f>
        <v/>
      </c>
      <c r="AG528">
        <f>IF($AF528=1,SUMPRODUCT(--($AJ$2:$AJ$1501&lt;$AJ528))+1,"")</f>
        <v/>
      </c>
      <c r="AH528">
        <f>IF($B528="","",IF(OR($M528=TRUE(),$M528="TRUE"),1,0))</f>
        <v/>
      </c>
      <c r="AI528">
        <f>IF($B528="","",IF($V528="Yes",1,0))</f>
        <v/>
      </c>
      <c r="AJ528">
        <f>IF($AF528=1,IFERROR(IF(VALUE($B528)&lt;100000000,VALUE($B528),1000000000),IFERROR(IF(VALUE(MID($B528,2,20))&lt;100000000,VALUE(MID($B528,2,20)),1000000000),1000000000))+ROW()/100000,"")</f>
        <v/>
      </c>
    </row>
    <row r="529">
      <c r="C529" s="11" t="n"/>
      <c r="J529" s="7">
        <f>IF($B529="","",I529*Q529/100)</f>
        <v/>
      </c>
      <c r="P529" s="7" t="n"/>
      <c r="Q529" s="7" t="n"/>
      <c r="R529" s="7">
        <f>IF($B529="","",Q529*W529/100)</f>
        <v/>
      </c>
      <c r="S529" s="7">
        <f>IF($B529="","",Q529-R529)</f>
        <v/>
      </c>
      <c r="T529" s="7">
        <f>IF($B529="","",S529-J529)</f>
        <v/>
      </c>
      <c r="W529">
        <f>IF($B529="","",IF($AI529=1,0,IF($AH529=1,Settings!$C$6,Settings!$C$7))*100)</f>
        <v/>
      </c>
      <c r="AA529" s="7" t="n"/>
      <c r="AD529" s="11" t="n"/>
      <c r="AF529">
        <f>IF($B529="","",IF(COUNTIF($B$2:$B529,$B529)=1,1,0))</f>
        <v/>
      </c>
      <c r="AG529">
        <f>IF($AF529=1,SUMPRODUCT(--($AJ$2:$AJ$1501&lt;$AJ529))+1,"")</f>
        <v/>
      </c>
      <c r="AH529">
        <f>IF($B529="","",IF(OR($M529=TRUE(),$M529="TRUE"),1,0))</f>
        <v/>
      </c>
      <c r="AI529">
        <f>IF($B529="","",IF($V529="Yes",1,0))</f>
        <v/>
      </c>
      <c r="AJ529">
        <f>IF($AF529=1,IFERROR(IF(VALUE($B529)&lt;100000000,VALUE($B529),1000000000),IFERROR(IF(VALUE(MID($B529,2,20))&lt;100000000,VALUE(MID($B529,2,20)),1000000000),1000000000))+ROW()/100000,"")</f>
        <v/>
      </c>
    </row>
    <row r="530">
      <c r="C530" s="11" t="n"/>
      <c r="J530" s="7">
        <f>IF($B530="","",I530*Q530/100)</f>
        <v/>
      </c>
      <c r="P530" s="7" t="n"/>
      <c r="Q530" s="7" t="n"/>
      <c r="R530" s="7">
        <f>IF($B530="","",Q530*W530/100)</f>
        <v/>
      </c>
      <c r="S530" s="7">
        <f>IF($B530="","",Q530-R530)</f>
        <v/>
      </c>
      <c r="T530" s="7">
        <f>IF($B530="","",S530-J530)</f>
        <v/>
      </c>
      <c r="W530">
        <f>IF($B530="","",IF($AI530=1,0,IF($AH530=1,Settings!$C$6,Settings!$C$7))*100)</f>
        <v/>
      </c>
      <c r="AA530" s="7" t="n"/>
      <c r="AD530" s="11" t="n"/>
      <c r="AF530">
        <f>IF($B530="","",IF(COUNTIF($B$2:$B530,$B530)=1,1,0))</f>
        <v/>
      </c>
      <c r="AG530">
        <f>IF($AF530=1,SUMPRODUCT(--($AJ$2:$AJ$1501&lt;$AJ530))+1,"")</f>
        <v/>
      </c>
      <c r="AH530">
        <f>IF($B530="","",IF(OR($M530=TRUE(),$M530="TRUE"),1,0))</f>
        <v/>
      </c>
      <c r="AI530">
        <f>IF($B530="","",IF($V530="Yes",1,0))</f>
        <v/>
      </c>
      <c r="AJ530">
        <f>IF($AF530=1,IFERROR(IF(VALUE($B530)&lt;100000000,VALUE($B530),1000000000),IFERROR(IF(VALUE(MID($B530,2,20))&lt;100000000,VALUE(MID($B530,2,20)),1000000000),1000000000))+ROW()/100000,"")</f>
        <v/>
      </c>
    </row>
    <row r="531">
      <c r="C531" s="11" t="n"/>
      <c r="J531" s="7">
        <f>IF($B531="","",I531*Q531/100)</f>
        <v/>
      </c>
      <c r="P531" s="7" t="n"/>
      <c r="Q531" s="7" t="n"/>
      <c r="R531" s="7">
        <f>IF($B531="","",Q531*W531/100)</f>
        <v/>
      </c>
      <c r="S531" s="7">
        <f>IF($B531="","",Q531-R531)</f>
        <v/>
      </c>
      <c r="T531" s="7">
        <f>IF($B531="","",S531-J531)</f>
        <v/>
      </c>
      <c r="W531">
        <f>IF($B531="","",IF($AI531=1,0,IF($AH531=1,Settings!$C$6,Settings!$C$7))*100)</f>
        <v/>
      </c>
      <c r="AA531" s="7" t="n"/>
      <c r="AD531" s="11" t="n"/>
      <c r="AF531">
        <f>IF($B531="","",IF(COUNTIF($B$2:$B531,$B531)=1,1,0))</f>
        <v/>
      </c>
      <c r="AG531">
        <f>IF($AF531=1,SUMPRODUCT(--($AJ$2:$AJ$1501&lt;$AJ531))+1,"")</f>
        <v/>
      </c>
      <c r="AH531">
        <f>IF($B531="","",IF(OR($M531=TRUE(),$M531="TRUE"),1,0))</f>
        <v/>
      </c>
      <c r="AI531">
        <f>IF($B531="","",IF($V531="Yes",1,0))</f>
        <v/>
      </c>
      <c r="AJ531">
        <f>IF($AF531=1,IFERROR(IF(VALUE($B531)&lt;100000000,VALUE($B531),1000000000),IFERROR(IF(VALUE(MID($B531,2,20))&lt;100000000,VALUE(MID($B531,2,20)),1000000000),1000000000))+ROW()/100000,"")</f>
        <v/>
      </c>
    </row>
    <row r="532">
      <c r="C532" s="11" t="n"/>
      <c r="J532" s="7">
        <f>IF($B532="","",I532*Q532/100)</f>
        <v/>
      </c>
      <c r="P532" s="7" t="n"/>
      <c r="Q532" s="7" t="n"/>
      <c r="R532" s="7">
        <f>IF($B532="","",Q532*W532/100)</f>
        <v/>
      </c>
      <c r="S532" s="7">
        <f>IF($B532="","",Q532-R532)</f>
        <v/>
      </c>
      <c r="T532" s="7">
        <f>IF($B532="","",S532-J532)</f>
        <v/>
      </c>
      <c r="W532">
        <f>IF($B532="","",IF($AI532=1,0,IF($AH532=1,Settings!$C$6,Settings!$C$7))*100)</f>
        <v/>
      </c>
      <c r="AA532" s="7" t="n"/>
      <c r="AD532" s="11" t="n"/>
      <c r="AF532">
        <f>IF($B532="","",IF(COUNTIF($B$2:$B532,$B532)=1,1,0))</f>
        <v/>
      </c>
      <c r="AG532">
        <f>IF($AF532=1,SUMPRODUCT(--($AJ$2:$AJ$1501&lt;$AJ532))+1,"")</f>
        <v/>
      </c>
      <c r="AH532">
        <f>IF($B532="","",IF(OR($M532=TRUE(),$M532="TRUE"),1,0))</f>
        <v/>
      </c>
      <c r="AI532">
        <f>IF($B532="","",IF($V532="Yes",1,0))</f>
        <v/>
      </c>
      <c r="AJ532">
        <f>IF($AF532=1,IFERROR(IF(VALUE($B532)&lt;100000000,VALUE($B532),1000000000),IFERROR(IF(VALUE(MID($B532,2,20))&lt;100000000,VALUE(MID($B532,2,20)),1000000000),1000000000))+ROW()/100000,"")</f>
        <v/>
      </c>
    </row>
    <row r="533">
      <c r="C533" s="11" t="n"/>
      <c r="J533" s="7">
        <f>IF($B533="","",I533*Q533/100)</f>
        <v/>
      </c>
      <c r="P533" s="7" t="n"/>
      <c r="Q533" s="7" t="n"/>
      <c r="R533" s="7">
        <f>IF($B533="","",Q533*W533/100)</f>
        <v/>
      </c>
      <c r="S533" s="7">
        <f>IF($B533="","",Q533-R533)</f>
        <v/>
      </c>
      <c r="T533" s="7">
        <f>IF($B533="","",S533-J533)</f>
        <v/>
      </c>
      <c r="W533">
        <f>IF($B533="","",IF($AI533=1,0,IF($AH533=1,Settings!$C$6,Settings!$C$7))*100)</f>
        <v/>
      </c>
      <c r="AA533" s="7" t="n"/>
      <c r="AD533" s="11" t="n"/>
      <c r="AF533">
        <f>IF($B533="","",IF(COUNTIF($B$2:$B533,$B533)=1,1,0))</f>
        <v/>
      </c>
      <c r="AG533">
        <f>IF($AF533=1,SUMPRODUCT(--($AJ$2:$AJ$1501&lt;$AJ533))+1,"")</f>
        <v/>
      </c>
      <c r="AH533">
        <f>IF($B533="","",IF(OR($M533=TRUE(),$M533="TRUE"),1,0))</f>
        <v/>
      </c>
      <c r="AI533">
        <f>IF($B533="","",IF($V533="Yes",1,0))</f>
        <v/>
      </c>
      <c r="AJ533">
        <f>IF($AF533=1,IFERROR(IF(VALUE($B533)&lt;100000000,VALUE($B533),1000000000),IFERROR(IF(VALUE(MID($B533,2,20))&lt;100000000,VALUE(MID($B533,2,20)),1000000000),1000000000))+ROW()/100000,"")</f>
        <v/>
      </c>
    </row>
    <row r="534">
      <c r="C534" s="11" t="n"/>
      <c r="J534" s="7">
        <f>IF($B534="","",I534*Q534/100)</f>
        <v/>
      </c>
      <c r="P534" s="7" t="n"/>
      <c r="Q534" s="7" t="n"/>
      <c r="R534" s="7">
        <f>IF($B534="","",Q534*W534/100)</f>
        <v/>
      </c>
      <c r="S534" s="7">
        <f>IF($B534="","",Q534-R534)</f>
        <v/>
      </c>
      <c r="T534" s="7">
        <f>IF($B534="","",S534-J534)</f>
        <v/>
      </c>
      <c r="W534">
        <f>IF($B534="","",IF($AI534=1,0,IF($AH534=1,Settings!$C$6,Settings!$C$7))*100)</f>
        <v/>
      </c>
      <c r="AA534" s="7" t="n"/>
      <c r="AD534" s="11" t="n"/>
      <c r="AF534">
        <f>IF($B534="","",IF(COUNTIF($B$2:$B534,$B534)=1,1,0))</f>
        <v/>
      </c>
      <c r="AG534">
        <f>IF($AF534=1,SUMPRODUCT(--($AJ$2:$AJ$1501&lt;$AJ534))+1,"")</f>
        <v/>
      </c>
      <c r="AH534">
        <f>IF($B534="","",IF(OR($M534=TRUE(),$M534="TRUE"),1,0))</f>
        <v/>
      </c>
      <c r="AI534">
        <f>IF($B534="","",IF($V534="Yes",1,0))</f>
        <v/>
      </c>
      <c r="AJ534">
        <f>IF($AF534=1,IFERROR(IF(VALUE($B534)&lt;100000000,VALUE($B534),1000000000),IFERROR(IF(VALUE(MID($B534,2,20))&lt;100000000,VALUE(MID($B534,2,20)),1000000000),1000000000))+ROW()/100000,"")</f>
        <v/>
      </c>
    </row>
    <row r="535">
      <c r="C535" s="11" t="n"/>
      <c r="J535" s="7">
        <f>IF($B535="","",I535*Q535/100)</f>
        <v/>
      </c>
      <c r="P535" s="7" t="n"/>
      <c r="Q535" s="7" t="n"/>
      <c r="R535" s="7">
        <f>IF($B535="","",Q535*W535/100)</f>
        <v/>
      </c>
      <c r="S535" s="7">
        <f>IF($B535="","",Q535-R535)</f>
        <v/>
      </c>
      <c r="T535" s="7">
        <f>IF($B535="","",S535-J535)</f>
        <v/>
      </c>
      <c r="W535">
        <f>IF($B535="","",IF($AI535=1,0,IF($AH535=1,Settings!$C$6,Settings!$C$7))*100)</f>
        <v/>
      </c>
      <c r="AA535" s="7" t="n"/>
      <c r="AD535" s="11" t="n"/>
      <c r="AF535">
        <f>IF($B535="","",IF(COUNTIF($B$2:$B535,$B535)=1,1,0))</f>
        <v/>
      </c>
      <c r="AG535">
        <f>IF($AF535=1,SUMPRODUCT(--($AJ$2:$AJ$1501&lt;$AJ535))+1,"")</f>
        <v/>
      </c>
      <c r="AH535">
        <f>IF($B535="","",IF(OR($M535=TRUE(),$M535="TRUE"),1,0))</f>
        <v/>
      </c>
      <c r="AI535">
        <f>IF($B535="","",IF($V535="Yes",1,0))</f>
        <v/>
      </c>
      <c r="AJ535">
        <f>IF($AF535=1,IFERROR(IF(VALUE($B535)&lt;100000000,VALUE($B535),1000000000),IFERROR(IF(VALUE(MID($B535,2,20))&lt;100000000,VALUE(MID($B535,2,20)),1000000000),1000000000))+ROW()/100000,"")</f>
        <v/>
      </c>
    </row>
    <row r="536">
      <c r="C536" s="11" t="n"/>
      <c r="J536" s="7">
        <f>IF($B536="","",I536*Q536/100)</f>
        <v/>
      </c>
      <c r="P536" s="7" t="n"/>
      <c r="Q536" s="7" t="n"/>
      <c r="R536" s="7">
        <f>IF($B536="","",Q536*W536/100)</f>
        <v/>
      </c>
      <c r="S536" s="7">
        <f>IF($B536="","",Q536-R536)</f>
        <v/>
      </c>
      <c r="T536" s="7">
        <f>IF($B536="","",S536-J536)</f>
        <v/>
      </c>
      <c r="W536">
        <f>IF($B536="","",IF($AI536=1,0,IF($AH536=1,Settings!$C$6,Settings!$C$7))*100)</f>
        <v/>
      </c>
      <c r="AA536" s="7" t="n"/>
      <c r="AD536" s="11" t="n"/>
      <c r="AF536">
        <f>IF($B536="","",IF(COUNTIF($B$2:$B536,$B536)=1,1,0))</f>
        <v/>
      </c>
      <c r="AG536">
        <f>IF($AF536=1,SUMPRODUCT(--($AJ$2:$AJ$1501&lt;$AJ536))+1,"")</f>
        <v/>
      </c>
      <c r="AH536">
        <f>IF($B536="","",IF(OR($M536=TRUE(),$M536="TRUE"),1,0))</f>
        <v/>
      </c>
      <c r="AI536">
        <f>IF($B536="","",IF($V536="Yes",1,0))</f>
        <v/>
      </c>
      <c r="AJ536">
        <f>IF($AF536=1,IFERROR(IF(VALUE($B536)&lt;100000000,VALUE($B536),1000000000),IFERROR(IF(VALUE(MID($B536,2,20))&lt;100000000,VALUE(MID($B536,2,20)),1000000000),1000000000))+ROW()/100000,"")</f>
        <v/>
      </c>
    </row>
    <row r="537">
      <c r="C537" s="11" t="n"/>
      <c r="J537" s="7">
        <f>IF($B537="","",I537*Q537/100)</f>
        <v/>
      </c>
      <c r="P537" s="7" t="n"/>
      <c r="Q537" s="7" t="n"/>
      <c r="R537" s="7">
        <f>IF($B537="","",Q537*W537/100)</f>
        <v/>
      </c>
      <c r="S537" s="7">
        <f>IF($B537="","",Q537-R537)</f>
        <v/>
      </c>
      <c r="T537" s="7">
        <f>IF($B537="","",S537-J537)</f>
        <v/>
      </c>
      <c r="W537">
        <f>IF($B537="","",IF($AI537=1,0,IF($AH537=1,Settings!$C$6,Settings!$C$7))*100)</f>
        <v/>
      </c>
      <c r="AA537" s="7" t="n"/>
      <c r="AD537" s="11" t="n"/>
      <c r="AF537">
        <f>IF($B537="","",IF(COUNTIF($B$2:$B537,$B537)=1,1,0))</f>
        <v/>
      </c>
      <c r="AG537">
        <f>IF($AF537=1,SUMPRODUCT(--($AJ$2:$AJ$1501&lt;$AJ537))+1,"")</f>
        <v/>
      </c>
      <c r="AH537">
        <f>IF($B537="","",IF(OR($M537=TRUE(),$M537="TRUE"),1,0))</f>
        <v/>
      </c>
      <c r="AI537">
        <f>IF($B537="","",IF($V537="Yes",1,0))</f>
        <v/>
      </c>
      <c r="AJ537">
        <f>IF($AF537=1,IFERROR(IF(VALUE($B537)&lt;100000000,VALUE($B537),1000000000),IFERROR(IF(VALUE(MID($B537,2,20))&lt;100000000,VALUE(MID($B537,2,20)),1000000000),1000000000))+ROW()/100000,"")</f>
        <v/>
      </c>
    </row>
    <row r="538">
      <c r="C538" s="11" t="n"/>
      <c r="J538" s="7">
        <f>IF($B538="","",I538*Q538/100)</f>
        <v/>
      </c>
      <c r="P538" s="7" t="n"/>
      <c r="Q538" s="7" t="n"/>
      <c r="R538" s="7">
        <f>IF($B538="","",Q538*W538/100)</f>
        <v/>
      </c>
      <c r="S538" s="7">
        <f>IF($B538="","",Q538-R538)</f>
        <v/>
      </c>
      <c r="T538" s="7">
        <f>IF($B538="","",S538-J538)</f>
        <v/>
      </c>
      <c r="W538">
        <f>IF($B538="","",IF($AI538=1,0,IF($AH538=1,Settings!$C$6,Settings!$C$7))*100)</f>
        <v/>
      </c>
      <c r="AA538" s="7" t="n"/>
      <c r="AD538" s="11" t="n"/>
      <c r="AF538">
        <f>IF($B538="","",IF(COUNTIF($B$2:$B538,$B538)=1,1,0))</f>
        <v/>
      </c>
      <c r="AG538">
        <f>IF($AF538=1,SUMPRODUCT(--($AJ$2:$AJ$1501&lt;$AJ538))+1,"")</f>
        <v/>
      </c>
      <c r="AH538">
        <f>IF($B538="","",IF(OR($M538=TRUE(),$M538="TRUE"),1,0))</f>
        <v/>
      </c>
      <c r="AI538">
        <f>IF($B538="","",IF($V538="Yes",1,0))</f>
        <v/>
      </c>
      <c r="AJ538">
        <f>IF($AF538=1,IFERROR(IF(VALUE($B538)&lt;100000000,VALUE($B538),1000000000),IFERROR(IF(VALUE(MID($B538,2,20))&lt;100000000,VALUE(MID($B538,2,20)),1000000000),1000000000))+ROW()/100000,"")</f>
        <v/>
      </c>
    </row>
    <row r="539">
      <c r="C539" s="11" t="n"/>
      <c r="J539" s="7">
        <f>IF($B539="","",I539*Q539/100)</f>
        <v/>
      </c>
      <c r="P539" s="7" t="n"/>
      <c r="Q539" s="7" t="n"/>
      <c r="R539" s="7">
        <f>IF($B539="","",Q539*W539/100)</f>
        <v/>
      </c>
      <c r="S539" s="7">
        <f>IF($B539="","",Q539-R539)</f>
        <v/>
      </c>
      <c r="T539" s="7">
        <f>IF($B539="","",S539-J539)</f>
        <v/>
      </c>
      <c r="W539">
        <f>IF($B539="","",IF($AI539=1,0,IF($AH539=1,Settings!$C$6,Settings!$C$7))*100)</f>
        <v/>
      </c>
      <c r="AA539" s="7" t="n"/>
      <c r="AD539" s="11" t="n"/>
      <c r="AF539">
        <f>IF($B539="","",IF(COUNTIF($B$2:$B539,$B539)=1,1,0))</f>
        <v/>
      </c>
      <c r="AG539">
        <f>IF($AF539=1,SUMPRODUCT(--($AJ$2:$AJ$1501&lt;$AJ539))+1,"")</f>
        <v/>
      </c>
      <c r="AH539">
        <f>IF($B539="","",IF(OR($M539=TRUE(),$M539="TRUE"),1,0))</f>
        <v/>
      </c>
      <c r="AI539">
        <f>IF($B539="","",IF($V539="Yes",1,0))</f>
        <v/>
      </c>
      <c r="AJ539">
        <f>IF($AF539=1,IFERROR(IF(VALUE($B539)&lt;100000000,VALUE($B539),1000000000),IFERROR(IF(VALUE(MID($B539,2,20))&lt;100000000,VALUE(MID($B539,2,20)),1000000000),1000000000))+ROW()/100000,"")</f>
        <v/>
      </c>
    </row>
    <row r="540">
      <c r="C540" s="11" t="n"/>
      <c r="J540" s="7">
        <f>IF($B540="","",I540*Q540/100)</f>
        <v/>
      </c>
      <c r="P540" s="7" t="n"/>
      <c r="Q540" s="7" t="n"/>
      <c r="R540" s="7">
        <f>IF($B540="","",Q540*W540/100)</f>
        <v/>
      </c>
      <c r="S540" s="7">
        <f>IF($B540="","",Q540-R540)</f>
        <v/>
      </c>
      <c r="T540" s="7">
        <f>IF($B540="","",S540-J540)</f>
        <v/>
      </c>
      <c r="W540">
        <f>IF($B540="","",IF($AI540=1,0,IF($AH540=1,Settings!$C$6,Settings!$C$7))*100)</f>
        <v/>
      </c>
      <c r="AA540" s="7" t="n"/>
      <c r="AD540" s="11" t="n"/>
      <c r="AF540">
        <f>IF($B540="","",IF(COUNTIF($B$2:$B540,$B540)=1,1,0))</f>
        <v/>
      </c>
      <c r="AG540">
        <f>IF($AF540=1,SUMPRODUCT(--($AJ$2:$AJ$1501&lt;$AJ540))+1,"")</f>
        <v/>
      </c>
      <c r="AH540">
        <f>IF($B540="","",IF(OR($M540=TRUE(),$M540="TRUE"),1,0))</f>
        <v/>
      </c>
      <c r="AI540">
        <f>IF($B540="","",IF($V540="Yes",1,0))</f>
        <v/>
      </c>
      <c r="AJ540">
        <f>IF($AF540=1,IFERROR(IF(VALUE($B540)&lt;100000000,VALUE($B540),1000000000),IFERROR(IF(VALUE(MID($B540,2,20))&lt;100000000,VALUE(MID($B540,2,20)),1000000000),1000000000))+ROW()/100000,"")</f>
        <v/>
      </c>
    </row>
    <row r="541">
      <c r="C541" s="11" t="n"/>
      <c r="J541" s="7">
        <f>IF($B541="","",I541*Q541/100)</f>
        <v/>
      </c>
      <c r="P541" s="7" t="n"/>
      <c r="Q541" s="7" t="n"/>
      <c r="R541" s="7">
        <f>IF($B541="","",Q541*W541/100)</f>
        <v/>
      </c>
      <c r="S541" s="7">
        <f>IF($B541="","",Q541-R541)</f>
        <v/>
      </c>
      <c r="T541" s="7">
        <f>IF($B541="","",S541-J541)</f>
        <v/>
      </c>
      <c r="W541">
        <f>IF($B541="","",IF($AI541=1,0,IF($AH541=1,Settings!$C$6,Settings!$C$7))*100)</f>
        <v/>
      </c>
      <c r="AA541" s="7" t="n"/>
      <c r="AD541" s="11" t="n"/>
      <c r="AF541">
        <f>IF($B541="","",IF(COUNTIF($B$2:$B541,$B541)=1,1,0))</f>
        <v/>
      </c>
      <c r="AG541">
        <f>IF($AF541=1,SUMPRODUCT(--($AJ$2:$AJ$1501&lt;$AJ541))+1,"")</f>
        <v/>
      </c>
      <c r="AH541">
        <f>IF($B541="","",IF(OR($M541=TRUE(),$M541="TRUE"),1,0))</f>
        <v/>
      </c>
      <c r="AI541">
        <f>IF($B541="","",IF($V541="Yes",1,0))</f>
        <v/>
      </c>
      <c r="AJ541">
        <f>IF($AF541=1,IFERROR(IF(VALUE($B541)&lt;100000000,VALUE($B541),1000000000),IFERROR(IF(VALUE(MID($B541,2,20))&lt;100000000,VALUE(MID($B541,2,20)),1000000000),1000000000))+ROW()/100000,"")</f>
        <v/>
      </c>
    </row>
    <row r="542">
      <c r="C542" s="11" t="n"/>
      <c r="J542" s="7">
        <f>IF($B542="","",I542*Q542/100)</f>
        <v/>
      </c>
      <c r="P542" s="7" t="n"/>
      <c r="Q542" s="7" t="n"/>
      <c r="R542" s="7">
        <f>IF($B542="","",Q542*W542/100)</f>
        <v/>
      </c>
      <c r="S542" s="7">
        <f>IF($B542="","",Q542-R542)</f>
        <v/>
      </c>
      <c r="T542" s="7">
        <f>IF($B542="","",S542-J542)</f>
        <v/>
      </c>
      <c r="W542">
        <f>IF($B542="","",IF($AI542=1,0,IF($AH542=1,Settings!$C$6,Settings!$C$7))*100)</f>
        <v/>
      </c>
      <c r="AA542" s="7" t="n"/>
      <c r="AD542" s="11" t="n"/>
      <c r="AF542">
        <f>IF($B542="","",IF(COUNTIF($B$2:$B542,$B542)=1,1,0))</f>
        <v/>
      </c>
      <c r="AG542">
        <f>IF($AF542=1,SUMPRODUCT(--($AJ$2:$AJ$1501&lt;$AJ542))+1,"")</f>
        <v/>
      </c>
      <c r="AH542">
        <f>IF($B542="","",IF(OR($M542=TRUE(),$M542="TRUE"),1,0))</f>
        <v/>
      </c>
      <c r="AI542">
        <f>IF($B542="","",IF($V542="Yes",1,0))</f>
        <v/>
      </c>
      <c r="AJ542">
        <f>IF($AF542=1,IFERROR(IF(VALUE($B542)&lt;100000000,VALUE($B542),1000000000),IFERROR(IF(VALUE(MID($B542,2,20))&lt;100000000,VALUE(MID($B542,2,20)),1000000000),1000000000))+ROW()/100000,"")</f>
        <v/>
      </c>
    </row>
    <row r="543">
      <c r="C543" s="11" t="n"/>
      <c r="J543" s="7">
        <f>IF($B543="","",I543*Q543/100)</f>
        <v/>
      </c>
      <c r="P543" s="7" t="n"/>
      <c r="Q543" s="7" t="n"/>
      <c r="R543" s="7">
        <f>IF($B543="","",Q543*W543/100)</f>
        <v/>
      </c>
      <c r="S543" s="7">
        <f>IF($B543="","",Q543-R543)</f>
        <v/>
      </c>
      <c r="T543" s="7">
        <f>IF($B543="","",S543-J543)</f>
        <v/>
      </c>
      <c r="W543">
        <f>IF($B543="","",IF($AI543=1,0,IF($AH543=1,Settings!$C$6,Settings!$C$7))*100)</f>
        <v/>
      </c>
      <c r="AA543" s="7" t="n"/>
      <c r="AD543" s="11" t="n"/>
      <c r="AF543">
        <f>IF($B543="","",IF(COUNTIF($B$2:$B543,$B543)=1,1,0))</f>
        <v/>
      </c>
      <c r="AG543">
        <f>IF($AF543=1,SUMPRODUCT(--($AJ$2:$AJ$1501&lt;$AJ543))+1,"")</f>
        <v/>
      </c>
      <c r="AH543">
        <f>IF($B543="","",IF(OR($M543=TRUE(),$M543="TRUE"),1,0))</f>
        <v/>
      </c>
      <c r="AI543">
        <f>IF($B543="","",IF($V543="Yes",1,0))</f>
        <v/>
      </c>
      <c r="AJ543">
        <f>IF($AF543=1,IFERROR(IF(VALUE($B543)&lt;100000000,VALUE($B543),1000000000),IFERROR(IF(VALUE(MID($B543,2,20))&lt;100000000,VALUE(MID($B543,2,20)),1000000000),1000000000))+ROW()/100000,"")</f>
        <v/>
      </c>
    </row>
    <row r="544">
      <c r="C544" s="11" t="n"/>
      <c r="J544" s="7">
        <f>IF($B544="","",I544*Q544/100)</f>
        <v/>
      </c>
      <c r="P544" s="7" t="n"/>
      <c r="Q544" s="7" t="n"/>
      <c r="R544" s="7">
        <f>IF($B544="","",Q544*W544/100)</f>
        <v/>
      </c>
      <c r="S544" s="7">
        <f>IF($B544="","",Q544-R544)</f>
        <v/>
      </c>
      <c r="T544" s="7">
        <f>IF($B544="","",S544-J544)</f>
        <v/>
      </c>
      <c r="W544">
        <f>IF($B544="","",IF($AI544=1,0,IF($AH544=1,Settings!$C$6,Settings!$C$7))*100)</f>
        <v/>
      </c>
      <c r="AA544" s="7" t="n"/>
      <c r="AD544" s="11" t="n"/>
      <c r="AF544">
        <f>IF($B544="","",IF(COUNTIF($B$2:$B544,$B544)=1,1,0))</f>
        <v/>
      </c>
      <c r="AG544">
        <f>IF($AF544=1,SUMPRODUCT(--($AJ$2:$AJ$1501&lt;$AJ544))+1,"")</f>
        <v/>
      </c>
      <c r="AH544">
        <f>IF($B544="","",IF(OR($M544=TRUE(),$M544="TRUE"),1,0))</f>
        <v/>
      </c>
      <c r="AI544">
        <f>IF($B544="","",IF($V544="Yes",1,0))</f>
        <v/>
      </c>
      <c r="AJ544">
        <f>IF($AF544=1,IFERROR(IF(VALUE($B544)&lt;100000000,VALUE($B544),1000000000),IFERROR(IF(VALUE(MID($B544,2,20))&lt;100000000,VALUE(MID($B544,2,20)),1000000000),1000000000))+ROW()/100000,"")</f>
        <v/>
      </c>
    </row>
    <row r="545">
      <c r="C545" s="11" t="n"/>
      <c r="J545" s="7">
        <f>IF($B545="","",I545*Q545/100)</f>
        <v/>
      </c>
      <c r="P545" s="7" t="n"/>
      <c r="Q545" s="7" t="n"/>
      <c r="R545" s="7">
        <f>IF($B545="","",Q545*W545/100)</f>
        <v/>
      </c>
      <c r="S545" s="7">
        <f>IF($B545="","",Q545-R545)</f>
        <v/>
      </c>
      <c r="T545" s="7">
        <f>IF($B545="","",S545-J545)</f>
        <v/>
      </c>
      <c r="W545">
        <f>IF($B545="","",IF($AI545=1,0,IF($AH545=1,Settings!$C$6,Settings!$C$7))*100)</f>
        <v/>
      </c>
      <c r="AA545" s="7" t="n"/>
      <c r="AD545" s="11" t="n"/>
      <c r="AF545">
        <f>IF($B545="","",IF(COUNTIF($B$2:$B545,$B545)=1,1,0))</f>
        <v/>
      </c>
      <c r="AG545">
        <f>IF($AF545=1,SUMPRODUCT(--($AJ$2:$AJ$1501&lt;$AJ545))+1,"")</f>
        <v/>
      </c>
      <c r="AH545">
        <f>IF($B545="","",IF(OR($M545=TRUE(),$M545="TRUE"),1,0))</f>
        <v/>
      </c>
      <c r="AI545">
        <f>IF($B545="","",IF($V545="Yes",1,0))</f>
        <v/>
      </c>
      <c r="AJ545">
        <f>IF($AF545=1,IFERROR(IF(VALUE($B545)&lt;100000000,VALUE($B545),1000000000),IFERROR(IF(VALUE(MID($B545,2,20))&lt;100000000,VALUE(MID($B545,2,20)),1000000000),1000000000))+ROW()/100000,"")</f>
        <v/>
      </c>
    </row>
    <row r="546">
      <c r="C546" s="11" t="n"/>
      <c r="J546" s="7">
        <f>IF($B546="","",I546*Q546/100)</f>
        <v/>
      </c>
      <c r="P546" s="7" t="n"/>
      <c r="Q546" s="7" t="n"/>
      <c r="R546" s="7">
        <f>IF($B546="","",Q546*W546/100)</f>
        <v/>
      </c>
      <c r="S546" s="7">
        <f>IF($B546="","",Q546-R546)</f>
        <v/>
      </c>
      <c r="T546" s="7">
        <f>IF($B546="","",S546-J546)</f>
        <v/>
      </c>
      <c r="W546">
        <f>IF($B546="","",IF($AI546=1,0,IF($AH546=1,Settings!$C$6,Settings!$C$7))*100)</f>
        <v/>
      </c>
      <c r="AA546" s="7" t="n"/>
      <c r="AD546" s="11" t="n"/>
      <c r="AF546">
        <f>IF($B546="","",IF(COUNTIF($B$2:$B546,$B546)=1,1,0))</f>
        <v/>
      </c>
      <c r="AG546">
        <f>IF($AF546=1,SUMPRODUCT(--($AJ$2:$AJ$1501&lt;$AJ546))+1,"")</f>
        <v/>
      </c>
      <c r="AH546">
        <f>IF($B546="","",IF(OR($M546=TRUE(),$M546="TRUE"),1,0))</f>
        <v/>
      </c>
      <c r="AI546">
        <f>IF($B546="","",IF($V546="Yes",1,0))</f>
        <v/>
      </c>
      <c r="AJ546">
        <f>IF($AF546=1,IFERROR(IF(VALUE($B546)&lt;100000000,VALUE($B546),1000000000),IFERROR(IF(VALUE(MID($B546,2,20))&lt;100000000,VALUE(MID($B546,2,20)),1000000000),1000000000))+ROW()/100000,"")</f>
        <v/>
      </c>
    </row>
    <row r="547">
      <c r="C547" s="11" t="n"/>
      <c r="J547" s="7">
        <f>IF($B547="","",I547*Q547/100)</f>
        <v/>
      </c>
      <c r="P547" s="7" t="n"/>
      <c r="Q547" s="7" t="n"/>
      <c r="R547" s="7">
        <f>IF($B547="","",Q547*W547/100)</f>
        <v/>
      </c>
      <c r="S547" s="7">
        <f>IF($B547="","",Q547-R547)</f>
        <v/>
      </c>
      <c r="T547" s="7">
        <f>IF($B547="","",S547-J547)</f>
        <v/>
      </c>
      <c r="W547">
        <f>IF($B547="","",IF($AI547=1,0,IF($AH547=1,Settings!$C$6,Settings!$C$7))*100)</f>
        <v/>
      </c>
      <c r="AA547" s="7" t="n"/>
      <c r="AD547" s="11" t="n"/>
      <c r="AF547">
        <f>IF($B547="","",IF(COUNTIF($B$2:$B547,$B547)=1,1,0))</f>
        <v/>
      </c>
      <c r="AG547">
        <f>IF($AF547=1,SUMPRODUCT(--($AJ$2:$AJ$1501&lt;$AJ547))+1,"")</f>
        <v/>
      </c>
      <c r="AH547">
        <f>IF($B547="","",IF(OR($M547=TRUE(),$M547="TRUE"),1,0))</f>
        <v/>
      </c>
      <c r="AI547">
        <f>IF($B547="","",IF($V547="Yes",1,0))</f>
        <v/>
      </c>
      <c r="AJ547">
        <f>IF($AF547=1,IFERROR(IF(VALUE($B547)&lt;100000000,VALUE($B547),1000000000),IFERROR(IF(VALUE(MID($B547,2,20))&lt;100000000,VALUE(MID($B547,2,20)),1000000000),1000000000))+ROW()/100000,"")</f>
        <v/>
      </c>
    </row>
    <row r="548">
      <c r="C548" s="11" t="n"/>
      <c r="J548" s="7">
        <f>IF($B548="","",I548*Q548/100)</f>
        <v/>
      </c>
      <c r="P548" s="7" t="n"/>
      <c r="Q548" s="7" t="n"/>
      <c r="R548" s="7">
        <f>IF($B548="","",Q548*W548/100)</f>
        <v/>
      </c>
      <c r="S548" s="7">
        <f>IF($B548="","",Q548-R548)</f>
        <v/>
      </c>
      <c r="T548" s="7">
        <f>IF($B548="","",S548-J548)</f>
        <v/>
      </c>
      <c r="W548">
        <f>IF($B548="","",IF($AI548=1,0,IF($AH548=1,Settings!$C$6,Settings!$C$7))*100)</f>
        <v/>
      </c>
      <c r="AA548" s="7" t="n"/>
      <c r="AD548" s="11" t="n"/>
      <c r="AF548">
        <f>IF($B548="","",IF(COUNTIF($B$2:$B548,$B548)=1,1,0))</f>
        <v/>
      </c>
      <c r="AG548">
        <f>IF($AF548=1,SUMPRODUCT(--($AJ$2:$AJ$1501&lt;$AJ548))+1,"")</f>
        <v/>
      </c>
      <c r="AH548">
        <f>IF($B548="","",IF(OR($M548=TRUE(),$M548="TRUE"),1,0))</f>
        <v/>
      </c>
      <c r="AI548">
        <f>IF($B548="","",IF($V548="Yes",1,0))</f>
        <v/>
      </c>
      <c r="AJ548">
        <f>IF($AF548=1,IFERROR(IF(VALUE($B548)&lt;100000000,VALUE($B548),1000000000),IFERROR(IF(VALUE(MID($B548,2,20))&lt;100000000,VALUE(MID($B548,2,20)),1000000000),1000000000))+ROW()/100000,"")</f>
        <v/>
      </c>
    </row>
    <row r="549">
      <c r="C549" s="11" t="n"/>
      <c r="J549" s="7">
        <f>IF($B549="","",I549*Q549/100)</f>
        <v/>
      </c>
      <c r="P549" s="7" t="n"/>
      <c r="Q549" s="7" t="n"/>
      <c r="R549" s="7">
        <f>IF($B549="","",Q549*W549/100)</f>
        <v/>
      </c>
      <c r="S549" s="7">
        <f>IF($B549="","",Q549-R549)</f>
        <v/>
      </c>
      <c r="T549" s="7">
        <f>IF($B549="","",S549-J549)</f>
        <v/>
      </c>
      <c r="W549">
        <f>IF($B549="","",IF($AI549=1,0,IF($AH549=1,Settings!$C$6,Settings!$C$7))*100)</f>
        <v/>
      </c>
      <c r="AA549" s="7" t="n"/>
      <c r="AD549" s="11" t="n"/>
      <c r="AF549">
        <f>IF($B549="","",IF(COUNTIF($B$2:$B549,$B549)=1,1,0))</f>
        <v/>
      </c>
      <c r="AG549">
        <f>IF($AF549=1,SUMPRODUCT(--($AJ$2:$AJ$1501&lt;$AJ549))+1,"")</f>
        <v/>
      </c>
      <c r="AH549">
        <f>IF($B549="","",IF(OR($M549=TRUE(),$M549="TRUE"),1,0))</f>
        <v/>
      </c>
      <c r="AI549">
        <f>IF($B549="","",IF($V549="Yes",1,0))</f>
        <v/>
      </c>
      <c r="AJ549">
        <f>IF($AF549=1,IFERROR(IF(VALUE($B549)&lt;100000000,VALUE($B549),1000000000),IFERROR(IF(VALUE(MID($B549,2,20))&lt;100000000,VALUE(MID($B549,2,20)),1000000000),1000000000))+ROW()/100000,"")</f>
        <v/>
      </c>
    </row>
    <row r="550">
      <c r="C550" s="11" t="n"/>
      <c r="J550" s="7">
        <f>IF($B550="","",I550*Q550/100)</f>
        <v/>
      </c>
      <c r="P550" s="7" t="n"/>
      <c r="Q550" s="7" t="n"/>
      <c r="R550" s="7">
        <f>IF($B550="","",Q550*W550/100)</f>
        <v/>
      </c>
      <c r="S550" s="7">
        <f>IF($B550="","",Q550-R550)</f>
        <v/>
      </c>
      <c r="T550" s="7">
        <f>IF($B550="","",S550-J550)</f>
        <v/>
      </c>
      <c r="W550">
        <f>IF($B550="","",IF($AI550=1,0,IF($AH550=1,Settings!$C$6,Settings!$C$7))*100)</f>
        <v/>
      </c>
      <c r="AA550" s="7" t="n"/>
      <c r="AD550" s="11" t="n"/>
      <c r="AF550">
        <f>IF($B550="","",IF(COUNTIF($B$2:$B550,$B550)=1,1,0))</f>
        <v/>
      </c>
      <c r="AG550">
        <f>IF($AF550=1,SUMPRODUCT(--($AJ$2:$AJ$1501&lt;$AJ550))+1,"")</f>
        <v/>
      </c>
      <c r="AH550">
        <f>IF($B550="","",IF(OR($M550=TRUE(),$M550="TRUE"),1,0))</f>
        <v/>
      </c>
      <c r="AI550">
        <f>IF($B550="","",IF($V550="Yes",1,0))</f>
        <v/>
      </c>
      <c r="AJ550">
        <f>IF($AF550=1,IFERROR(IF(VALUE($B550)&lt;100000000,VALUE($B550),1000000000),IFERROR(IF(VALUE(MID($B550,2,20))&lt;100000000,VALUE(MID($B550,2,20)),1000000000),1000000000))+ROW()/100000,"")</f>
        <v/>
      </c>
    </row>
    <row r="551">
      <c r="C551" s="11" t="n"/>
      <c r="J551" s="7">
        <f>IF($B551="","",I551*Q551/100)</f>
        <v/>
      </c>
      <c r="P551" s="7" t="n"/>
      <c r="Q551" s="7" t="n"/>
      <c r="R551" s="7">
        <f>IF($B551="","",Q551*W551/100)</f>
        <v/>
      </c>
      <c r="S551" s="7">
        <f>IF($B551="","",Q551-R551)</f>
        <v/>
      </c>
      <c r="T551" s="7">
        <f>IF($B551="","",S551-J551)</f>
        <v/>
      </c>
      <c r="W551">
        <f>IF($B551="","",IF($AI551=1,0,IF($AH551=1,Settings!$C$6,Settings!$C$7))*100)</f>
        <v/>
      </c>
      <c r="AA551" s="7" t="n"/>
      <c r="AD551" s="11" t="n"/>
      <c r="AF551">
        <f>IF($B551="","",IF(COUNTIF($B$2:$B551,$B551)=1,1,0))</f>
        <v/>
      </c>
      <c r="AG551">
        <f>IF($AF551=1,SUMPRODUCT(--($AJ$2:$AJ$1501&lt;$AJ551))+1,"")</f>
        <v/>
      </c>
      <c r="AH551">
        <f>IF($B551="","",IF(OR($M551=TRUE(),$M551="TRUE"),1,0))</f>
        <v/>
      </c>
      <c r="AI551">
        <f>IF($B551="","",IF($V551="Yes",1,0))</f>
        <v/>
      </c>
      <c r="AJ551">
        <f>IF($AF551=1,IFERROR(IF(VALUE($B551)&lt;100000000,VALUE($B551),1000000000),IFERROR(IF(VALUE(MID($B551,2,20))&lt;100000000,VALUE(MID($B551,2,20)),1000000000),1000000000))+ROW()/100000,"")</f>
        <v/>
      </c>
    </row>
    <row r="552">
      <c r="C552" s="11" t="n"/>
      <c r="J552" s="7">
        <f>IF($B552="","",I552*Q552/100)</f>
        <v/>
      </c>
      <c r="P552" s="7" t="n"/>
      <c r="Q552" s="7" t="n"/>
      <c r="R552" s="7">
        <f>IF($B552="","",Q552*W552/100)</f>
        <v/>
      </c>
      <c r="S552" s="7">
        <f>IF($B552="","",Q552-R552)</f>
        <v/>
      </c>
      <c r="T552" s="7">
        <f>IF($B552="","",S552-J552)</f>
        <v/>
      </c>
      <c r="W552">
        <f>IF($B552="","",IF($AI552=1,0,IF($AH552=1,Settings!$C$6,Settings!$C$7))*100)</f>
        <v/>
      </c>
      <c r="AA552" s="7" t="n"/>
      <c r="AD552" s="11" t="n"/>
      <c r="AF552">
        <f>IF($B552="","",IF(COUNTIF($B$2:$B552,$B552)=1,1,0))</f>
        <v/>
      </c>
      <c r="AG552">
        <f>IF($AF552=1,SUMPRODUCT(--($AJ$2:$AJ$1501&lt;$AJ552))+1,"")</f>
        <v/>
      </c>
      <c r="AH552">
        <f>IF($B552="","",IF(OR($M552=TRUE(),$M552="TRUE"),1,0))</f>
        <v/>
      </c>
      <c r="AI552">
        <f>IF($B552="","",IF($V552="Yes",1,0))</f>
        <v/>
      </c>
      <c r="AJ552">
        <f>IF($AF552=1,IFERROR(IF(VALUE($B552)&lt;100000000,VALUE($B552),1000000000),IFERROR(IF(VALUE(MID($B552,2,20))&lt;100000000,VALUE(MID($B552,2,20)),1000000000),1000000000))+ROW()/100000,"")</f>
        <v/>
      </c>
    </row>
    <row r="553">
      <c r="C553" s="11" t="n"/>
      <c r="J553" s="7">
        <f>IF($B553="","",I553*Q553/100)</f>
        <v/>
      </c>
      <c r="P553" s="7" t="n"/>
      <c r="Q553" s="7" t="n"/>
      <c r="R553" s="7">
        <f>IF($B553="","",Q553*W553/100)</f>
        <v/>
      </c>
      <c r="S553" s="7">
        <f>IF($B553="","",Q553-R553)</f>
        <v/>
      </c>
      <c r="T553" s="7">
        <f>IF($B553="","",S553-J553)</f>
        <v/>
      </c>
      <c r="W553">
        <f>IF($B553="","",IF($AI553=1,0,IF($AH553=1,Settings!$C$6,Settings!$C$7))*100)</f>
        <v/>
      </c>
      <c r="AA553" s="7" t="n"/>
      <c r="AD553" s="11" t="n"/>
      <c r="AF553">
        <f>IF($B553="","",IF(COUNTIF($B$2:$B553,$B553)=1,1,0))</f>
        <v/>
      </c>
      <c r="AG553">
        <f>IF($AF553=1,SUMPRODUCT(--($AJ$2:$AJ$1501&lt;$AJ553))+1,"")</f>
        <v/>
      </c>
      <c r="AH553">
        <f>IF($B553="","",IF(OR($M553=TRUE(),$M553="TRUE"),1,0))</f>
        <v/>
      </c>
      <c r="AI553">
        <f>IF($B553="","",IF($V553="Yes",1,0))</f>
        <v/>
      </c>
      <c r="AJ553">
        <f>IF($AF553=1,IFERROR(IF(VALUE($B553)&lt;100000000,VALUE($B553),1000000000),IFERROR(IF(VALUE(MID($B553,2,20))&lt;100000000,VALUE(MID($B553,2,20)),1000000000),1000000000))+ROW()/100000,"")</f>
        <v/>
      </c>
    </row>
    <row r="554">
      <c r="C554" s="11" t="n"/>
      <c r="J554" s="7">
        <f>IF($B554="","",I554*Q554/100)</f>
        <v/>
      </c>
      <c r="P554" s="7" t="n"/>
      <c r="Q554" s="7" t="n"/>
      <c r="R554" s="7">
        <f>IF($B554="","",Q554*W554/100)</f>
        <v/>
      </c>
      <c r="S554" s="7">
        <f>IF($B554="","",Q554-R554)</f>
        <v/>
      </c>
      <c r="T554" s="7">
        <f>IF($B554="","",S554-J554)</f>
        <v/>
      </c>
      <c r="W554">
        <f>IF($B554="","",IF($AI554=1,0,IF($AH554=1,Settings!$C$6,Settings!$C$7))*100)</f>
        <v/>
      </c>
      <c r="AA554" s="7" t="n"/>
      <c r="AD554" s="11" t="n"/>
      <c r="AF554">
        <f>IF($B554="","",IF(COUNTIF($B$2:$B554,$B554)=1,1,0))</f>
        <v/>
      </c>
      <c r="AG554">
        <f>IF($AF554=1,SUMPRODUCT(--($AJ$2:$AJ$1501&lt;$AJ554))+1,"")</f>
        <v/>
      </c>
      <c r="AH554">
        <f>IF($B554="","",IF(OR($M554=TRUE(),$M554="TRUE"),1,0))</f>
        <v/>
      </c>
      <c r="AI554">
        <f>IF($B554="","",IF($V554="Yes",1,0))</f>
        <v/>
      </c>
      <c r="AJ554">
        <f>IF($AF554=1,IFERROR(IF(VALUE($B554)&lt;100000000,VALUE($B554),1000000000),IFERROR(IF(VALUE(MID($B554,2,20))&lt;100000000,VALUE(MID($B554,2,20)),1000000000),1000000000))+ROW()/100000,"")</f>
        <v/>
      </c>
    </row>
    <row r="555">
      <c r="C555" s="11" t="n"/>
      <c r="J555" s="7">
        <f>IF($B555="","",I555*Q555/100)</f>
        <v/>
      </c>
      <c r="P555" s="7" t="n"/>
      <c r="Q555" s="7" t="n"/>
      <c r="R555" s="7">
        <f>IF($B555="","",Q555*W555/100)</f>
        <v/>
      </c>
      <c r="S555" s="7">
        <f>IF($B555="","",Q555-R555)</f>
        <v/>
      </c>
      <c r="T555" s="7">
        <f>IF($B555="","",S555-J555)</f>
        <v/>
      </c>
      <c r="W555">
        <f>IF($B555="","",IF($AI555=1,0,IF($AH555=1,Settings!$C$6,Settings!$C$7))*100)</f>
        <v/>
      </c>
      <c r="AA555" s="7" t="n"/>
      <c r="AD555" s="11" t="n"/>
      <c r="AF555">
        <f>IF($B555="","",IF(COUNTIF($B$2:$B555,$B555)=1,1,0))</f>
        <v/>
      </c>
      <c r="AG555">
        <f>IF($AF555=1,SUMPRODUCT(--($AJ$2:$AJ$1501&lt;$AJ555))+1,"")</f>
        <v/>
      </c>
      <c r="AH555">
        <f>IF($B555="","",IF(OR($M555=TRUE(),$M555="TRUE"),1,0))</f>
        <v/>
      </c>
      <c r="AI555">
        <f>IF($B555="","",IF($V555="Yes",1,0))</f>
        <v/>
      </c>
      <c r="AJ555">
        <f>IF($AF555=1,IFERROR(IF(VALUE($B555)&lt;100000000,VALUE($B555),1000000000),IFERROR(IF(VALUE(MID($B555,2,20))&lt;100000000,VALUE(MID($B555,2,20)),1000000000),1000000000))+ROW()/100000,"")</f>
        <v/>
      </c>
    </row>
    <row r="556">
      <c r="C556" s="11" t="n"/>
      <c r="J556" s="7">
        <f>IF($B556="","",I556*Q556/100)</f>
        <v/>
      </c>
      <c r="P556" s="7" t="n"/>
      <c r="Q556" s="7" t="n"/>
      <c r="R556" s="7">
        <f>IF($B556="","",Q556*W556/100)</f>
        <v/>
      </c>
      <c r="S556" s="7">
        <f>IF($B556="","",Q556-R556)</f>
        <v/>
      </c>
      <c r="T556" s="7">
        <f>IF($B556="","",S556-J556)</f>
        <v/>
      </c>
      <c r="W556">
        <f>IF($B556="","",IF($AI556=1,0,IF($AH556=1,Settings!$C$6,Settings!$C$7))*100)</f>
        <v/>
      </c>
      <c r="AA556" s="7" t="n"/>
      <c r="AD556" s="11" t="n"/>
      <c r="AF556">
        <f>IF($B556="","",IF(COUNTIF($B$2:$B556,$B556)=1,1,0))</f>
        <v/>
      </c>
      <c r="AG556">
        <f>IF($AF556=1,SUMPRODUCT(--($AJ$2:$AJ$1501&lt;$AJ556))+1,"")</f>
        <v/>
      </c>
      <c r="AH556">
        <f>IF($B556="","",IF(OR($M556=TRUE(),$M556="TRUE"),1,0))</f>
        <v/>
      </c>
      <c r="AI556">
        <f>IF($B556="","",IF($V556="Yes",1,0))</f>
        <v/>
      </c>
      <c r="AJ556">
        <f>IF($AF556=1,IFERROR(IF(VALUE($B556)&lt;100000000,VALUE($B556),1000000000),IFERROR(IF(VALUE(MID($B556,2,20))&lt;100000000,VALUE(MID($B556,2,20)),1000000000),1000000000))+ROW()/100000,"")</f>
        <v/>
      </c>
    </row>
    <row r="557">
      <c r="C557" s="11" t="n"/>
      <c r="J557" s="7">
        <f>IF($B557="","",I557*Q557/100)</f>
        <v/>
      </c>
      <c r="P557" s="7" t="n"/>
      <c r="Q557" s="7" t="n"/>
      <c r="R557" s="7">
        <f>IF($B557="","",Q557*W557/100)</f>
        <v/>
      </c>
      <c r="S557" s="7">
        <f>IF($B557="","",Q557-R557)</f>
        <v/>
      </c>
      <c r="T557" s="7">
        <f>IF($B557="","",S557-J557)</f>
        <v/>
      </c>
      <c r="W557">
        <f>IF($B557="","",IF($AI557=1,0,IF($AH557=1,Settings!$C$6,Settings!$C$7))*100)</f>
        <v/>
      </c>
      <c r="AA557" s="7" t="n"/>
      <c r="AD557" s="11" t="n"/>
      <c r="AF557">
        <f>IF($B557="","",IF(COUNTIF($B$2:$B557,$B557)=1,1,0))</f>
        <v/>
      </c>
      <c r="AG557">
        <f>IF($AF557=1,SUMPRODUCT(--($AJ$2:$AJ$1501&lt;$AJ557))+1,"")</f>
        <v/>
      </c>
      <c r="AH557">
        <f>IF($B557="","",IF(OR($M557=TRUE(),$M557="TRUE"),1,0))</f>
        <v/>
      </c>
      <c r="AI557">
        <f>IF($B557="","",IF($V557="Yes",1,0))</f>
        <v/>
      </c>
      <c r="AJ557">
        <f>IF($AF557=1,IFERROR(IF(VALUE($B557)&lt;100000000,VALUE($B557),1000000000),IFERROR(IF(VALUE(MID($B557,2,20))&lt;100000000,VALUE(MID($B557,2,20)),1000000000),1000000000))+ROW()/100000,"")</f>
        <v/>
      </c>
    </row>
    <row r="558">
      <c r="C558" s="11" t="n"/>
      <c r="J558" s="7">
        <f>IF($B558="","",I558*Q558/100)</f>
        <v/>
      </c>
      <c r="P558" s="7" t="n"/>
      <c r="Q558" s="7" t="n"/>
      <c r="R558" s="7">
        <f>IF($B558="","",Q558*W558/100)</f>
        <v/>
      </c>
      <c r="S558" s="7">
        <f>IF($B558="","",Q558-R558)</f>
        <v/>
      </c>
      <c r="T558" s="7">
        <f>IF($B558="","",S558-J558)</f>
        <v/>
      </c>
      <c r="W558">
        <f>IF($B558="","",IF($AI558=1,0,IF($AH558=1,Settings!$C$6,Settings!$C$7))*100)</f>
        <v/>
      </c>
      <c r="AA558" s="7" t="n"/>
      <c r="AD558" s="11" t="n"/>
      <c r="AF558">
        <f>IF($B558="","",IF(COUNTIF($B$2:$B558,$B558)=1,1,0))</f>
        <v/>
      </c>
      <c r="AG558">
        <f>IF($AF558=1,SUMPRODUCT(--($AJ$2:$AJ$1501&lt;$AJ558))+1,"")</f>
        <v/>
      </c>
      <c r="AH558">
        <f>IF($B558="","",IF(OR($M558=TRUE(),$M558="TRUE"),1,0))</f>
        <v/>
      </c>
      <c r="AI558">
        <f>IF($B558="","",IF($V558="Yes",1,0))</f>
        <v/>
      </c>
      <c r="AJ558">
        <f>IF($AF558=1,IFERROR(IF(VALUE($B558)&lt;100000000,VALUE($B558),1000000000),IFERROR(IF(VALUE(MID($B558,2,20))&lt;100000000,VALUE(MID($B558,2,20)),1000000000),1000000000))+ROW()/100000,"")</f>
        <v/>
      </c>
    </row>
    <row r="559">
      <c r="C559" s="11" t="n"/>
      <c r="J559" s="7">
        <f>IF($B559="","",I559*Q559/100)</f>
        <v/>
      </c>
      <c r="P559" s="7" t="n"/>
      <c r="Q559" s="7" t="n"/>
      <c r="R559" s="7">
        <f>IF($B559="","",Q559*W559/100)</f>
        <v/>
      </c>
      <c r="S559" s="7">
        <f>IF($B559="","",Q559-R559)</f>
        <v/>
      </c>
      <c r="T559" s="7">
        <f>IF($B559="","",S559-J559)</f>
        <v/>
      </c>
      <c r="W559">
        <f>IF($B559="","",IF($AI559=1,0,IF($AH559=1,Settings!$C$6,Settings!$C$7))*100)</f>
        <v/>
      </c>
      <c r="AA559" s="7" t="n"/>
      <c r="AD559" s="11" t="n"/>
      <c r="AF559">
        <f>IF($B559="","",IF(COUNTIF($B$2:$B559,$B559)=1,1,0))</f>
        <v/>
      </c>
      <c r="AG559">
        <f>IF($AF559=1,SUMPRODUCT(--($AJ$2:$AJ$1501&lt;$AJ559))+1,"")</f>
        <v/>
      </c>
      <c r="AH559">
        <f>IF($B559="","",IF(OR($M559=TRUE(),$M559="TRUE"),1,0))</f>
        <v/>
      </c>
      <c r="AI559">
        <f>IF($B559="","",IF($V559="Yes",1,0))</f>
        <v/>
      </c>
      <c r="AJ559">
        <f>IF($AF559=1,IFERROR(IF(VALUE($B559)&lt;100000000,VALUE($B559),1000000000),IFERROR(IF(VALUE(MID($B559,2,20))&lt;100000000,VALUE(MID($B559,2,20)),1000000000),1000000000))+ROW()/100000,"")</f>
        <v/>
      </c>
    </row>
    <row r="560">
      <c r="C560" s="11" t="n"/>
      <c r="J560" s="7">
        <f>IF($B560="","",I560*Q560/100)</f>
        <v/>
      </c>
      <c r="P560" s="7" t="n"/>
      <c r="Q560" s="7" t="n"/>
      <c r="R560" s="7">
        <f>IF($B560="","",Q560*W560/100)</f>
        <v/>
      </c>
      <c r="S560" s="7">
        <f>IF($B560="","",Q560-R560)</f>
        <v/>
      </c>
      <c r="T560" s="7">
        <f>IF($B560="","",S560-J560)</f>
        <v/>
      </c>
      <c r="W560">
        <f>IF($B560="","",IF($AI560=1,0,IF($AH560=1,Settings!$C$6,Settings!$C$7))*100)</f>
        <v/>
      </c>
      <c r="AA560" s="7" t="n"/>
      <c r="AD560" s="11" t="n"/>
      <c r="AF560">
        <f>IF($B560="","",IF(COUNTIF($B$2:$B560,$B560)=1,1,0))</f>
        <v/>
      </c>
      <c r="AG560">
        <f>IF($AF560=1,SUMPRODUCT(--($AJ$2:$AJ$1501&lt;$AJ560))+1,"")</f>
        <v/>
      </c>
      <c r="AH560">
        <f>IF($B560="","",IF(OR($M560=TRUE(),$M560="TRUE"),1,0))</f>
        <v/>
      </c>
      <c r="AI560">
        <f>IF($B560="","",IF($V560="Yes",1,0))</f>
        <v/>
      </c>
      <c r="AJ560">
        <f>IF($AF560=1,IFERROR(IF(VALUE($B560)&lt;100000000,VALUE($B560),1000000000),IFERROR(IF(VALUE(MID($B560,2,20))&lt;100000000,VALUE(MID($B560,2,20)),1000000000),1000000000))+ROW()/100000,"")</f>
        <v/>
      </c>
    </row>
    <row r="561">
      <c r="C561" s="11" t="n"/>
      <c r="J561" s="7">
        <f>IF($B561="","",I561*Q561/100)</f>
        <v/>
      </c>
      <c r="P561" s="7" t="n"/>
      <c r="Q561" s="7" t="n"/>
      <c r="R561" s="7">
        <f>IF($B561="","",Q561*W561/100)</f>
        <v/>
      </c>
      <c r="S561" s="7">
        <f>IF($B561="","",Q561-R561)</f>
        <v/>
      </c>
      <c r="T561" s="7">
        <f>IF($B561="","",S561-J561)</f>
        <v/>
      </c>
      <c r="W561">
        <f>IF($B561="","",IF($AI561=1,0,IF($AH561=1,Settings!$C$6,Settings!$C$7))*100)</f>
        <v/>
      </c>
      <c r="AA561" s="7" t="n"/>
      <c r="AD561" s="11" t="n"/>
      <c r="AF561">
        <f>IF($B561="","",IF(COUNTIF($B$2:$B561,$B561)=1,1,0))</f>
        <v/>
      </c>
      <c r="AG561">
        <f>IF($AF561=1,SUMPRODUCT(--($AJ$2:$AJ$1501&lt;$AJ561))+1,"")</f>
        <v/>
      </c>
      <c r="AH561">
        <f>IF($B561="","",IF(OR($M561=TRUE(),$M561="TRUE"),1,0))</f>
        <v/>
      </c>
      <c r="AI561">
        <f>IF($B561="","",IF($V561="Yes",1,0))</f>
        <v/>
      </c>
      <c r="AJ561">
        <f>IF($AF561=1,IFERROR(IF(VALUE($B561)&lt;100000000,VALUE($B561),1000000000),IFERROR(IF(VALUE(MID($B561,2,20))&lt;100000000,VALUE(MID($B561,2,20)),1000000000),1000000000))+ROW()/100000,"")</f>
        <v/>
      </c>
    </row>
    <row r="562">
      <c r="C562" s="11" t="n"/>
      <c r="J562" s="7">
        <f>IF($B562="","",I562*Q562/100)</f>
        <v/>
      </c>
      <c r="P562" s="7" t="n"/>
      <c r="Q562" s="7" t="n"/>
      <c r="R562" s="7">
        <f>IF($B562="","",Q562*W562/100)</f>
        <v/>
      </c>
      <c r="S562" s="7">
        <f>IF($B562="","",Q562-R562)</f>
        <v/>
      </c>
      <c r="T562" s="7">
        <f>IF($B562="","",S562-J562)</f>
        <v/>
      </c>
      <c r="W562">
        <f>IF($B562="","",IF($AI562=1,0,IF($AH562=1,Settings!$C$6,Settings!$C$7))*100)</f>
        <v/>
      </c>
      <c r="AA562" s="7" t="n"/>
      <c r="AD562" s="11" t="n"/>
      <c r="AF562">
        <f>IF($B562="","",IF(COUNTIF($B$2:$B562,$B562)=1,1,0))</f>
        <v/>
      </c>
      <c r="AG562">
        <f>IF($AF562=1,SUMPRODUCT(--($AJ$2:$AJ$1501&lt;$AJ562))+1,"")</f>
        <v/>
      </c>
      <c r="AH562">
        <f>IF($B562="","",IF(OR($M562=TRUE(),$M562="TRUE"),1,0))</f>
        <v/>
      </c>
      <c r="AI562">
        <f>IF($B562="","",IF($V562="Yes",1,0))</f>
        <v/>
      </c>
      <c r="AJ562">
        <f>IF($AF562=1,IFERROR(IF(VALUE($B562)&lt;100000000,VALUE($B562),1000000000),IFERROR(IF(VALUE(MID($B562,2,20))&lt;100000000,VALUE(MID($B562,2,20)),1000000000),1000000000))+ROW()/100000,"")</f>
        <v/>
      </c>
    </row>
    <row r="563">
      <c r="C563" s="11" t="n"/>
      <c r="J563" s="7">
        <f>IF($B563="","",I563*Q563/100)</f>
        <v/>
      </c>
      <c r="P563" s="7" t="n"/>
      <c r="Q563" s="7" t="n"/>
      <c r="R563" s="7">
        <f>IF($B563="","",Q563*W563/100)</f>
        <v/>
      </c>
      <c r="S563" s="7">
        <f>IF($B563="","",Q563-R563)</f>
        <v/>
      </c>
      <c r="T563" s="7">
        <f>IF($B563="","",S563-J563)</f>
        <v/>
      </c>
      <c r="W563">
        <f>IF($B563="","",IF($AI563=1,0,IF($AH563=1,Settings!$C$6,Settings!$C$7))*100)</f>
        <v/>
      </c>
      <c r="AA563" s="7" t="n"/>
      <c r="AD563" s="11" t="n"/>
      <c r="AF563">
        <f>IF($B563="","",IF(COUNTIF($B$2:$B563,$B563)=1,1,0))</f>
        <v/>
      </c>
      <c r="AG563">
        <f>IF($AF563=1,SUMPRODUCT(--($AJ$2:$AJ$1501&lt;$AJ563))+1,"")</f>
        <v/>
      </c>
      <c r="AH563">
        <f>IF($B563="","",IF(OR($M563=TRUE(),$M563="TRUE"),1,0))</f>
        <v/>
      </c>
      <c r="AI563">
        <f>IF($B563="","",IF($V563="Yes",1,0))</f>
        <v/>
      </c>
      <c r="AJ563">
        <f>IF($AF563=1,IFERROR(IF(VALUE($B563)&lt;100000000,VALUE($B563),1000000000),IFERROR(IF(VALUE(MID($B563,2,20))&lt;100000000,VALUE(MID($B563,2,20)),1000000000),1000000000))+ROW()/100000,"")</f>
        <v/>
      </c>
    </row>
    <row r="564">
      <c r="C564" s="11" t="n"/>
      <c r="J564" s="7">
        <f>IF($B564="","",I564*Q564/100)</f>
        <v/>
      </c>
      <c r="P564" s="7" t="n"/>
      <c r="Q564" s="7" t="n"/>
      <c r="R564" s="7">
        <f>IF($B564="","",Q564*W564/100)</f>
        <v/>
      </c>
      <c r="S564" s="7">
        <f>IF($B564="","",Q564-R564)</f>
        <v/>
      </c>
      <c r="T564" s="7">
        <f>IF($B564="","",S564-J564)</f>
        <v/>
      </c>
      <c r="W564">
        <f>IF($B564="","",IF($AI564=1,0,IF($AH564=1,Settings!$C$6,Settings!$C$7))*100)</f>
        <v/>
      </c>
      <c r="AA564" s="7" t="n"/>
      <c r="AD564" s="11" t="n"/>
      <c r="AF564">
        <f>IF($B564="","",IF(COUNTIF($B$2:$B564,$B564)=1,1,0))</f>
        <v/>
      </c>
      <c r="AG564">
        <f>IF($AF564=1,SUMPRODUCT(--($AJ$2:$AJ$1501&lt;$AJ564))+1,"")</f>
        <v/>
      </c>
      <c r="AH564">
        <f>IF($B564="","",IF(OR($M564=TRUE(),$M564="TRUE"),1,0))</f>
        <v/>
      </c>
      <c r="AI564">
        <f>IF($B564="","",IF($V564="Yes",1,0))</f>
        <v/>
      </c>
      <c r="AJ564">
        <f>IF($AF564=1,IFERROR(IF(VALUE($B564)&lt;100000000,VALUE($B564),1000000000),IFERROR(IF(VALUE(MID($B564,2,20))&lt;100000000,VALUE(MID($B564,2,20)),1000000000),1000000000))+ROW()/100000,"")</f>
        <v/>
      </c>
    </row>
    <row r="565">
      <c r="C565" s="11" t="n"/>
      <c r="J565" s="7">
        <f>IF($B565="","",I565*Q565/100)</f>
        <v/>
      </c>
      <c r="P565" s="7" t="n"/>
      <c r="Q565" s="7" t="n"/>
      <c r="R565" s="7">
        <f>IF($B565="","",Q565*W565/100)</f>
        <v/>
      </c>
      <c r="S565" s="7">
        <f>IF($B565="","",Q565-R565)</f>
        <v/>
      </c>
      <c r="T565" s="7">
        <f>IF($B565="","",S565-J565)</f>
        <v/>
      </c>
      <c r="W565">
        <f>IF($B565="","",IF($AI565=1,0,IF($AH565=1,Settings!$C$6,Settings!$C$7))*100)</f>
        <v/>
      </c>
      <c r="AA565" s="7" t="n"/>
      <c r="AD565" s="11" t="n"/>
      <c r="AF565">
        <f>IF($B565="","",IF(COUNTIF($B$2:$B565,$B565)=1,1,0))</f>
        <v/>
      </c>
      <c r="AG565">
        <f>IF($AF565=1,SUMPRODUCT(--($AJ$2:$AJ$1501&lt;$AJ565))+1,"")</f>
        <v/>
      </c>
      <c r="AH565">
        <f>IF($B565="","",IF(OR($M565=TRUE(),$M565="TRUE"),1,0))</f>
        <v/>
      </c>
      <c r="AI565">
        <f>IF($B565="","",IF($V565="Yes",1,0))</f>
        <v/>
      </c>
      <c r="AJ565">
        <f>IF($AF565=1,IFERROR(IF(VALUE($B565)&lt;100000000,VALUE($B565),1000000000),IFERROR(IF(VALUE(MID($B565,2,20))&lt;100000000,VALUE(MID($B565,2,20)),1000000000),1000000000))+ROW()/100000,"")</f>
        <v/>
      </c>
    </row>
    <row r="566">
      <c r="C566" s="11" t="n"/>
      <c r="J566" s="7">
        <f>IF($B566="","",I566*Q566/100)</f>
        <v/>
      </c>
      <c r="P566" s="7" t="n"/>
      <c r="Q566" s="7" t="n"/>
      <c r="R566" s="7">
        <f>IF($B566="","",Q566*W566/100)</f>
        <v/>
      </c>
      <c r="S566" s="7">
        <f>IF($B566="","",Q566-R566)</f>
        <v/>
      </c>
      <c r="T566" s="7">
        <f>IF($B566="","",S566-J566)</f>
        <v/>
      </c>
      <c r="W566">
        <f>IF($B566="","",IF($AI566=1,0,IF($AH566=1,Settings!$C$6,Settings!$C$7))*100)</f>
        <v/>
      </c>
      <c r="AA566" s="7" t="n"/>
      <c r="AD566" s="11" t="n"/>
      <c r="AF566">
        <f>IF($B566="","",IF(COUNTIF($B$2:$B566,$B566)=1,1,0))</f>
        <v/>
      </c>
      <c r="AG566">
        <f>IF($AF566=1,SUMPRODUCT(--($AJ$2:$AJ$1501&lt;$AJ566))+1,"")</f>
        <v/>
      </c>
      <c r="AH566">
        <f>IF($B566="","",IF(OR($M566=TRUE(),$M566="TRUE"),1,0))</f>
        <v/>
      </c>
      <c r="AI566">
        <f>IF($B566="","",IF($V566="Yes",1,0))</f>
        <v/>
      </c>
      <c r="AJ566">
        <f>IF($AF566=1,IFERROR(IF(VALUE($B566)&lt;100000000,VALUE($B566),1000000000),IFERROR(IF(VALUE(MID($B566,2,20))&lt;100000000,VALUE(MID($B566,2,20)),1000000000),1000000000))+ROW()/100000,"")</f>
        <v/>
      </c>
    </row>
    <row r="567">
      <c r="C567" s="11" t="n"/>
      <c r="J567" s="7">
        <f>IF($B567="","",I567*Q567/100)</f>
        <v/>
      </c>
      <c r="P567" s="7" t="n"/>
      <c r="Q567" s="7" t="n"/>
      <c r="R567" s="7">
        <f>IF($B567="","",Q567*W567/100)</f>
        <v/>
      </c>
      <c r="S567" s="7">
        <f>IF($B567="","",Q567-R567)</f>
        <v/>
      </c>
      <c r="T567" s="7">
        <f>IF($B567="","",S567-J567)</f>
        <v/>
      </c>
      <c r="W567">
        <f>IF($B567="","",IF($AI567=1,0,IF($AH567=1,Settings!$C$6,Settings!$C$7))*100)</f>
        <v/>
      </c>
      <c r="AA567" s="7" t="n"/>
      <c r="AD567" s="11" t="n"/>
      <c r="AF567">
        <f>IF($B567="","",IF(COUNTIF($B$2:$B567,$B567)=1,1,0))</f>
        <v/>
      </c>
      <c r="AG567">
        <f>IF($AF567=1,SUMPRODUCT(--($AJ$2:$AJ$1501&lt;$AJ567))+1,"")</f>
        <v/>
      </c>
      <c r="AH567">
        <f>IF($B567="","",IF(OR($M567=TRUE(),$M567="TRUE"),1,0))</f>
        <v/>
      </c>
      <c r="AI567">
        <f>IF($B567="","",IF($V567="Yes",1,0))</f>
        <v/>
      </c>
      <c r="AJ567">
        <f>IF($AF567=1,IFERROR(IF(VALUE($B567)&lt;100000000,VALUE($B567),1000000000),IFERROR(IF(VALUE(MID($B567,2,20))&lt;100000000,VALUE(MID($B567,2,20)),1000000000),1000000000))+ROW()/100000,"")</f>
        <v/>
      </c>
    </row>
    <row r="568">
      <c r="C568" s="11" t="n"/>
      <c r="J568" s="7">
        <f>IF($B568="","",I568*Q568/100)</f>
        <v/>
      </c>
      <c r="P568" s="7" t="n"/>
      <c r="Q568" s="7" t="n"/>
      <c r="R568" s="7">
        <f>IF($B568="","",Q568*W568/100)</f>
        <v/>
      </c>
      <c r="S568" s="7">
        <f>IF($B568="","",Q568-R568)</f>
        <v/>
      </c>
      <c r="T568" s="7">
        <f>IF($B568="","",S568-J568)</f>
        <v/>
      </c>
      <c r="W568">
        <f>IF($B568="","",IF($AI568=1,0,IF($AH568=1,Settings!$C$6,Settings!$C$7))*100)</f>
        <v/>
      </c>
      <c r="AA568" s="7" t="n"/>
      <c r="AD568" s="11" t="n"/>
      <c r="AF568">
        <f>IF($B568="","",IF(COUNTIF($B$2:$B568,$B568)=1,1,0))</f>
        <v/>
      </c>
      <c r="AG568">
        <f>IF($AF568=1,SUMPRODUCT(--($AJ$2:$AJ$1501&lt;$AJ568))+1,"")</f>
        <v/>
      </c>
      <c r="AH568">
        <f>IF($B568="","",IF(OR($M568=TRUE(),$M568="TRUE"),1,0))</f>
        <v/>
      </c>
      <c r="AI568">
        <f>IF($B568="","",IF($V568="Yes",1,0))</f>
        <v/>
      </c>
      <c r="AJ568">
        <f>IF($AF568=1,IFERROR(IF(VALUE($B568)&lt;100000000,VALUE($B568),1000000000),IFERROR(IF(VALUE(MID($B568,2,20))&lt;100000000,VALUE(MID($B568,2,20)),1000000000),1000000000))+ROW()/100000,"")</f>
        <v/>
      </c>
    </row>
    <row r="569">
      <c r="C569" s="11" t="n"/>
      <c r="J569" s="7">
        <f>IF($B569="","",I569*Q569/100)</f>
        <v/>
      </c>
      <c r="P569" s="7" t="n"/>
      <c r="Q569" s="7" t="n"/>
      <c r="R569" s="7">
        <f>IF($B569="","",Q569*W569/100)</f>
        <v/>
      </c>
      <c r="S569" s="7">
        <f>IF($B569="","",Q569-R569)</f>
        <v/>
      </c>
      <c r="T569" s="7">
        <f>IF($B569="","",S569-J569)</f>
        <v/>
      </c>
      <c r="W569">
        <f>IF($B569="","",IF($AI569=1,0,IF($AH569=1,Settings!$C$6,Settings!$C$7))*100)</f>
        <v/>
      </c>
      <c r="AA569" s="7" t="n"/>
      <c r="AD569" s="11" t="n"/>
      <c r="AF569">
        <f>IF($B569="","",IF(COUNTIF($B$2:$B569,$B569)=1,1,0))</f>
        <v/>
      </c>
      <c r="AG569">
        <f>IF($AF569=1,SUMPRODUCT(--($AJ$2:$AJ$1501&lt;$AJ569))+1,"")</f>
        <v/>
      </c>
      <c r="AH569">
        <f>IF($B569="","",IF(OR($M569=TRUE(),$M569="TRUE"),1,0))</f>
        <v/>
      </c>
      <c r="AI569">
        <f>IF($B569="","",IF($V569="Yes",1,0))</f>
        <v/>
      </c>
      <c r="AJ569">
        <f>IF($AF569=1,IFERROR(IF(VALUE($B569)&lt;100000000,VALUE($B569),1000000000),IFERROR(IF(VALUE(MID($B569,2,20))&lt;100000000,VALUE(MID($B569,2,20)),1000000000),1000000000))+ROW()/100000,"")</f>
        <v/>
      </c>
    </row>
    <row r="570">
      <c r="C570" s="11" t="n"/>
      <c r="J570" s="7">
        <f>IF($B570="","",I570*Q570/100)</f>
        <v/>
      </c>
      <c r="P570" s="7" t="n"/>
      <c r="Q570" s="7" t="n"/>
      <c r="R570" s="7">
        <f>IF($B570="","",Q570*W570/100)</f>
        <v/>
      </c>
      <c r="S570" s="7">
        <f>IF($B570="","",Q570-R570)</f>
        <v/>
      </c>
      <c r="T570" s="7">
        <f>IF($B570="","",S570-J570)</f>
        <v/>
      </c>
      <c r="W570">
        <f>IF($B570="","",IF($AI570=1,0,IF($AH570=1,Settings!$C$6,Settings!$C$7))*100)</f>
        <v/>
      </c>
      <c r="AA570" s="7" t="n"/>
      <c r="AD570" s="11" t="n"/>
      <c r="AF570">
        <f>IF($B570="","",IF(COUNTIF($B$2:$B570,$B570)=1,1,0))</f>
        <v/>
      </c>
      <c r="AG570">
        <f>IF($AF570=1,SUMPRODUCT(--($AJ$2:$AJ$1501&lt;$AJ570))+1,"")</f>
        <v/>
      </c>
      <c r="AH570">
        <f>IF($B570="","",IF(OR($M570=TRUE(),$M570="TRUE"),1,0))</f>
        <v/>
      </c>
      <c r="AI570">
        <f>IF($B570="","",IF($V570="Yes",1,0))</f>
        <v/>
      </c>
      <c r="AJ570">
        <f>IF($AF570=1,IFERROR(IF(VALUE($B570)&lt;100000000,VALUE($B570),1000000000),IFERROR(IF(VALUE(MID($B570,2,20))&lt;100000000,VALUE(MID($B570,2,20)),1000000000),1000000000))+ROW()/100000,"")</f>
        <v/>
      </c>
    </row>
    <row r="571">
      <c r="C571" s="11" t="n"/>
      <c r="J571" s="7">
        <f>IF($B571="","",I571*Q571/100)</f>
        <v/>
      </c>
      <c r="P571" s="7" t="n"/>
      <c r="Q571" s="7" t="n"/>
      <c r="R571" s="7">
        <f>IF($B571="","",Q571*W571/100)</f>
        <v/>
      </c>
      <c r="S571" s="7">
        <f>IF($B571="","",Q571-R571)</f>
        <v/>
      </c>
      <c r="T571" s="7">
        <f>IF($B571="","",S571-J571)</f>
        <v/>
      </c>
      <c r="W571">
        <f>IF($B571="","",IF($AI571=1,0,IF($AH571=1,Settings!$C$6,Settings!$C$7))*100)</f>
        <v/>
      </c>
      <c r="AA571" s="7" t="n"/>
      <c r="AD571" s="11" t="n"/>
      <c r="AF571">
        <f>IF($B571="","",IF(COUNTIF($B$2:$B571,$B571)=1,1,0))</f>
        <v/>
      </c>
      <c r="AG571">
        <f>IF($AF571=1,SUMPRODUCT(--($AJ$2:$AJ$1501&lt;$AJ571))+1,"")</f>
        <v/>
      </c>
      <c r="AH571">
        <f>IF($B571="","",IF(OR($M571=TRUE(),$M571="TRUE"),1,0))</f>
        <v/>
      </c>
      <c r="AI571">
        <f>IF($B571="","",IF($V571="Yes",1,0))</f>
        <v/>
      </c>
      <c r="AJ571">
        <f>IF($AF571=1,IFERROR(IF(VALUE($B571)&lt;100000000,VALUE($B571),1000000000),IFERROR(IF(VALUE(MID($B571,2,20))&lt;100000000,VALUE(MID($B571,2,20)),1000000000),1000000000))+ROW()/100000,"")</f>
        <v/>
      </c>
    </row>
    <row r="572">
      <c r="C572" s="11" t="n"/>
      <c r="J572" s="7">
        <f>IF($B572="","",I572*Q572/100)</f>
        <v/>
      </c>
      <c r="P572" s="7" t="n"/>
      <c r="Q572" s="7" t="n"/>
      <c r="R572" s="7">
        <f>IF($B572="","",Q572*W572/100)</f>
        <v/>
      </c>
      <c r="S572" s="7">
        <f>IF($B572="","",Q572-R572)</f>
        <v/>
      </c>
      <c r="T572" s="7">
        <f>IF($B572="","",S572-J572)</f>
        <v/>
      </c>
      <c r="W572">
        <f>IF($B572="","",IF($AI572=1,0,IF($AH572=1,Settings!$C$6,Settings!$C$7))*100)</f>
        <v/>
      </c>
      <c r="AA572" s="7" t="n"/>
      <c r="AD572" s="11" t="n"/>
      <c r="AF572">
        <f>IF($B572="","",IF(COUNTIF($B$2:$B572,$B572)=1,1,0))</f>
        <v/>
      </c>
      <c r="AG572">
        <f>IF($AF572=1,SUMPRODUCT(--($AJ$2:$AJ$1501&lt;$AJ572))+1,"")</f>
        <v/>
      </c>
      <c r="AH572">
        <f>IF($B572="","",IF(OR($M572=TRUE(),$M572="TRUE"),1,0))</f>
        <v/>
      </c>
      <c r="AI572">
        <f>IF($B572="","",IF($V572="Yes",1,0))</f>
        <v/>
      </c>
      <c r="AJ572">
        <f>IF($AF572=1,IFERROR(IF(VALUE($B572)&lt;100000000,VALUE($B572),1000000000),IFERROR(IF(VALUE(MID($B572,2,20))&lt;100000000,VALUE(MID($B572,2,20)),1000000000),1000000000))+ROW()/100000,"")</f>
        <v/>
      </c>
    </row>
    <row r="573">
      <c r="C573" s="11" t="n"/>
      <c r="J573" s="7">
        <f>IF($B573="","",I573*Q573/100)</f>
        <v/>
      </c>
      <c r="P573" s="7" t="n"/>
      <c r="Q573" s="7" t="n"/>
      <c r="R573" s="7">
        <f>IF($B573="","",Q573*W573/100)</f>
        <v/>
      </c>
      <c r="S573" s="7">
        <f>IF($B573="","",Q573-R573)</f>
        <v/>
      </c>
      <c r="T573" s="7">
        <f>IF($B573="","",S573-J573)</f>
        <v/>
      </c>
      <c r="W573">
        <f>IF($B573="","",IF($AI573=1,0,IF($AH573=1,Settings!$C$6,Settings!$C$7))*100)</f>
        <v/>
      </c>
      <c r="AA573" s="7" t="n"/>
      <c r="AD573" s="11" t="n"/>
      <c r="AF573">
        <f>IF($B573="","",IF(COUNTIF($B$2:$B573,$B573)=1,1,0))</f>
        <v/>
      </c>
      <c r="AG573">
        <f>IF($AF573=1,SUMPRODUCT(--($AJ$2:$AJ$1501&lt;$AJ573))+1,"")</f>
        <v/>
      </c>
      <c r="AH573">
        <f>IF($B573="","",IF(OR($M573=TRUE(),$M573="TRUE"),1,0))</f>
        <v/>
      </c>
      <c r="AI573">
        <f>IF($B573="","",IF($V573="Yes",1,0))</f>
        <v/>
      </c>
      <c r="AJ573">
        <f>IF($AF573=1,IFERROR(IF(VALUE($B573)&lt;100000000,VALUE($B573),1000000000),IFERROR(IF(VALUE(MID($B573,2,20))&lt;100000000,VALUE(MID($B573,2,20)),1000000000),1000000000))+ROW()/100000,"")</f>
        <v/>
      </c>
    </row>
    <row r="574">
      <c r="C574" s="11" t="n"/>
      <c r="J574" s="7">
        <f>IF($B574="","",I574*Q574/100)</f>
        <v/>
      </c>
      <c r="P574" s="7" t="n"/>
      <c r="Q574" s="7" t="n"/>
      <c r="R574" s="7">
        <f>IF($B574="","",Q574*W574/100)</f>
        <v/>
      </c>
      <c r="S574" s="7">
        <f>IF($B574="","",Q574-R574)</f>
        <v/>
      </c>
      <c r="T574" s="7">
        <f>IF($B574="","",S574-J574)</f>
        <v/>
      </c>
      <c r="W574">
        <f>IF($B574="","",IF($AI574=1,0,IF($AH574=1,Settings!$C$6,Settings!$C$7))*100)</f>
        <v/>
      </c>
      <c r="AA574" s="7" t="n"/>
      <c r="AD574" s="11" t="n"/>
      <c r="AF574">
        <f>IF($B574="","",IF(COUNTIF($B$2:$B574,$B574)=1,1,0))</f>
        <v/>
      </c>
      <c r="AG574">
        <f>IF($AF574=1,SUMPRODUCT(--($AJ$2:$AJ$1501&lt;$AJ574))+1,"")</f>
        <v/>
      </c>
      <c r="AH574">
        <f>IF($B574="","",IF(OR($M574=TRUE(),$M574="TRUE"),1,0))</f>
        <v/>
      </c>
      <c r="AI574">
        <f>IF($B574="","",IF($V574="Yes",1,0))</f>
        <v/>
      </c>
      <c r="AJ574">
        <f>IF($AF574=1,IFERROR(IF(VALUE($B574)&lt;100000000,VALUE($B574),1000000000),IFERROR(IF(VALUE(MID($B574,2,20))&lt;100000000,VALUE(MID($B574,2,20)),1000000000),1000000000))+ROW()/100000,"")</f>
        <v/>
      </c>
    </row>
    <row r="575">
      <c r="C575" s="11" t="n"/>
      <c r="J575" s="7">
        <f>IF($B575="","",I575*Q575/100)</f>
        <v/>
      </c>
      <c r="P575" s="7" t="n"/>
      <c r="Q575" s="7" t="n"/>
      <c r="R575" s="7">
        <f>IF($B575="","",Q575*W575/100)</f>
        <v/>
      </c>
      <c r="S575" s="7">
        <f>IF($B575="","",Q575-R575)</f>
        <v/>
      </c>
      <c r="T575" s="7">
        <f>IF($B575="","",S575-J575)</f>
        <v/>
      </c>
      <c r="W575">
        <f>IF($B575="","",IF($AI575=1,0,IF($AH575=1,Settings!$C$6,Settings!$C$7))*100)</f>
        <v/>
      </c>
      <c r="AA575" s="7" t="n"/>
      <c r="AD575" s="11" t="n"/>
      <c r="AF575">
        <f>IF($B575="","",IF(COUNTIF($B$2:$B575,$B575)=1,1,0))</f>
        <v/>
      </c>
      <c r="AG575">
        <f>IF($AF575=1,SUMPRODUCT(--($AJ$2:$AJ$1501&lt;$AJ575))+1,"")</f>
        <v/>
      </c>
      <c r="AH575">
        <f>IF($B575="","",IF(OR($M575=TRUE(),$M575="TRUE"),1,0))</f>
        <v/>
      </c>
      <c r="AI575">
        <f>IF($B575="","",IF($V575="Yes",1,0))</f>
        <v/>
      </c>
      <c r="AJ575">
        <f>IF($AF575=1,IFERROR(IF(VALUE($B575)&lt;100000000,VALUE($B575),1000000000),IFERROR(IF(VALUE(MID($B575,2,20))&lt;100000000,VALUE(MID($B575,2,20)),1000000000),1000000000))+ROW()/100000,"")</f>
        <v/>
      </c>
    </row>
    <row r="576">
      <c r="C576" s="11" t="n"/>
      <c r="J576" s="7">
        <f>IF($B576="","",I576*Q576/100)</f>
        <v/>
      </c>
      <c r="P576" s="7" t="n"/>
      <c r="Q576" s="7" t="n"/>
      <c r="R576" s="7">
        <f>IF($B576="","",Q576*W576/100)</f>
        <v/>
      </c>
      <c r="S576" s="7">
        <f>IF($B576="","",Q576-R576)</f>
        <v/>
      </c>
      <c r="T576" s="7">
        <f>IF($B576="","",S576-J576)</f>
        <v/>
      </c>
      <c r="W576">
        <f>IF($B576="","",IF($AI576=1,0,IF($AH576=1,Settings!$C$6,Settings!$C$7))*100)</f>
        <v/>
      </c>
      <c r="AA576" s="7" t="n"/>
      <c r="AD576" s="11" t="n"/>
      <c r="AF576">
        <f>IF($B576="","",IF(COUNTIF($B$2:$B576,$B576)=1,1,0))</f>
        <v/>
      </c>
      <c r="AG576">
        <f>IF($AF576=1,SUMPRODUCT(--($AJ$2:$AJ$1501&lt;$AJ576))+1,"")</f>
        <v/>
      </c>
      <c r="AH576">
        <f>IF($B576="","",IF(OR($M576=TRUE(),$M576="TRUE"),1,0))</f>
        <v/>
      </c>
      <c r="AI576">
        <f>IF($B576="","",IF($V576="Yes",1,0))</f>
        <v/>
      </c>
      <c r="AJ576">
        <f>IF($AF576=1,IFERROR(IF(VALUE($B576)&lt;100000000,VALUE($B576),1000000000),IFERROR(IF(VALUE(MID($B576,2,20))&lt;100000000,VALUE(MID($B576,2,20)),1000000000),1000000000))+ROW()/100000,"")</f>
        <v/>
      </c>
    </row>
    <row r="577">
      <c r="C577" s="11" t="n"/>
      <c r="J577" s="7">
        <f>IF($B577="","",I577*Q577/100)</f>
        <v/>
      </c>
      <c r="P577" s="7" t="n"/>
      <c r="Q577" s="7" t="n"/>
      <c r="R577" s="7">
        <f>IF($B577="","",Q577*W577/100)</f>
        <v/>
      </c>
      <c r="S577" s="7">
        <f>IF($B577="","",Q577-R577)</f>
        <v/>
      </c>
      <c r="T577" s="7">
        <f>IF($B577="","",S577-J577)</f>
        <v/>
      </c>
      <c r="W577">
        <f>IF($B577="","",IF($AI577=1,0,IF($AH577=1,Settings!$C$6,Settings!$C$7))*100)</f>
        <v/>
      </c>
      <c r="AA577" s="7" t="n"/>
      <c r="AD577" s="11" t="n"/>
      <c r="AF577">
        <f>IF($B577="","",IF(COUNTIF($B$2:$B577,$B577)=1,1,0))</f>
        <v/>
      </c>
      <c r="AG577">
        <f>IF($AF577=1,SUMPRODUCT(--($AJ$2:$AJ$1501&lt;$AJ577))+1,"")</f>
        <v/>
      </c>
      <c r="AH577">
        <f>IF($B577="","",IF(OR($M577=TRUE(),$M577="TRUE"),1,0))</f>
        <v/>
      </c>
      <c r="AI577">
        <f>IF($B577="","",IF($V577="Yes",1,0))</f>
        <v/>
      </c>
      <c r="AJ577">
        <f>IF($AF577=1,IFERROR(IF(VALUE($B577)&lt;100000000,VALUE($B577),1000000000),IFERROR(IF(VALUE(MID($B577,2,20))&lt;100000000,VALUE(MID($B577,2,20)),1000000000),1000000000))+ROW()/100000,"")</f>
        <v/>
      </c>
    </row>
    <row r="578">
      <c r="C578" s="11" t="n"/>
      <c r="J578" s="7">
        <f>IF($B578="","",I578*Q578/100)</f>
        <v/>
      </c>
      <c r="P578" s="7" t="n"/>
      <c r="Q578" s="7" t="n"/>
      <c r="R578" s="7">
        <f>IF($B578="","",Q578*W578/100)</f>
        <v/>
      </c>
      <c r="S578" s="7">
        <f>IF($B578="","",Q578-R578)</f>
        <v/>
      </c>
      <c r="T578" s="7">
        <f>IF($B578="","",S578-J578)</f>
        <v/>
      </c>
      <c r="W578">
        <f>IF($B578="","",IF($AI578=1,0,IF($AH578=1,Settings!$C$6,Settings!$C$7))*100)</f>
        <v/>
      </c>
      <c r="AA578" s="7" t="n"/>
      <c r="AD578" s="11" t="n"/>
      <c r="AF578">
        <f>IF($B578="","",IF(COUNTIF($B$2:$B578,$B578)=1,1,0))</f>
        <v/>
      </c>
      <c r="AG578">
        <f>IF($AF578=1,SUMPRODUCT(--($AJ$2:$AJ$1501&lt;$AJ578))+1,"")</f>
        <v/>
      </c>
      <c r="AH578">
        <f>IF($B578="","",IF(OR($M578=TRUE(),$M578="TRUE"),1,0))</f>
        <v/>
      </c>
      <c r="AI578">
        <f>IF($B578="","",IF($V578="Yes",1,0))</f>
        <v/>
      </c>
      <c r="AJ578">
        <f>IF($AF578=1,IFERROR(IF(VALUE($B578)&lt;100000000,VALUE($B578),1000000000),IFERROR(IF(VALUE(MID($B578,2,20))&lt;100000000,VALUE(MID($B578,2,20)),1000000000),1000000000))+ROW()/100000,"")</f>
        <v/>
      </c>
    </row>
    <row r="579">
      <c r="C579" s="11" t="n"/>
      <c r="J579" s="7">
        <f>IF($B579="","",I579*Q579/100)</f>
        <v/>
      </c>
      <c r="P579" s="7" t="n"/>
      <c r="Q579" s="7" t="n"/>
      <c r="R579" s="7">
        <f>IF($B579="","",Q579*W579/100)</f>
        <v/>
      </c>
      <c r="S579" s="7">
        <f>IF($B579="","",Q579-R579)</f>
        <v/>
      </c>
      <c r="T579" s="7">
        <f>IF($B579="","",S579-J579)</f>
        <v/>
      </c>
      <c r="W579">
        <f>IF($B579="","",IF($AI579=1,0,IF($AH579=1,Settings!$C$6,Settings!$C$7))*100)</f>
        <v/>
      </c>
      <c r="AA579" s="7" t="n"/>
      <c r="AD579" s="11" t="n"/>
      <c r="AF579">
        <f>IF($B579="","",IF(COUNTIF($B$2:$B579,$B579)=1,1,0))</f>
        <v/>
      </c>
      <c r="AG579">
        <f>IF($AF579=1,SUMPRODUCT(--($AJ$2:$AJ$1501&lt;$AJ579))+1,"")</f>
        <v/>
      </c>
      <c r="AH579">
        <f>IF($B579="","",IF(OR($M579=TRUE(),$M579="TRUE"),1,0))</f>
        <v/>
      </c>
      <c r="AI579">
        <f>IF($B579="","",IF($V579="Yes",1,0))</f>
        <v/>
      </c>
      <c r="AJ579">
        <f>IF($AF579=1,IFERROR(IF(VALUE($B579)&lt;100000000,VALUE($B579),1000000000),IFERROR(IF(VALUE(MID($B579,2,20))&lt;100000000,VALUE(MID($B579,2,20)),1000000000),1000000000))+ROW()/100000,"")</f>
        <v/>
      </c>
    </row>
    <row r="580">
      <c r="C580" s="11" t="n"/>
      <c r="J580" s="7">
        <f>IF($B580="","",I580*Q580/100)</f>
        <v/>
      </c>
      <c r="P580" s="7" t="n"/>
      <c r="Q580" s="7" t="n"/>
      <c r="R580" s="7">
        <f>IF($B580="","",Q580*W580/100)</f>
        <v/>
      </c>
      <c r="S580" s="7">
        <f>IF($B580="","",Q580-R580)</f>
        <v/>
      </c>
      <c r="T580" s="7">
        <f>IF($B580="","",S580-J580)</f>
        <v/>
      </c>
      <c r="W580">
        <f>IF($B580="","",IF($AI580=1,0,IF($AH580=1,Settings!$C$6,Settings!$C$7))*100)</f>
        <v/>
      </c>
      <c r="AA580" s="7" t="n"/>
      <c r="AD580" s="11" t="n"/>
      <c r="AF580">
        <f>IF($B580="","",IF(COUNTIF($B$2:$B580,$B580)=1,1,0))</f>
        <v/>
      </c>
      <c r="AG580">
        <f>IF($AF580=1,SUMPRODUCT(--($AJ$2:$AJ$1501&lt;$AJ580))+1,"")</f>
        <v/>
      </c>
      <c r="AH580">
        <f>IF($B580="","",IF(OR($M580=TRUE(),$M580="TRUE"),1,0))</f>
        <v/>
      </c>
      <c r="AI580">
        <f>IF($B580="","",IF($V580="Yes",1,0))</f>
        <v/>
      </c>
      <c r="AJ580">
        <f>IF($AF580=1,IFERROR(IF(VALUE($B580)&lt;100000000,VALUE($B580),1000000000),IFERROR(IF(VALUE(MID($B580,2,20))&lt;100000000,VALUE(MID($B580,2,20)),1000000000),1000000000))+ROW()/100000,"")</f>
        <v/>
      </c>
    </row>
    <row r="581">
      <c r="C581" s="11" t="n"/>
      <c r="J581" s="7">
        <f>IF($B581="","",I581*Q581/100)</f>
        <v/>
      </c>
      <c r="P581" s="7" t="n"/>
      <c r="Q581" s="7" t="n"/>
      <c r="R581" s="7">
        <f>IF($B581="","",Q581*W581/100)</f>
        <v/>
      </c>
      <c r="S581" s="7">
        <f>IF($B581="","",Q581-R581)</f>
        <v/>
      </c>
      <c r="T581" s="7">
        <f>IF($B581="","",S581-J581)</f>
        <v/>
      </c>
      <c r="W581">
        <f>IF($B581="","",IF($AI581=1,0,IF($AH581=1,Settings!$C$6,Settings!$C$7))*100)</f>
        <v/>
      </c>
      <c r="AA581" s="7" t="n"/>
      <c r="AD581" s="11" t="n"/>
      <c r="AF581">
        <f>IF($B581="","",IF(COUNTIF($B$2:$B581,$B581)=1,1,0))</f>
        <v/>
      </c>
      <c r="AG581">
        <f>IF($AF581=1,SUMPRODUCT(--($AJ$2:$AJ$1501&lt;$AJ581))+1,"")</f>
        <v/>
      </c>
      <c r="AH581">
        <f>IF($B581="","",IF(OR($M581=TRUE(),$M581="TRUE"),1,0))</f>
        <v/>
      </c>
      <c r="AI581">
        <f>IF($B581="","",IF($V581="Yes",1,0))</f>
        <v/>
      </c>
      <c r="AJ581">
        <f>IF($AF581=1,IFERROR(IF(VALUE($B581)&lt;100000000,VALUE($B581),1000000000),IFERROR(IF(VALUE(MID($B581,2,20))&lt;100000000,VALUE(MID($B581,2,20)),1000000000),1000000000))+ROW()/100000,"")</f>
        <v/>
      </c>
    </row>
    <row r="582">
      <c r="C582" s="11" t="n"/>
      <c r="J582" s="7">
        <f>IF($B582="","",I582*Q582/100)</f>
        <v/>
      </c>
      <c r="P582" s="7" t="n"/>
      <c r="Q582" s="7" t="n"/>
      <c r="R582" s="7">
        <f>IF($B582="","",Q582*W582/100)</f>
        <v/>
      </c>
      <c r="S582" s="7">
        <f>IF($B582="","",Q582-R582)</f>
        <v/>
      </c>
      <c r="T582" s="7">
        <f>IF($B582="","",S582-J582)</f>
        <v/>
      </c>
      <c r="W582">
        <f>IF($B582="","",IF($AI582=1,0,IF($AH582=1,Settings!$C$6,Settings!$C$7))*100)</f>
        <v/>
      </c>
      <c r="AA582" s="7" t="n"/>
      <c r="AD582" s="11" t="n"/>
      <c r="AF582">
        <f>IF($B582="","",IF(COUNTIF($B$2:$B582,$B582)=1,1,0))</f>
        <v/>
      </c>
      <c r="AG582">
        <f>IF($AF582=1,SUMPRODUCT(--($AJ$2:$AJ$1501&lt;$AJ582))+1,"")</f>
        <v/>
      </c>
      <c r="AH582">
        <f>IF($B582="","",IF(OR($M582=TRUE(),$M582="TRUE"),1,0))</f>
        <v/>
      </c>
      <c r="AI582">
        <f>IF($B582="","",IF($V582="Yes",1,0))</f>
        <v/>
      </c>
      <c r="AJ582">
        <f>IF($AF582=1,IFERROR(IF(VALUE($B582)&lt;100000000,VALUE($B582),1000000000),IFERROR(IF(VALUE(MID($B582,2,20))&lt;100000000,VALUE(MID($B582,2,20)),1000000000),1000000000))+ROW()/100000,"")</f>
        <v/>
      </c>
    </row>
    <row r="583">
      <c r="C583" s="11" t="n"/>
      <c r="J583" s="7">
        <f>IF($B583="","",I583*Q583/100)</f>
        <v/>
      </c>
      <c r="P583" s="7" t="n"/>
      <c r="Q583" s="7" t="n"/>
      <c r="R583" s="7">
        <f>IF($B583="","",Q583*W583/100)</f>
        <v/>
      </c>
      <c r="S583" s="7">
        <f>IF($B583="","",Q583-R583)</f>
        <v/>
      </c>
      <c r="T583" s="7">
        <f>IF($B583="","",S583-J583)</f>
        <v/>
      </c>
      <c r="W583">
        <f>IF($B583="","",IF($AI583=1,0,IF($AH583=1,Settings!$C$6,Settings!$C$7))*100)</f>
        <v/>
      </c>
      <c r="AA583" s="7" t="n"/>
      <c r="AD583" s="11" t="n"/>
      <c r="AF583">
        <f>IF($B583="","",IF(COUNTIF($B$2:$B583,$B583)=1,1,0))</f>
        <v/>
      </c>
      <c r="AG583">
        <f>IF($AF583=1,SUMPRODUCT(--($AJ$2:$AJ$1501&lt;$AJ583))+1,"")</f>
        <v/>
      </c>
      <c r="AH583">
        <f>IF($B583="","",IF(OR($M583=TRUE(),$M583="TRUE"),1,0))</f>
        <v/>
      </c>
      <c r="AI583">
        <f>IF($B583="","",IF($V583="Yes",1,0))</f>
        <v/>
      </c>
      <c r="AJ583">
        <f>IF($AF583=1,IFERROR(IF(VALUE($B583)&lt;100000000,VALUE($B583),1000000000),IFERROR(IF(VALUE(MID($B583,2,20))&lt;100000000,VALUE(MID($B583,2,20)),1000000000),1000000000))+ROW()/100000,"")</f>
        <v/>
      </c>
    </row>
    <row r="584">
      <c r="C584" s="11" t="n"/>
      <c r="J584" s="7">
        <f>IF($B584="","",I584*Q584/100)</f>
        <v/>
      </c>
      <c r="P584" s="7" t="n"/>
      <c r="Q584" s="7" t="n"/>
      <c r="R584" s="7">
        <f>IF($B584="","",Q584*W584/100)</f>
        <v/>
      </c>
      <c r="S584" s="7">
        <f>IF($B584="","",Q584-R584)</f>
        <v/>
      </c>
      <c r="T584" s="7">
        <f>IF($B584="","",S584-J584)</f>
        <v/>
      </c>
      <c r="W584">
        <f>IF($B584="","",IF($AI584=1,0,IF($AH584=1,Settings!$C$6,Settings!$C$7))*100)</f>
        <v/>
      </c>
      <c r="AA584" s="7" t="n"/>
      <c r="AD584" s="11" t="n"/>
      <c r="AF584">
        <f>IF($B584="","",IF(COUNTIF($B$2:$B584,$B584)=1,1,0))</f>
        <v/>
      </c>
      <c r="AG584">
        <f>IF($AF584=1,SUMPRODUCT(--($AJ$2:$AJ$1501&lt;$AJ584))+1,"")</f>
        <v/>
      </c>
      <c r="AH584">
        <f>IF($B584="","",IF(OR($M584=TRUE(),$M584="TRUE"),1,0))</f>
        <v/>
      </c>
      <c r="AI584">
        <f>IF($B584="","",IF($V584="Yes",1,0))</f>
        <v/>
      </c>
      <c r="AJ584">
        <f>IF($AF584=1,IFERROR(IF(VALUE($B584)&lt;100000000,VALUE($B584),1000000000),IFERROR(IF(VALUE(MID($B584,2,20))&lt;100000000,VALUE(MID($B584,2,20)),1000000000),1000000000))+ROW()/100000,"")</f>
        <v/>
      </c>
    </row>
    <row r="585">
      <c r="C585" s="11" t="n"/>
      <c r="J585" s="7">
        <f>IF($B585="","",I585*Q585/100)</f>
        <v/>
      </c>
      <c r="P585" s="7" t="n"/>
      <c r="Q585" s="7" t="n"/>
      <c r="R585" s="7">
        <f>IF($B585="","",Q585*W585/100)</f>
        <v/>
      </c>
      <c r="S585" s="7">
        <f>IF($B585="","",Q585-R585)</f>
        <v/>
      </c>
      <c r="T585" s="7">
        <f>IF($B585="","",S585-J585)</f>
        <v/>
      </c>
      <c r="W585">
        <f>IF($B585="","",IF($AI585=1,0,IF($AH585=1,Settings!$C$6,Settings!$C$7))*100)</f>
        <v/>
      </c>
      <c r="AA585" s="7" t="n"/>
      <c r="AD585" s="11" t="n"/>
      <c r="AF585">
        <f>IF($B585="","",IF(COUNTIF($B$2:$B585,$B585)=1,1,0))</f>
        <v/>
      </c>
      <c r="AG585">
        <f>IF($AF585=1,SUMPRODUCT(--($AJ$2:$AJ$1501&lt;$AJ585))+1,"")</f>
        <v/>
      </c>
      <c r="AH585">
        <f>IF($B585="","",IF(OR($M585=TRUE(),$M585="TRUE"),1,0))</f>
        <v/>
      </c>
      <c r="AI585">
        <f>IF($B585="","",IF($V585="Yes",1,0))</f>
        <v/>
      </c>
      <c r="AJ585">
        <f>IF($AF585=1,IFERROR(IF(VALUE($B585)&lt;100000000,VALUE($B585),1000000000),IFERROR(IF(VALUE(MID($B585,2,20))&lt;100000000,VALUE(MID($B585,2,20)),1000000000),1000000000))+ROW()/100000,"")</f>
        <v/>
      </c>
    </row>
    <row r="586">
      <c r="C586" s="11" t="n"/>
      <c r="J586" s="7">
        <f>IF($B586="","",I586*Q586/100)</f>
        <v/>
      </c>
      <c r="P586" s="7" t="n"/>
      <c r="Q586" s="7" t="n"/>
      <c r="R586" s="7">
        <f>IF($B586="","",Q586*W586/100)</f>
        <v/>
      </c>
      <c r="S586" s="7">
        <f>IF($B586="","",Q586-R586)</f>
        <v/>
      </c>
      <c r="T586" s="7">
        <f>IF($B586="","",S586-J586)</f>
        <v/>
      </c>
      <c r="W586">
        <f>IF($B586="","",IF($AI586=1,0,IF($AH586=1,Settings!$C$6,Settings!$C$7))*100)</f>
        <v/>
      </c>
      <c r="AA586" s="7" t="n"/>
      <c r="AD586" s="11" t="n"/>
      <c r="AF586">
        <f>IF($B586="","",IF(COUNTIF($B$2:$B586,$B586)=1,1,0))</f>
        <v/>
      </c>
      <c r="AG586">
        <f>IF($AF586=1,SUMPRODUCT(--($AJ$2:$AJ$1501&lt;$AJ586))+1,"")</f>
        <v/>
      </c>
      <c r="AH586">
        <f>IF($B586="","",IF(OR($M586=TRUE(),$M586="TRUE"),1,0))</f>
        <v/>
      </c>
      <c r="AI586">
        <f>IF($B586="","",IF($V586="Yes",1,0))</f>
        <v/>
      </c>
      <c r="AJ586">
        <f>IF($AF586=1,IFERROR(IF(VALUE($B586)&lt;100000000,VALUE($B586),1000000000),IFERROR(IF(VALUE(MID($B586,2,20))&lt;100000000,VALUE(MID($B586,2,20)),1000000000),1000000000))+ROW()/100000,"")</f>
        <v/>
      </c>
    </row>
    <row r="587">
      <c r="C587" s="11" t="n"/>
      <c r="J587" s="7">
        <f>IF($B587="","",I587*Q587/100)</f>
        <v/>
      </c>
      <c r="P587" s="7" t="n"/>
      <c r="Q587" s="7" t="n"/>
      <c r="R587" s="7">
        <f>IF($B587="","",Q587*W587/100)</f>
        <v/>
      </c>
      <c r="S587" s="7">
        <f>IF($B587="","",Q587-R587)</f>
        <v/>
      </c>
      <c r="T587" s="7">
        <f>IF($B587="","",S587-J587)</f>
        <v/>
      </c>
      <c r="W587">
        <f>IF($B587="","",IF($AI587=1,0,IF($AH587=1,Settings!$C$6,Settings!$C$7))*100)</f>
        <v/>
      </c>
      <c r="AA587" s="7" t="n"/>
      <c r="AD587" s="11" t="n"/>
      <c r="AF587">
        <f>IF($B587="","",IF(COUNTIF($B$2:$B587,$B587)=1,1,0))</f>
        <v/>
      </c>
      <c r="AG587">
        <f>IF($AF587=1,SUMPRODUCT(--($AJ$2:$AJ$1501&lt;$AJ587))+1,"")</f>
        <v/>
      </c>
      <c r="AH587">
        <f>IF($B587="","",IF(OR($M587=TRUE(),$M587="TRUE"),1,0))</f>
        <v/>
      </c>
      <c r="AI587">
        <f>IF($B587="","",IF($V587="Yes",1,0))</f>
        <v/>
      </c>
      <c r="AJ587">
        <f>IF($AF587=1,IFERROR(IF(VALUE($B587)&lt;100000000,VALUE($B587),1000000000),IFERROR(IF(VALUE(MID($B587,2,20))&lt;100000000,VALUE(MID($B587,2,20)),1000000000),1000000000))+ROW()/100000,"")</f>
        <v/>
      </c>
    </row>
    <row r="588">
      <c r="C588" s="11" t="n"/>
      <c r="J588" s="7">
        <f>IF($B588="","",I588*Q588/100)</f>
        <v/>
      </c>
      <c r="P588" s="7" t="n"/>
      <c r="Q588" s="7" t="n"/>
      <c r="R588" s="7">
        <f>IF($B588="","",Q588*W588/100)</f>
        <v/>
      </c>
      <c r="S588" s="7">
        <f>IF($B588="","",Q588-R588)</f>
        <v/>
      </c>
      <c r="T588" s="7">
        <f>IF($B588="","",S588-J588)</f>
        <v/>
      </c>
      <c r="W588">
        <f>IF($B588="","",IF($AI588=1,0,IF($AH588=1,Settings!$C$6,Settings!$C$7))*100)</f>
        <v/>
      </c>
      <c r="AA588" s="7" t="n"/>
      <c r="AD588" s="11" t="n"/>
      <c r="AF588">
        <f>IF($B588="","",IF(COUNTIF($B$2:$B588,$B588)=1,1,0))</f>
        <v/>
      </c>
      <c r="AG588">
        <f>IF($AF588=1,SUMPRODUCT(--($AJ$2:$AJ$1501&lt;$AJ588))+1,"")</f>
        <v/>
      </c>
      <c r="AH588">
        <f>IF($B588="","",IF(OR($M588=TRUE(),$M588="TRUE"),1,0))</f>
        <v/>
      </c>
      <c r="AI588">
        <f>IF($B588="","",IF($V588="Yes",1,0))</f>
        <v/>
      </c>
      <c r="AJ588">
        <f>IF($AF588=1,IFERROR(IF(VALUE($B588)&lt;100000000,VALUE($B588),1000000000),IFERROR(IF(VALUE(MID($B588,2,20))&lt;100000000,VALUE(MID($B588,2,20)),1000000000),1000000000))+ROW()/100000,"")</f>
        <v/>
      </c>
    </row>
    <row r="589">
      <c r="C589" s="11" t="n"/>
      <c r="J589" s="7">
        <f>IF($B589="","",I589*Q589/100)</f>
        <v/>
      </c>
      <c r="P589" s="7" t="n"/>
      <c r="Q589" s="7" t="n"/>
      <c r="R589" s="7">
        <f>IF($B589="","",Q589*W589/100)</f>
        <v/>
      </c>
      <c r="S589" s="7">
        <f>IF($B589="","",Q589-R589)</f>
        <v/>
      </c>
      <c r="T589" s="7">
        <f>IF($B589="","",S589-J589)</f>
        <v/>
      </c>
      <c r="W589">
        <f>IF($B589="","",IF($AI589=1,0,IF($AH589=1,Settings!$C$6,Settings!$C$7))*100)</f>
        <v/>
      </c>
      <c r="AA589" s="7" t="n"/>
      <c r="AD589" s="11" t="n"/>
      <c r="AF589">
        <f>IF($B589="","",IF(COUNTIF($B$2:$B589,$B589)=1,1,0))</f>
        <v/>
      </c>
      <c r="AG589">
        <f>IF($AF589=1,SUMPRODUCT(--($AJ$2:$AJ$1501&lt;$AJ589))+1,"")</f>
        <v/>
      </c>
      <c r="AH589">
        <f>IF($B589="","",IF(OR($M589=TRUE(),$M589="TRUE"),1,0))</f>
        <v/>
      </c>
      <c r="AI589">
        <f>IF($B589="","",IF($V589="Yes",1,0))</f>
        <v/>
      </c>
      <c r="AJ589">
        <f>IF($AF589=1,IFERROR(IF(VALUE($B589)&lt;100000000,VALUE($B589),1000000000),IFERROR(IF(VALUE(MID($B589,2,20))&lt;100000000,VALUE(MID($B589,2,20)),1000000000),1000000000))+ROW()/100000,"")</f>
        <v/>
      </c>
    </row>
    <row r="590">
      <c r="C590" s="11" t="n"/>
      <c r="J590" s="7">
        <f>IF($B590="","",I590*Q590/100)</f>
        <v/>
      </c>
      <c r="P590" s="7" t="n"/>
      <c r="Q590" s="7" t="n"/>
      <c r="R590" s="7">
        <f>IF($B590="","",Q590*W590/100)</f>
        <v/>
      </c>
      <c r="S590" s="7">
        <f>IF($B590="","",Q590-R590)</f>
        <v/>
      </c>
      <c r="T590" s="7">
        <f>IF($B590="","",S590-J590)</f>
        <v/>
      </c>
      <c r="W590">
        <f>IF($B590="","",IF($AI590=1,0,IF($AH590=1,Settings!$C$6,Settings!$C$7))*100)</f>
        <v/>
      </c>
      <c r="AA590" s="7" t="n"/>
      <c r="AD590" s="11" t="n"/>
      <c r="AF590">
        <f>IF($B590="","",IF(COUNTIF($B$2:$B590,$B590)=1,1,0))</f>
        <v/>
      </c>
      <c r="AG590">
        <f>IF($AF590=1,SUMPRODUCT(--($AJ$2:$AJ$1501&lt;$AJ590))+1,"")</f>
        <v/>
      </c>
      <c r="AH590">
        <f>IF($B590="","",IF(OR($M590=TRUE(),$M590="TRUE"),1,0))</f>
        <v/>
      </c>
      <c r="AI590">
        <f>IF($B590="","",IF($V590="Yes",1,0))</f>
        <v/>
      </c>
      <c r="AJ590">
        <f>IF($AF590=1,IFERROR(IF(VALUE($B590)&lt;100000000,VALUE($B590),1000000000),IFERROR(IF(VALUE(MID($B590,2,20))&lt;100000000,VALUE(MID($B590,2,20)),1000000000),1000000000))+ROW()/100000,"")</f>
        <v/>
      </c>
    </row>
    <row r="591">
      <c r="C591" s="11" t="n"/>
      <c r="J591" s="7">
        <f>IF($B591="","",I591*Q591/100)</f>
        <v/>
      </c>
      <c r="P591" s="7" t="n"/>
      <c r="Q591" s="7" t="n"/>
      <c r="R591" s="7">
        <f>IF($B591="","",Q591*W591/100)</f>
        <v/>
      </c>
      <c r="S591" s="7">
        <f>IF($B591="","",Q591-R591)</f>
        <v/>
      </c>
      <c r="T591" s="7">
        <f>IF($B591="","",S591-J591)</f>
        <v/>
      </c>
      <c r="W591">
        <f>IF($B591="","",IF($AI591=1,0,IF($AH591=1,Settings!$C$6,Settings!$C$7))*100)</f>
        <v/>
      </c>
      <c r="AA591" s="7" t="n"/>
      <c r="AD591" s="11" t="n"/>
      <c r="AF591">
        <f>IF($B591="","",IF(COUNTIF($B$2:$B591,$B591)=1,1,0))</f>
        <v/>
      </c>
      <c r="AG591">
        <f>IF($AF591=1,SUMPRODUCT(--($AJ$2:$AJ$1501&lt;$AJ591))+1,"")</f>
        <v/>
      </c>
      <c r="AH591">
        <f>IF($B591="","",IF(OR($M591=TRUE(),$M591="TRUE"),1,0))</f>
        <v/>
      </c>
      <c r="AI591">
        <f>IF($B591="","",IF($V591="Yes",1,0))</f>
        <v/>
      </c>
      <c r="AJ591">
        <f>IF($AF591=1,IFERROR(IF(VALUE($B591)&lt;100000000,VALUE($B591),1000000000),IFERROR(IF(VALUE(MID($B591,2,20))&lt;100000000,VALUE(MID($B591,2,20)),1000000000),1000000000))+ROW()/100000,"")</f>
        <v/>
      </c>
    </row>
    <row r="592">
      <c r="C592" s="11" t="n"/>
      <c r="J592" s="7">
        <f>IF($B592="","",I592*Q592/100)</f>
        <v/>
      </c>
      <c r="P592" s="7" t="n"/>
      <c r="Q592" s="7" t="n"/>
      <c r="R592" s="7">
        <f>IF($B592="","",Q592*W592/100)</f>
        <v/>
      </c>
      <c r="S592" s="7">
        <f>IF($B592="","",Q592-R592)</f>
        <v/>
      </c>
      <c r="T592" s="7">
        <f>IF($B592="","",S592-J592)</f>
        <v/>
      </c>
      <c r="W592">
        <f>IF($B592="","",IF($AI592=1,0,IF($AH592=1,Settings!$C$6,Settings!$C$7))*100)</f>
        <v/>
      </c>
      <c r="AA592" s="7" t="n"/>
      <c r="AD592" s="11" t="n"/>
      <c r="AF592">
        <f>IF($B592="","",IF(COUNTIF($B$2:$B592,$B592)=1,1,0))</f>
        <v/>
      </c>
      <c r="AG592">
        <f>IF($AF592=1,SUMPRODUCT(--($AJ$2:$AJ$1501&lt;$AJ592))+1,"")</f>
        <v/>
      </c>
      <c r="AH592">
        <f>IF($B592="","",IF(OR($M592=TRUE(),$M592="TRUE"),1,0))</f>
        <v/>
      </c>
      <c r="AI592">
        <f>IF($B592="","",IF($V592="Yes",1,0))</f>
        <v/>
      </c>
      <c r="AJ592">
        <f>IF($AF592=1,IFERROR(IF(VALUE($B592)&lt;100000000,VALUE($B592),1000000000),IFERROR(IF(VALUE(MID($B592,2,20))&lt;100000000,VALUE(MID($B592,2,20)),1000000000),1000000000))+ROW()/100000,"")</f>
        <v/>
      </c>
    </row>
    <row r="593">
      <c r="C593" s="11" t="n"/>
      <c r="J593" s="7">
        <f>IF($B593="","",I593*Q593/100)</f>
        <v/>
      </c>
      <c r="P593" s="7" t="n"/>
      <c r="Q593" s="7" t="n"/>
      <c r="R593" s="7">
        <f>IF($B593="","",Q593*W593/100)</f>
        <v/>
      </c>
      <c r="S593" s="7">
        <f>IF($B593="","",Q593-R593)</f>
        <v/>
      </c>
      <c r="T593" s="7">
        <f>IF($B593="","",S593-J593)</f>
        <v/>
      </c>
      <c r="W593">
        <f>IF($B593="","",IF($AI593=1,0,IF($AH593=1,Settings!$C$6,Settings!$C$7))*100)</f>
        <v/>
      </c>
      <c r="AA593" s="7" t="n"/>
      <c r="AD593" s="11" t="n"/>
      <c r="AF593">
        <f>IF($B593="","",IF(COUNTIF($B$2:$B593,$B593)=1,1,0))</f>
        <v/>
      </c>
      <c r="AG593">
        <f>IF($AF593=1,SUMPRODUCT(--($AJ$2:$AJ$1501&lt;$AJ593))+1,"")</f>
        <v/>
      </c>
      <c r="AH593">
        <f>IF($B593="","",IF(OR($M593=TRUE(),$M593="TRUE"),1,0))</f>
        <v/>
      </c>
      <c r="AI593">
        <f>IF($B593="","",IF($V593="Yes",1,0))</f>
        <v/>
      </c>
      <c r="AJ593">
        <f>IF($AF593=1,IFERROR(IF(VALUE($B593)&lt;100000000,VALUE($B593),1000000000),IFERROR(IF(VALUE(MID($B593,2,20))&lt;100000000,VALUE(MID($B593,2,20)),1000000000),1000000000))+ROW()/100000,"")</f>
        <v/>
      </c>
    </row>
    <row r="594">
      <c r="C594" s="11" t="n"/>
      <c r="J594" s="7">
        <f>IF($B594="","",I594*Q594/100)</f>
        <v/>
      </c>
      <c r="P594" s="7" t="n"/>
      <c r="Q594" s="7" t="n"/>
      <c r="R594" s="7">
        <f>IF($B594="","",Q594*W594/100)</f>
        <v/>
      </c>
      <c r="S594" s="7">
        <f>IF($B594="","",Q594-R594)</f>
        <v/>
      </c>
      <c r="T594" s="7">
        <f>IF($B594="","",S594-J594)</f>
        <v/>
      </c>
      <c r="W594">
        <f>IF($B594="","",IF($AI594=1,0,IF($AH594=1,Settings!$C$6,Settings!$C$7))*100)</f>
        <v/>
      </c>
      <c r="AA594" s="7" t="n"/>
      <c r="AD594" s="11" t="n"/>
      <c r="AF594">
        <f>IF($B594="","",IF(COUNTIF($B$2:$B594,$B594)=1,1,0))</f>
        <v/>
      </c>
      <c r="AG594">
        <f>IF($AF594=1,SUMPRODUCT(--($AJ$2:$AJ$1501&lt;$AJ594))+1,"")</f>
        <v/>
      </c>
      <c r="AH594">
        <f>IF($B594="","",IF(OR($M594=TRUE(),$M594="TRUE"),1,0))</f>
        <v/>
      </c>
      <c r="AI594">
        <f>IF($B594="","",IF($V594="Yes",1,0))</f>
        <v/>
      </c>
      <c r="AJ594">
        <f>IF($AF594=1,IFERROR(IF(VALUE($B594)&lt;100000000,VALUE($B594),1000000000),IFERROR(IF(VALUE(MID($B594,2,20))&lt;100000000,VALUE(MID($B594,2,20)),1000000000),1000000000))+ROW()/100000,"")</f>
        <v/>
      </c>
    </row>
    <row r="595">
      <c r="C595" s="11" t="n"/>
      <c r="J595" s="7">
        <f>IF($B595="","",I595*Q595/100)</f>
        <v/>
      </c>
      <c r="P595" s="7" t="n"/>
      <c r="Q595" s="7" t="n"/>
      <c r="R595" s="7">
        <f>IF($B595="","",Q595*W595/100)</f>
        <v/>
      </c>
      <c r="S595" s="7">
        <f>IF($B595="","",Q595-R595)</f>
        <v/>
      </c>
      <c r="T595" s="7">
        <f>IF($B595="","",S595-J595)</f>
        <v/>
      </c>
      <c r="W595">
        <f>IF($B595="","",IF($AI595=1,0,IF($AH595=1,Settings!$C$6,Settings!$C$7))*100)</f>
        <v/>
      </c>
      <c r="AA595" s="7" t="n"/>
      <c r="AD595" s="11" t="n"/>
      <c r="AF595">
        <f>IF($B595="","",IF(COUNTIF($B$2:$B595,$B595)=1,1,0))</f>
        <v/>
      </c>
      <c r="AG595">
        <f>IF($AF595=1,SUMPRODUCT(--($AJ$2:$AJ$1501&lt;$AJ595))+1,"")</f>
        <v/>
      </c>
      <c r="AH595">
        <f>IF($B595="","",IF(OR($M595=TRUE(),$M595="TRUE"),1,0))</f>
        <v/>
      </c>
      <c r="AI595">
        <f>IF($B595="","",IF($V595="Yes",1,0))</f>
        <v/>
      </c>
      <c r="AJ595">
        <f>IF($AF595=1,IFERROR(IF(VALUE($B595)&lt;100000000,VALUE($B595),1000000000),IFERROR(IF(VALUE(MID($B595,2,20))&lt;100000000,VALUE(MID($B595,2,20)),1000000000),1000000000))+ROW()/100000,"")</f>
        <v/>
      </c>
    </row>
    <row r="596">
      <c r="C596" s="11" t="n"/>
      <c r="J596" s="7">
        <f>IF($B596="","",I596*Q596/100)</f>
        <v/>
      </c>
      <c r="P596" s="7" t="n"/>
      <c r="Q596" s="7" t="n"/>
      <c r="R596" s="7">
        <f>IF($B596="","",Q596*W596/100)</f>
        <v/>
      </c>
      <c r="S596" s="7">
        <f>IF($B596="","",Q596-R596)</f>
        <v/>
      </c>
      <c r="T596" s="7">
        <f>IF($B596="","",S596-J596)</f>
        <v/>
      </c>
      <c r="W596">
        <f>IF($B596="","",IF($AI596=1,0,IF($AH596=1,Settings!$C$6,Settings!$C$7))*100)</f>
        <v/>
      </c>
      <c r="AA596" s="7" t="n"/>
      <c r="AD596" s="11" t="n"/>
      <c r="AF596">
        <f>IF($B596="","",IF(COUNTIF($B$2:$B596,$B596)=1,1,0))</f>
        <v/>
      </c>
      <c r="AG596">
        <f>IF($AF596=1,SUMPRODUCT(--($AJ$2:$AJ$1501&lt;$AJ596))+1,"")</f>
        <v/>
      </c>
      <c r="AH596">
        <f>IF($B596="","",IF(OR($M596=TRUE(),$M596="TRUE"),1,0))</f>
        <v/>
      </c>
      <c r="AI596">
        <f>IF($B596="","",IF($V596="Yes",1,0))</f>
        <v/>
      </c>
      <c r="AJ596">
        <f>IF($AF596=1,IFERROR(IF(VALUE($B596)&lt;100000000,VALUE($B596),1000000000),IFERROR(IF(VALUE(MID($B596,2,20))&lt;100000000,VALUE(MID($B596,2,20)),1000000000),1000000000))+ROW()/100000,"")</f>
        <v/>
      </c>
    </row>
    <row r="597">
      <c r="C597" s="11" t="n"/>
      <c r="J597" s="7">
        <f>IF($B597="","",I597*Q597/100)</f>
        <v/>
      </c>
      <c r="P597" s="7" t="n"/>
      <c r="Q597" s="7" t="n"/>
      <c r="R597" s="7">
        <f>IF($B597="","",Q597*W597/100)</f>
        <v/>
      </c>
      <c r="S597" s="7">
        <f>IF($B597="","",Q597-R597)</f>
        <v/>
      </c>
      <c r="T597" s="7">
        <f>IF($B597="","",S597-J597)</f>
        <v/>
      </c>
      <c r="W597">
        <f>IF($B597="","",IF($AI597=1,0,IF($AH597=1,Settings!$C$6,Settings!$C$7))*100)</f>
        <v/>
      </c>
      <c r="AA597" s="7" t="n"/>
      <c r="AD597" s="11" t="n"/>
      <c r="AF597">
        <f>IF($B597="","",IF(COUNTIF($B$2:$B597,$B597)=1,1,0))</f>
        <v/>
      </c>
      <c r="AG597">
        <f>IF($AF597=1,SUMPRODUCT(--($AJ$2:$AJ$1501&lt;$AJ597))+1,"")</f>
        <v/>
      </c>
      <c r="AH597">
        <f>IF($B597="","",IF(OR($M597=TRUE(),$M597="TRUE"),1,0))</f>
        <v/>
      </c>
      <c r="AI597">
        <f>IF($B597="","",IF($V597="Yes",1,0))</f>
        <v/>
      </c>
      <c r="AJ597">
        <f>IF($AF597=1,IFERROR(IF(VALUE($B597)&lt;100000000,VALUE($B597),1000000000),IFERROR(IF(VALUE(MID($B597,2,20))&lt;100000000,VALUE(MID($B597,2,20)),1000000000),1000000000))+ROW()/100000,"")</f>
        <v/>
      </c>
    </row>
    <row r="598">
      <c r="C598" s="11" t="n"/>
      <c r="J598" s="7">
        <f>IF($B598="","",I598*Q598/100)</f>
        <v/>
      </c>
      <c r="P598" s="7" t="n"/>
      <c r="Q598" s="7" t="n"/>
      <c r="R598" s="7">
        <f>IF($B598="","",Q598*W598/100)</f>
        <v/>
      </c>
      <c r="S598" s="7">
        <f>IF($B598="","",Q598-R598)</f>
        <v/>
      </c>
      <c r="T598" s="7">
        <f>IF($B598="","",S598-J598)</f>
        <v/>
      </c>
      <c r="W598">
        <f>IF($B598="","",IF($AI598=1,0,IF($AH598=1,Settings!$C$6,Settings!$C$7))*100)</f>
        <v/>
      </c>
      <c r="AA598" s="7" t="n"/>
      <c r="AD598" s="11" t="n"/>
      <c r="AF598">
        <f>IF($B598="","",IF(COUNTIF($B$2:$B598,$B598)=1,1,0))</f>
        <v/>
      </c>
      <c r="AG598">
        <f>IF($AF598=1,SUMPRODUCT(--($AJ$2:$AJ$1501&lt;$AJ598))+1,"")</f>
        <v/>
      </c>
      <c r="AH598">
        <f>IF($B598="","",IF(OR($M598=TRUE(),$M598="TRUE"),1,0))</f>
        <v/>
      </c>
      <c r="AI598">
        <f>IF($B598="","",IF($V598="Yes",1,0))</f>
        <v/>
      </c>
      <c r="AJ598">
        <f>IF($AF598=1,IFERROR(IF(VALUE($B598)&lt;100000000,VALUE($B598),1000000000),IFERROR(IF(VALUE(MID($B598,2,20))&lt;100000000,VALUE(MID($B598,2,20)),1000000000),1000000000))+ROW()/100000,"")</f>
        <v/>
      </c>
    </row>
    <row r="599">
      <c r="C599" s="11" t="n"/>
      <c r="J599" s="7">
        <f>IF($B599="","",I599*Q599/100)</f>
        <v/>
      </c>
      <c r="P599" s="7" t="n"/>
      <c r="Q599" s="7" t="n"/>
      <c r="R599" s="7">
        <f>IF($B599="","",Q599*W599/100)</f>
        <v/>
      </c>
      <c r="S599" s="7">
        <f>IF($B599="","",Q599-R599)</f>
        <v/>
      </c>
      <c r="T599" s="7">
        <f>IF($B599="","",S599-J599)</f>
        <v/>
      </c>
      <c r="W599">
        <f>IF($B599="","",IF($AI599=1,0,IF($AH599=1,Settings!$C$6,Settings!$C$7))*100)</f>
        <v/>
      </c>
      <c r="AA599" s="7" t="n"/>
      <c r="AD599" s="11" t="n"/>
      <c r="AF599">
        <f>IF($B599="","",IF(COUNTIF($B$2:$B599,$B599)=1,1,0))</f>
        <v/>
      </c>
      <c r="AG599">
        <f>IF($AF599=1,SUMPRODUCT(--($AJ$2:$AJ$1501&lt;$AJ599))+1,"")</f>
        <v/>
      </c>
      <c r="AH599">
        <f>IF($B599="","",IF(OR($M599=TRUE(),$M599="TRUE"),1,0))</f>
        <v/>
      </c>
      <c r="AI599">
        <f>IF($B599="","",IF($V599="Yes",1,0))</f>
        <v/>
      </c>
      <c r="AJ599">
        <f>IF($AF599=1,IFERROR(IF(VALUE($B599)&lt;100000000,VALUE($B599),1000000000),IFERROR(IF(VALUE(MID($B599,2,20))&lt;100000000,VALUE(MID($B599,2,20)),1000000000),1000000000))+ROW()/100000,"")</f>
        <v/>
      </c>
    </row>
    <row r="600">
      <c r="C600" s="11" t="n"/>
      <c r="J600" s="7">
        <f>IF($B600="","",I600*Q600/100)</f>
        <v/>
      </c>
      <c r="P600" s="7" t="n"/>
      <c r="Q600" s="7" t="n"/>
      <c r="R600" s="7">
        <f>IF($B600="","",Q600*W600/100)</f>
        <v/>
      </c>
      <c r="S600" s="7">
        <f>IF($B600="","",Q600-R600)</f>
        <v/>
      </c>
      <c r="T600" s="7">
        <f>IF($B600="","",S600-J600)</f>
        <v/>
      </c>
      <c r="W600">
        <f>IF($B600="","",IF($AI600=1,0,IF($AH600=1,Settings!$C$6,Settings!$C$7))*100)</f>
        <v/>
      </c>
      <c r="AA600" s="7" t="n"/>
      <c r="AD600" s="11" t="n"/>
      <c r="AF600">
        <f>IF($B600="","",IF(COUNTIF($B$2:$B600,$B600)=1,1,0))</f>
        <v/>
      </c>
      <c r="AG600">
        <f>IF($AF600=1,SUMPRODUCT(--($AJ$2:$AJ$1501&lt;$AJ600))+1,"")</f>
        <v/>
      </c>
      <c r="AH600">
        <f>IF($B600="","",IF(OR($M600=TRUE(),$M600="TRUE"),1,0))</f>
        <v/>
      </c>
      <c r="AI600">
        <f>IF($B600="","",IF($V600="Yes",1,0))</f>
        <v/>
      </c>
      <c r="AJ600">
        <f>IF($AF600=1,IFERROR(IF(VALUE($B600)&lt;100000000,VALUE($B600),1000000000),IFERROR(IF(VALUE(MID($B600,2,20))&lt;100000000,VALUE(MID($B600,2,20)),1000000000),1000000000))+ROW()/100000,"")</f>
        <v/>
      </c>
    </row>
    <row r="601">
      <c r="C601" s="11" t="n"/>
      <c r="J601" s="7">
        <f>IF($B601="","",I601*Q601/100)</f>
        <v/>
      </c>
      <c r="P601" s="7" t="n"/>
      <c r="Q601" s="7" t="n"/>
      <c r="R601" s="7">
        <f>IF($B601="","",Q601*W601/100)</f>
        <v/>
      </c>
      <c r="S601" s="7">
        <f>IF($B601="","",Q601-R601)</f>
        <v/>
      </c>
      <c r="T601" s="7">
        <f>IF($B601="","",S601-J601)</f>
        <v/>
      </c>
      <c r="W601">
        <f>IF($B601="","",IF($AI601=1,0,IF($AH601=1,Settings!$C$6,Settings!$C$7))*100)</f>
        <v/>
      </c>
      <c r="AA601" s="7" t="n"/>
      <c r="AD601" s="11" t="n"/>
      <c r="AF601">
        <f>IF($B601="","",IF(COUNTIF($B$2:$B601,$B601)=1,1,0))</f>
        <v/>
      </c>
      <c r="AG601">
        <f>IF($AF601=1,SUMPRODUCT(--($AJ$2:$AJ$1501&lt;$AJ601))+1,"")</f>
        <v/>
      </c>
      <c r="AH601">
        <f>IF($B601="","",IF(OR($M601=TRUE(),$M601="TRUE"),1,0))</f>
        <v/>
      </c>
      <c r="AI601">
        <f>IF($B601="","",IF($V601="Yes",1,0))</f>
        <v/>
      </c>
      <c r="AJ601">
        <f>IF($AF601=1,IFERROR(IF(VALUE($B601)&lt;100000000,VALUE($B601),1000000000),IFERROR(IF(VALUE(MID($B601,2,20))&lt;100000000,VALUE(MID($B601,2,20)),1000000000),1000000000))+ROW()/100000,"")</f>
        <v/>
      </c>
    </row>
    <row r="602">
      <c r="C602" s="11" t="n"/>
      <c r="J602" s="7">
        <f>IF($B602="","",I602*Q602/100)</f>
        <v/>
      </c>
      <c r="P602" s="7" t="n"/>
      <c r="Q602" s="7" t="n"/>
      <c r="R602" s="7">
        <f>IF($B602="","",Q602*W602/100)</f>
        <v/>
      </c>
      <c r="S602" s="7">
        <f>IF($B602="","",Q602-R602)</f>
        <v/>
      </c>
      <c r="T602" s="7">
        <f>IF($B602="","",S602-J602)</f>
        <v/>
      </c>
      <c r="W602">
        <f>IF($B602="","",IF($AI602=1,0,IF($AH602=1,Settings!$C$6,Settings!$C$7))*100)</f>
        <v/>
      </c>
      <c r="AA602" s="7" t="n"/>
      <c r="AD602" s="11" t="n"/>
      <c r="AF602">
        <f>IF($B602="","",IF(COUNTIF($B$2:$B602,$B602)=1,1,0))</f>
        <v/>
      </c>
      <c r="AG602">
        <f>IF($AF602=1,SUMPRODUCT(--($AJ$2:$AJ$1501&lt;$AJ602))+1,"")</f>
        <v/>
      </c>
      <c r="AH602">
        <f>IF($B602="","",IF(OR($M602=TRUE(),$M602="TRUE"),1,0))</f>
        <v/>
      </c>
      <c r="AI602">
        <f>IF($B602="","",IF($V602="Yes",1,0))</f>
        <v/>
      </c>
      <c r="AJ602">
        <f>IF($AF602=1,IFERROR(IF(VALUE($B602)&lt;100000000,VALUE($B602),1000000000),IFERROR(IF(VALUE(MID($B602,2,20))&lt;100000000,VALUE(MID($B602,2,20)),1000000000),1000000000))+ROW()/100000,"")</f>
        <v/>
      </c>
    </row>
    <row r="603">
      <c r="C603" s="11" t="n"/>
      <c r="J603" s="7">
        <f>IF($B603="","",I603*Q603/100)</f>
        <v/>
      </c>
      <c r="P603" s="7" t="n"/>
      <c r="Q603" s="7" t="n"/>
      <c r="R603" s="7">
        <f>IF($B603="","",Q603*W603/100)</f>
        <v/>
      </c>
      <c r="S603" s="7">
        <f>IF($B603="","",Q603-R603)</f>
        <v/>
      </c>
      <c r="T603" s="7">
        <f>IF($B603="","",S603-J603)</f>
        <v/>
      </c>
      <c r="W603">
        <f>IF($B603="","",IF($AI603=1,0,IF($AH603=1,Settings!$C$6,Settings!$C$7))*100)</f>
        <v/>
      </c>
      <c r="AA603" s="7" t="n"/>
      <c r="AD603" s="11" t="n"/>
      <c r="AF603">
        <f>IF($B603="","",IF(COUNTIF($B$2:$B603,$B603)=1,1,0))</f>
        <v/>
      </c>
      <c r="AG603">
        <f>IF($AF603=1,SUMPRODUCT(--($AJ$2:$AJ$1501&lt;$AJ603))+1,"")</f>
        <v/>
      </c>
      <c r="AH603">
        <f>IF($B603="","",IF(OR($M603=TRUE(),$M603="TRUE"),1,0))</f>
        <v/>
      </c>
      <c r="AI603">
        <f>IF($B603="","",IF($V603="Yes",1,0))</f>
        <v/>
      </c>
      <c r="AJ603">
        <f>IF($AF603=1,IFERROR(IF(VALUE($B603)&lt;100000000,VALUE($B603),1000000000),IFERROR(IF(VALUE(MID($B603,2,20))&lt;100000000,VALUE(MID($B603,2,20)),1000000000),1000000000))+ROW()/100000,"")</f>
        <v/>
      </c>
    </row>
    <row r="604">
      <c r="C604" s="11" t="n"/>
      <c r="J604" s="7">
        <f>IF($B604="","",I604*Q604/100)</f>
        <v/>
      </c>
      <c r="P604" s="7" t="n"/>
      <c r="Q604" s="7" t="n"/>
      <c r="R604" s="7">
        <f>IF($B604="","",Q604*W604/100)</f>
        <v/>
      </c>
      <c r="S604" s="7">
        <f>IF($B604="","",Q604-R604)</f>
        <v/>
      </c>
      <c r="T604" s="7">
        <f>IF($B604="","",S604-J604)</f>
        <v/>
      </c>
      <c r="W604">
        <f>IF($B604="","",IF($AI604=1,0,IF($AH604=1,Settings!$C$6,Settings!$C$7))*100)</f>
        <v/>
      </c>
      <c r="AA604" s="7" t="n"/>
      <c r="AD604" s="11" t="n"/>
      <c r="AF604">
        <f>IF($B604="","",IF(COUNTIF($B$2:$B604,$B604)=1,1,0))</f>
        <v/>
      </c>
      <c r="AG604">
        <f>IF($AF604=1,SUMPRODUCT(--($AJ$2:$AJ$1501&lt;$AJ604))+1,"")</f>
        <v/>
      </c>
      <c r="AH604">
        <f>IF($B604="","",IF(OR($M604=TRUE(),$M604="TRUE"),1,0))</f>
        <v/>
      </c>
      <c r="AI604">
        <f>IF($B604="","",IF($V604="Yes",1,0))</f>
        <v/>
      </c>
      <c r="AJ604">
        <f>IF($AF604=1,IFERROR(IF(VALUE($B604)&lt;100000000,VALUE($B604),1000000000),IFERROR(IF(VALUE(MID($B604,2,20))&lt;100000000,VALUE(MID($B604,2,20)),1000000000),1000000000))+ROW()/100000,"")</f>
        <v/>
      </c>
    </row>
    <row r="605">
      <c r="C605" s="11" t="n"/>
      <c r="J605" s="7">
        <f>IF($B605="","",I605*Q605/100)</f>
        <v/>
      </c>
      <c r="P605" s="7" t="n"/>
      <c r="Q605" s="7" t="n"/>
      <c r="R605" s="7">
        <f>IF($B605="","",Q605*W605/100)</f>
        <v/>
      </c>
      <c r="S605" s="7">
        <f>IF($B605="","",Q605-R605)</f>
        <v/>
      </c>
      <c r="T605" s="7">
        <f>IF($B605="","",S605-J605)</f>
        <v/>
      </c>
      <c r="W605">
        <f>IF($B605="","",IF($AI605=1,0,IF($AH605=1,Settings!$C$6,Settings!$C$7))*100)</f>
        <v/>
      </c>
      <c r="AA605" s="7" t="n"/>
      <c r="AD605" s="11" t="n"/>
      <c r="AF605">
        <f>IF($B605="","",IF(COUNTIF($B$2:$B605,$B605)=1,1,0))</f>
        <v/>
      </c>
      <c r="AG605">
        <f>IF($AF605=1,SUMPRODUCT(--($AJ$2:$AJ$1501&lt;$AJ605))+1,"")</f>
        <v/>
      </c>
      <c r="AH605">
        <f>IF($B605="","",IF(OR($M605=TRUE(),$M605="TRUE"),1,0))</f>
        <v/>
      </c>
      <c r="AI605">
        <f>IF($B605="","",IF($V605="Yes",1,0))</f>
        <v/>
      </c>
      <c r="AJ605">
        <f>IF($AF605=1,IFERROR(IF(VALUE($B605)&lt;100000000,VALUE($B605),1000000000),IFERROR(IF(VALUE(MID($B605,2,20))&lt;100000000,VALUE(MID($B605,2,20)),1000000000),1000000000))+ROW()/100000,"")</f>
        <v/>
      </c>
    </row>
    <row r="606">
      <c r="C606" s="11" t="n"/>
      <c r="J606" s="7">
        <f>IF($B606="","",I606*Q606/100)</f>
        <v/>
      </c>
      <c r="P606" s="7" t="n"/>
      <c r="Q606" s="7" t="n"/>
      <c r="R606" s="7">
        <f>IF($B606="","",Q606*W606/100)</f>
        <v/>
      </c>
      <c r="S606" s="7">
        <f>IF($B606="","",Q606-R606)</f>
        <v/>
      </c>
      <c r="T606" s="7">
        <f>IF($B606="","",S606-J606)</f>
        <v/>
      </c>
      <c r="W606">
        <f>IF($B606="","",IF($AI606=1,0,IF($AH606=1,Settings!$C$6,Settings!$C$7))*100)</f>
        <v/>
      </c>
      <c r="AA606" s="7" t="n"/>
      <c r="AD606" s="11" t="n"/>
      <c r="AF606">
        <f>IF($B606="","",IF(COUNTIF($B$2:$B606,$B606)=1,1,0))</f>
        <v/>
      </c>
      <c r="AG606">
        <f>IF($AF606=1,SUMPRODUCT(--($AJ$2:$AJ$1501&lt;$AJ606))+1,"")</f>
        <v/>
      </c>
      <c r="AH606">
        <f>IF($B606="","",IF(OR($M606=TRUE(),$M606="TRUE"),1,0))</f>
        <v/>
      </c>
      <c r="AI606">
        <f>IF($B606="","",IF($V606="Yes",1,0))</f>
        <v/>
      </c>
      <c r="AJ606">
        <f>IF($AF606=1,IFERROR(IF(VALUE($B606)&lt;100000000,VALUE($B606),1000000000),IFERROR(IF(VALUE(MID($B606,2,20))&lt;100000000,VALUE(MID($B606,2,20)),1000000000),1000000000))+ROW()/100000,"")</f>
        <v/>
      </c>
    </row>
    <row r="607">
      <c r="C607" s="11" t="n"/>
      <c r="J607" s="7">
        <f>IF($B607="","",I607*Q607/100)</f>
        <v/>
      </c>
      <c r="P607" s="7" t="n"/>
      <c r="Q607" s="7" t="n"/>
      <c r="R607" s="7">
        <f>IF($B607="","",Q607*W607/100)</f>
        <v/>
      </c>
      <c r="S607" s="7">
        <f>IF($B607="","",Q607-R607)</f>
        <v/>
      </c>
      <c r="T607" s="7">
        <f>IF($B607="","",S607-J607)</f>
        <v/>
      </c>
      <c r="W607">
        <f>IF($B607="","",IF($AI607=1,0,IF($AH607=1,Settings!$C$6,Settings!$C$7))*100)</f>
        <v/>
      </c>
      <c r="AA607" s="7" t="n"/>
      <c r="AD607" s="11" t="n"/>
      <c r="AF607">
        <f>IF($B607="","",IF(COUNTIF($B$2:$B607,$B607)=1,1,0))</f>
        <v/>
      </c>
      <c r="AG607">
        <f>IF($AF607=1,SUMPRODUCT(--($AJ$2:$AJ$1501&lt;$AJ607))+1,"")</f>
        <v/>
      </c>
      <c r="AH607">
        <f>IF($B607="","",IF(OR($M607=TRUE(),$M607="TRUE"),1,0))</f>
        <v/>
      </c>
      <c r="AI607">
        <f>IF($B607="","",IF($V607="Yes",1,0))</f>
        <v/>
      </c>
      <c r="AJ607">
        <f>IF($AF607=1,IFERROR(IF(VALUE($B607)&lt;100000000,VALUE($B607),1000000000),IFERROR(IF(VALUE(MID($B607,2,20))&lt;100000000,VALUE(MID($B607,2,20)),1000000000),1000000000))+ROW()/100000,"")</f>
        <v/>
      </c>
    </row>
    <row r="608">
      <c r="C608" s="11" t="n"/>
      <c r="J608" s="7">
        <f>IF($B608="","",I608*Q608/100)</f>
        <v/>
      </c>
      <c r="P608" s="7" t="n"/>
      <c r="Q608" s="7" t="n"/>
      <c r="R608" s="7">
        <f>IF($B608="","",Q608*W608/100)</f>
        <v/>
      </c>
      <c r="S608" s="7">
        <f>IF($B608="","",Q608-R608)</f>
        <v/>
      </c>
      <c r="T608" s="7">
        <f>IF($B608="","",S608-J608)</f>
        <v/>
      </c>
      <c r="W608">
        <f>IF($B608="","",IF($AI608=1,0,IF($AH608=1,Settings!$C$6,Settings!$C$7))*100)</f>
        <v/>
      </c>
      <c r="AA608" s="7" t="n"/>
      <c r="AD608" s="11" t="n"/>
      <c r="AF608">
        <f>IF($B608="","",IF(COUNTIF($B$2:$B608,$B608)=1,1,0))</f>
        <v/>
      </c>
      <c r="AG608">
        <f>IF($AF608=1,SUMPRODUCT(--($AJ$2:$AJ$1501&lt;$AJ608))+1,"")</f>
        <v/>
      </c>
      <c r="AH608">
        <f>IF($B608="","",IF(OR($M608=TRUE(),$M608="TRUE"),1,0))</f>
        <v/>
      </c>
      <c r="AI608">
        <f>IF($B608="","",IF($V608="Yes",1,0))</f>
        <v/>
      </c>
      <c r="AJ608">
        <f>IF($AF608=1,IFERROR(IF(VALUE($B608)&lt;100000000,VALUE($B608),1000000000),IFERROR(IF(VALUE(MID($B608,2,20))&lt;100000000,VALUE(MID($B608,2,20)),1000000000),1000000000))+ROW()/100000,"")</f>
        <v/>
      </c>
    </row>
    <row r="609">
      <c r="C609" s="11" t="n"/>
      <c r="J609" s="7">
        <f>IF($B609="","",I609*Q609/100)</f>
        <v/>
      </c>
      <c r="P609" s="7" t="n"/>
      <c r="Q609" s="7" t="n"/>
      <c r="R609" s="7">
        <f>IF($B609="","",Q609*W609/100)</f>
        <v/>
      </c>
      <c r="S609" s="7">
        <f>IF($B609="","",Q609-R609)</f>
        <v/>
      </c>
      <c r="T609" s="7">
        <f>IF($B609="","",S609-J609)</f>
        <v/>
      </c>
      <c r="W609">
        <f>IF($B609="","",IF($AI609=1,0,IF($AH609=1,Settings!$C$6,Settings!$C$7))*100)</f>
        <v/>
      </c>
      <c r="AA609" s="7" t="n"/>
      <c r="AD609" s="11" t="n"/>
      <c r="AF609">
        <f>IF($B609="","",IF(COUNTIF($B$2:$B609,$B609)=1,1,0))</f>
        <v/>
      </c>
      <c r="AG609">
        <f>IF($AF609=1,SUMPRODUCT(--($AJ$2:$AJ$1501&lt;$AJ609))+1,"")</f>
        <v/>
      </c>
      <c r="AH609">
        <f>IF($B609="","",IF(OR($M609=TRUE(),$M609="TRUE"),1,0))</f>
        <v/>
      </c>
      <c r="AI609">
        <f>IF($B609="","",IF($V609="Yes",1,0))</f>
        <v/>
      </c>
      <c r="AJ609">
        <f>IF($AF609=1,IFERROR(IF(VALUE($B609)&lt;100000000,VALUE($B609),1000000000),IFERROR(IF(VALUE(MID($B609,2,20))&lt;100000000,VALUE(MID($B609,2,20)),1000000000),1000000000))+ROW()/100000,"")</f>
        <v/>
      </c>
    </row>
    <row r="610">
      <c r="C610" s="11" t="n"/>
      <c r="J610" s="7">
        <f>IF($B610="","",I610*Q610/100)</f>
        <v/>
      </c>
      <c r="P610" s="7" t="n"/>
      <c r="Q610" s="7" t="n"/>
      <c r="R610" s="7">
        <f>IF($B610="","",Q610*W610/100)</f>
        <v/>
      </c>
      <c r="S610" s="7">
        <f>IF($B610="","",Q610-R610)</f>
        <v/>
      </c>
      <c r="T610" s="7">
        <f>IF($B610="","",S610-J610)</f>
        <v/>
      </c>
      <c r="W610">
        <f>IF($B610="","",IF($AI610=1,0,IF($AH610=1,Settings!$C$6,Settings!$C$7))*100)</f>
        <v/>
      </c>
      <c r="AA610" s="7" t="n"/>
      <c r="AD610" s="11" t="n"/>
      <c r="AF610">
        <f>IF($B610="","",IF(COUNTIF($B$2:$B610,$B610)=1,1,0))</f>
        <v/>
      </c>
      <c r="AG610">
        <f>IF($AF610=1,SUMPRODUCT(--($AJ$2:$AJ$1501&lt;$AJ610))+1,"")</f>
        <v/>
      </c>
      <c r="AH610">
        <f>IF($B610="","",IF(OR($M610=TRUE(),$M610="TRUE"),1,0))</f>
        <v/>
      </c>
      <c r="AI610">
        <f>IF($B610="","",IF($V610="Yes",1,0))</f>
        <v/>
      </c>
      <c r="AJ610">
        <f>IF($AF610=1,IFERROR(IF(VALUE($B610)&lt;100000000,VALUE($B610),1000000000),IFERROR(IF(VALUE(MID($B610,2,20))&lt;100000000,VALUE(MID($B610,2,20)),1000000000),1000000000))+ROW()/100000,"")</f>
        <v/>
      </c>
    </row>
    <row r="611">
      <c r="C611" s="11" t="n"/>
      <c r="J611" s="7">
        <f>IF($B611="","",I611*Q611/100)</f>
        <v/>
      </c>
      <c r="P611" s="7" t="n"/>
      <c r="Q611" s="7" t="n"/>
      <c r="R611" s="7">
        <f>IF($B611="","",Q611*W611/100)</f>
        <v/>
      </c>
      <c r="S611" s="7">
        <f>IF($B611="","",Q611-R611)</f>
        <v/>
      </c>
      <c r="T611" s="7">
        <f>IF($B611="","",S611-J611)</f>
        <v/>
      </c>
      <c r="W611">
        <f>IF($B611="","",IF($AI611=1,0,IF($AH611=1,Settings!$C$6,Settings!$C$7))*100)</f>
        <v/>
      </c>
      <c r="AA611" s="7" t="n"/>
      <c r="AD611" s="11" t="n"/>
      <c r="AF611">
        <f>IF($B611="","",IF(COUNTIF($B$2:$B611,$B611)=1,1,0))</f>
        <v/>
      </c>
      <c r="AG611">
        <f>IF($AF611=1,SUMPRODUCT(--($AJ$2:$AJ$1501&lt;$AJ611))+1,"")</f>
        <v/>
      </c>
      <c r="AH611">
        <f>IF($B611="","",IF(OR($M611=TRUE(),$M611="TRUE"),1,0))</f>
        <v/>
      </c>
      <c r="AI611">
        <f>IF($B611="","",IF($V611="Yes",1,0))</f>
        <v/>
      </c>
      <c r="AJ611">
        <f>IF($AF611=1,IFERROR(IF(VALUE($B611)&lt;100000000,VALUE($B611),1000000000),IFERROR(IF(VALUE(MID($B611,2,20))&lt;100000000,VALUE(MID($B611,2,20)),1000000000),1000000000))+ROW()/100000,"")</f>
        <v/>
      </c>
    </row>
    <row r="612">
      <c r="C612" s="11" t="n"/>
      <c r="J612" s="7">
        <f>IF($B612="","",I612*Q612/100)</f>
        <v/>
      </c>
      <c r="P612" s="7" t="n"/>
      <c r="Q612" s="7" t="n"/>
      <c r="R612" s="7">
        <f>IF($B612="","",Q612*W612/100)</f>
        <v/>
      </c>
      <c r="S612" s="7">
        <f>IF($B612="","",Q612-R612)</f>
        <v/>
      </c>
      <c r="T612" s="7">
        <f>IF($B612="","",S612-J612)</f>
        <v/>
      </c>
      <c r="W612">
        <f>IF($B612="","",IF($AI612=1,0,IF($AH612=1,Settings!$C$6,Settings!$C$7))*100)</f>
        <v/>
      </c>
      <c r="AA612" s="7" t="n"/>
      <c r="AD612" s="11" t="n"/>
      <c r="AF612">
        <f>IF($B612="","",IF(COUNTIF($B$2:$B612,$B612)=1,1,0))</f>
        <v/>
      </c>
      <c r="AG612">
        <f>IF($AF612=1,SUMPRODUCT(--($AJ$2:$AJ$1501&lt;$AJ612))+1,"")</f>
        <v/>
      </c>
      <c r="AH612">
        <f>IF($B612="","",IF(OR($M612=TRUE(),$M612="TRUE"),1,0))</f>
        <v/>
      </c>
      <c r="AI612">
        <f>IF($B612="","",IF($V612="Yes",1,0))</f>
        <v/>
      </c>
      <c r="AJ612">
        <f>IF($AF612=1,IFERROR(IF(VALUE($B612)&lt;100000000,VALUE($B612),1000000000),IFERROR(IF(VALUE(MID($B612,2,20))&lt;100000000,VALUE(MID($B612,2,20)),1000000000),1000000000))+ROW()/100000,"")</f>
        <v/>
      </c>
    </row>
    <row r="613">
      <c r="C613" s="11" t="n"/>
      <c r="J613" s="7">
        <f>IF($B613="","",I613*Q613/100)</f>
        <v/>
      </c>
      <c r="P613" s="7" t="n"/>
      <c r="Q613" s="7" t="n"/>
      <c r="R613" s="7">
        <f>IF($B613="","",Q613*W613/100)</f>
        <v/>
      </c>
      <c r="S613" s="7">
        <f>IF($B613="","",Q613-R613)</f>
        <v/>
      </c>
      <c r="T613" s="7">
        <f>IF($B613="","",S613-J613)</f>
        <v/>
      </c>
      <c r="W613">
        <f>IF($B613="","",IF($AI613=1,0,IF($AH613=1,Settings!$C$6,Settings!$C$7))*100)</f>
        <v/>
      </c>
      <c r="AA613" s="7" t="n"/>
      <c r="AD613" s="11" t="n"/>
      <c r="AF613">
        <f>IF($B613="","",IF(COUNTIF($B$2:$B613,$B613)=1,1,0))</f>
        <v/>
      </c>
      <c r="AG613">
        <f>IF($AF613=1,SUMPRODUCT(--($AJ$2:$AJ$1501&lt;$AJ613))+1,"")</f>
        <v/>
      </c>
      <c r="AH613">
        <f>IF($B613="","",IF(OR($M613=TRUE(),$M613="TRUE"),1,0))</f>
        <v/>
      </c>
      <c r="AI613">
        <f>IF($B613="","",IF($V613="Yes",1,0))</f>
        <v/>
      </c>
      <c r="AJ613">
        <f>IF($AF613=1,IFERROR(IF(VALUE($B613)&lt;100000000,VALUE($B613),1000000000),IFERROR(IF(VALUE(MID($B613,2,20))&lt;100000000,VALUE(MID($B613,2,20)),1000000000),1000000000))+ROW()/100000,"")</f>
        <v/>
      </c>
    </row>
    <row r="614">
      <c r="C614" s="11" t="n"/>
      <c r="J614" s="7">
        <f>IF($B614="","",I614*Q614/100)</f>
        <v/>
      </c>
      <c r="P614" s="7" t="n"/>
      <c r="Q614" s="7" t="n"/>
      <c r="R614" s="7">
        <f>IF($B614="","",Q614*W614/100)</f>
        <v/>
      </c>
      <c r="S614" s="7">
        <f>IF($B614="","",Q614-R614)</f>
        <v/>
      </c>
      <c r="T614" s="7">
        <f>IF($B614="","",S614-J614)</f>
        <v/>
      </c>
      <c r="W614">
        <f>IF($B614="","",IF($AI614=1,0,IF($AH614=1,Settings!$C$6,Settings!$C$7))*100)</f>
        <v/>
      </c>
      <c r="AA614" s="7" t="n"/>
      <c r="AD614" s="11" t="n"/>
      <c r="AF614">
        <f>IF($B614="","",IF(COUNTIF($B$2:$B614,$B614)=1,1,0))</f>
        <v/>
      </c>
      <c r="AG614">
        <f>IF($AF614=1,SUMPRODUCT(--($AJ$2:$AJ$1501&lt;$AJ614))+1,"")</f>
        <v/>
      </c>
      <c r="AH614">
        <f>IF($B614="","",IF(OR($M614=TRUE(),$M614="TRUE"),1,0))</f>
        <v/>
      </c>
      <c r="AI614">
        <f>IF($B614="","",IF($V614="Yes",1,0))</f>
        <v/>
      </c>
      <c r="AJ614">
        <f>IF($AF614=1,IFERROR(IF(VALUE($B614)&lt;100000000,VALUE($B614),1000000000),IFERROR(IF(VALUE(MID($B614,2,20))&lt;100000000,VALUE(MID($B614,2,20)),1000000000),1000000000))+ROW()/100000,"")</f>
        <v/>
      </c>
    </row>
    <row r="615">
      <c r="C615" s="11" t="n"/>
      <c r="J615" s="7">
        <f>IF($B615="","",I615*Q615/100)</f>
        <v/>
      </c>
      <c r="P615" s="7" t="n"/>
      <c r="Q615" s="7" t="n"/>
      <c r="R615" s="7">
        <f>IF($B615="","",Q615*W615/100)</f>
        <v/>
      </c>
      <c r="S615" s="7">
        <f>IF($B615="","",Q615-R615)</f>
        <v/>
      </c>
      <c r="T615" s="7">
        <f>IF($B615="","",S615-J615)</f>
        <v/>
      </c>
      <c r="W615">
        <f>IF($B615="","",IF($AI615=1,0,IF($AH615=1,Settings!$C$6,Settings!$C$7))*100)</f>
        <v/>
      </c>
      <c r="AA615" s="7" t="n"/>
      <c r="AD615" s="11" t="n"/>
      <c r="AF615">
        <f>IF($B615="","",IF(COUNTIF($B$2:$B615,$B615)=1,1,0))</f>
        <v/>
      </c>
      <c r="AG615">
        <f>IF($AF615=1,SUMPRODUCT(--($AJ$2:$AJ$1501&lt;$AJ615))+1,"")</f>
        <v/>
      </c>
      <c r="AH615">
        <f>IF($B615="","",IF(OR($M615=TRUE(),$M615="TRUE"),1,0))</f>
        <v/>
      </c>
      <c r="AI615">
        <f>IF($B615="","",IF($V615="Yes",1,0))</f>
        <v/>
      </c>
      <c r="AJ615">
        <f>IF($AF615=1,IFERROR(IF(VALUE($B615)&lt;100000000,VALUE($B615),1000000000),IFERROR(IF(VALUE(MID($B615,2,20))&lt;100000000,VALUE(MID($B615,2,20)),1000000000),1000000000))+ROW()/100000,"")</f>
        <v/>
      </c>
    </row>
    <row r="616">
      <c r="C616" s="11" t="n"/>
      <c r="J616" s="7">
        <f>IF($B616="","",I616*Q616/100)</f>
        <v/>
      </c>
      <c r="P616" s="7" t="n"/>
      <c r="Q616" s="7" t="n"/>
      <c r="R616" s="7">
        <f>IF($B616="","",Q616*W616/100)</f>
        <v/>
      </c>
      <c r="S616" s="7">
        <f>IF($B616="","",Q616-R616)</f>
        <v/>
      </c>
      <c r="T616" s="7">
        <f>IF($B616="","",S616-J616)</f>
        <v/>
      </c>
      <c r="W616">
        <f>IF($B616="","",IF($AI616=1,0,IF($AH616=1,Settings!$C$6,Settings!$C$7))*100)</f>
        <v/>
      </c>
      <c r="AA616" s="7" t="n"/>
      <c r="AD616" s="11" t="n"/>
      <c r="AF616">
        <f>IF($B616="","",IF(COUNTIF($B$2:$B616,$B616)=1,1,0))</f>
        <v/>
      </c>
      <c r="AG616">
        <f>IF($AF616=1,SUMPRODUCT(--($AJ$2:$AJ$1501&lt;$AJ616))+1,"")</f>
        <v/>
      </c>
      <c r="AH616">
        <f>IF($B616="","",IF(OR($M616=TRUE(),$M616="TRUE"),1,0))</f>
        <v/>
      </c>
      <c r="AI616">
        <f>IF($B616="","",IF($V616="Yes",1,0))</f>
        <v/>
      </c>
      <c r="AJ616">
        <f>IF($AF616=1,IFERROR(IF(VALUE($B616)&lt;100000000,VALUE($B616),1000000000),IFERROR(IF(VALUE(MID($B616,2,20))&lt;100000000,VALUE(MID($B616,2,20)),1000000000),1000000000))+ROW()/100000,"")</f>
        <v/>
      </c>
    </row>
    <row r="617">
      <c r="C617" s="11" t="n"/>
      <c r="J617" s="7">
        <f>IF($B617="","",I617*Q617/100)</f>
        <v/>
      </c>
      <c r="P617" s="7" t="n"/>
      <c r="Q617" s="7" t="n"/>
      <c r="R617" s="7">
        <f>IF($B617="","",Q617*W617/100)</f>
        <v/>
      </c>
      <c r="S617" s="7">
        <f>IF($B617="","",Q617-R617)</f>
        <v/>
      </c>
      <c r="T617" s="7">
        <f>IF($B617="","",S617-J617)</f>
        <v/>
      </c>
      <c r="W617">
        <f>IF($B617="","",IF($AI617=1,0,IF($AH617=1,Settings!$C$6,Settings!$C$7))*100)</f>
        <v/>
      </c>
      <c r="AA617" s="7" t="n"/>
      <c r="AD617" s="11" t="n"/>
      <c r="AF617">
        <f>IF($B617="","",IF(COUNTIF($B$2:$B617,$B617)=1,1,0))</f>
        <v/>
      </c>
      <c r="AG617">
        <f>IF($AF617=1,SUMPRODUCT(--($AJ$2:$AJ$1501&lt;$AJ617))+1,"")</f>
        <v/>
      </c>
      <c r="AH617">
        <f>IF($B617="","",IF(OR($M617=TRUE(),$M617="TRUE"),1,0))</f>
        <v/>
      </c>
      <c r="AI617">
        <f>IF($B617="","",IF($V617="Yes",1,0))</f>
        <v/>
      </c>
      <c r="AJ617">
        <f>IF($AF617=1,IFERROR(IF(VALUE($B617)&lt;100000000,VALUE($B617),1000000000),IFERROR(IF(VALUE(MID($B617,2,20))&lt;100000000,VALUE(MID($B617,2,20)),1000000000),1000000000))+ROW()/100000,"")</f>
        <v/>
      </c>
    </row>
    <row r="618">
      <c r="C618" s="11" t="n"/>
      <c r="J618" s="7">
        <f>IF($B618="","",I618*Q618/100)</f>
        <v/>
      </c>
      <c r="P618" s="7" t="n"/>
      <c r="Q618" s="7" t="n"/>
      <c r="R618" s="7">
        <f>IF($B618="","",Q618*W618/100)</f>
        <v/>
      </c>
      <c r="S618" s="7">
        <f>IF($B618="","",Q618-R618)</f>
        <v/>
      </c>
      <c r="T618" s="7">
        <f>IF($B618="","",S618-J618)</f>
        <v/>
      </c>
      <c r="W618">
        <f>IF($B618="","",IF($AI618=1,0,IF($AH618=1,Settings!$C$6,Settings!$C$7))*100)</f>
        <v/>
      </c>
      <c r="AA618" s="7" t="n"/>
      <c r="AD618" s="11" t="n"/>
      <c r="AF618">
        <f>IF($B618="","",IF(COUNTIF($B$2:$B618,$B618)=1,1,0))</f>
        <v/>
      </c>
      <c r="AG618">
        <f>IF($AF618=1,SUMPRODUCT(--($AJ$2:$AJ$1501&lt;$AJ618))+1,"")</f>
        <v/>
      </c>
      <c r="AH618">
        <f>IF($B618="","",IF(OR($M618=TRUE(),$M618="TRUE"),1,0))</f>
        <v/>
      </c>
      <c r="AI618">
        <f>IF($B618="","",IF($V618="Yes",1,0))</f>
        <v/>
      </c>
      <c r="AJ618">
        <f>IF($AF618=1,IFERROR(IF(VALUE($B618)&lt;100000000,VALUE($B618),1000000000),IFERROR(IF(VALUE(MID($B618,2,20))&lt;100000000,VALUE(MID($B618,2,20)),1000000000),1000000000))+ROW()/100000,"")</f>
        <v/>
      </c>
    </row>
    <row r="619">
      <c r="C619" s="11" t="n"/>
      <c r="J619" s="7">
        <f>IF($B619="","",I619*Q619/100)</f>
        <v/>
      </c>
      <c r="P619" s="7" t="n"/>
      <c r="Q619" s="7" t="n"/>
      <c r="R619" s="7">
        <f>IF($B619="","",Q619*W619/100)</f>
        <v/>
      </c>
      <c r="S619" s="7">
        <f>IF($B619="","",Q619-R619)</f>
        <v/>
      </c>
      <c r="T619" s="7">
        <f>IF($B619="","",S619-J619)</f>
        <v/>
      </c>
      <c r="W619">
        <f>IF($B619="","",IF($AI619=1,0,IF($AH619=1,Settings!$C$6,Settings!$C$7))*100)</f>
        <v/>
      </c>
      <c r="AA619" s="7" t="n"/>
      <c r="AD619" s="11" t="n"/>
      <c r="AF619">
        <f>IF($B619="","",IF(COUNTIF($B$2:$B619,$B619)=1,1,0))</f>
        <v/>
      </c>
      <c r="AG619">
        <f>IF($AF619=1,SUMPRODUCT(--($AJ$2:$AJ$1501&lt;$AJ619))+1,"")</f>
        <v/>
      </c>
      <c r="AH619">
        <f>IF($B619="","",IF(OR($M619=TRUE(),$M619="TRUE"),1,0))</f>
        <v/>
      </c>
      <c r="AI619">
        <f>IF($B619="","",IF($V619="Yes",1,0))</f>
        <v/>
      </c>
      <c r="AJ619">
        <f>IF($AF619=1,IFERROR(IF(VALUE($B619)&lt;100000000,VALUE($B619),1000000000),IFERROR(IF(VALUE(MID($B619,2,20))&lt;100000000,VALUE(MID($B619,2,20)),1000000000),1000000000))+ROW()/100000,"")</f>
        <v/>
      </c>
    </row>
    <row r="620">
      <c r="C620" s="11" t="n"/>
      <c r="J620" s="7">
        <f>IF($B620="","",I620*Q620/100)</f>
        <v/>
      </c>
      <c r="P620" s="7" t="n"/>
      <c r="Q620" s="7" t="n"/>
      <c r="R620" s="7">
        <f>IF($B620="","",Q620*W620/100)</f>
        <v/>
      </c>
      <c r="S620" s="7">
        <f>IF($B620="","",Q620-R620)</f>
        <v/>
      </c>
      <c r="T620" s="7">
        <f>IF($B620="","",S620-J620)</f>
        <v/>
      </c>
      <c r="W620">
        <f>IF($B620="","",IF($AI620=1,0,IF($AH620=1,Settings!$C$6,Settings!$C$7))*100)</f>
        <v/>
      </c>
      <c r="AA620" s="7" t="n"/>
      <c r="AD620" s="11" t="n"/>
      <c r="AF620">
        <f>IF($B620="","",IF(COUNTIF($B$2:$B620,$B620)=1,1,0))</f>
        <v/>
      </c>
      <c r="AG620">
        <f>IF($AF620=1,SUMPRODUCT(--($AJ$2:$AJ$1501&lt;$AJ620))+1,"")</f>
        <v/>
      </c>
      <c r="AH620">
        <f>IF($B620="","",IF(OR($M620=TRUE(),$M620="TRUE"),1,0))</f>
        <v/>
      </c>
      <c r="AI620">
        <f>IF($B620="","",IF($V620="Yes",1,0))</f>
        <v/>
      </c>
      <c r="AJ620">
        <f>IF($AF620=1,IFERROR(IF(VALUE($B620)&lt;100000000,VALUE($B620),1000000000),IFERROR(IF(VALUE(MID($B620,2,20))&lt;100000000,VALUE(MID($B620,2,20)),1000000000),1000000000))+ROW()/100000,"")</f>
        <v/>
      </c>
    </row>
    <row r="621">
      <c r="C621" s="11" t="n"/>
      <c r="J621" s="7">
        <f>IF($B621="","",I621*Q621/100)</f>
        <v/>
      </c>
      <c r="P621" s="7" t="n"/>
      <c r="Q621" s="7" t="n"/>
      <c r="R621" s="7">
        <f>IF($B621="","",Q621*W621/100)</f>
        <v/>
      </c>
      <c r="S621" s="7">
        <f>IF($B621="","",Q621-R621)</f>
        <v/>
      </c>
      <c r="T621" s="7">
        <f>IF($B621="","",S621-J621)</f>
        <v/>
      </c>
      <c r="W621">
        <f>IF($B621="","",IF($AI621=1,0,IF($AH621=1,Settings!$C$6,Settings!$C$7))*100)</f>
        <v/>
      </c>
      <c r="AA621" s="7" t="n"/>
      <c r="AD621" s="11" t="n"/>
      <c r="AF621">
        <f>IF($B621="","",IF(COUNTIF($B$2:$B621,$B621)=1,1,0))</f>
        <v/>
      </c>
      <c r="AG621">
        <f>IF($AF621=1,SUMPRODUCT(--($AJ$2:$AJ$1501&lt;$AJ621))+1,"")</f>
        <v/>
      </c>
      <c r="AH621">
        <f>IF($B621="","",IF(OR($M621=TRUE(),$M621="TRUE"),1,0))</f>
        <v/>
      </c>
      <c r="AI621">
        <f>IF($B621="","",IF($V621="Yes",1,0))</f>
        <v/>
      </c>
      <c r="AJ621">
        <f>IF($AF621=1,IFERROR(IF(VALUE($B621)&lt;100000000,VALUE($B621),1000000000),IFERROR(IF(VALUE(MID($B621,2,20))&lt;100000000,VALUE(MID($B621,2,20)),1000000000),1000000000))+ROW()/100000,"")</f>
        <v/>
      </c>
    </row>
    <row r="622">
      <c r="C622" s="11" t="n"/>
      <c r="J622" s="7">
        <f>IF($B622="","",I622*Q622/100)</f>
        <v/>
      </c>
      <c r="P622" s="7" t="n"/>
      <c r="Q622" s="7" t="n"/>
      <c r="R622" s="7">
        <f>IF($B622="","",Q622*W622/100)</f>
        <v/>
      </c>
      <c r="S622" s="7">
        <f>IF($B622="","",Q622-R622)</f>
        <v/>
      </c>
      <c r="T622" s="7">
        <f>IF($B622="","",S622-J622)</f>
        <v/>
      </c>
      <c r="W622">
        <f>IF($B622="","",IF($AI622=1,0,IF($AH622=1,Settings!$C$6,Settings!$C$7))*100)</f>
        <v/>
      </c>
      <c r="AA622" s="7" t="n"/>
      <c r="AD622" s="11" t="n"/>
      <c r="AF622">
        <f>IF($B622="","",IF(COUNTIF($B$2:$B622,$B622)=1,1,0))</f>
        <v/>
      </c>
      <c r="AG622">
        <f>IF($AF622=1,SUMPRODUCT(--($AJ$2:$AJ$1501&lt;$AJ622))+1,"")</f>
        <v/>
      </c>
      <c r="AH622">
        <f>IF($B622="","",IF(OR($M622=TRUE(),$M622="TRUE"),1,0))</f>
        <v/>
      </c>
      <c r="AI622">
        <f>IF($B622="","",IF($V622="Yes",1,0))</f>
        <v/>
      </c>
      <c r="AJ622">
        <f>IF($AF622=1,IFERROR(IF(VALUE($B622)&lt;100000000,VALUE($B622),1000000000),IFERROR(IF(VALUE(MID($B622,2,20))&lt;100000000,VALUE(MID($B622,2,20)),1000000000),1000000000))+ROW()/100000,"")</f>
        <v/>
      </c>
    </row>
    <row r="623">
      <c r="C623" s="11" t="n"/>
      <c r="J623" s="7">
        <f>IF($B623="","",I623*Q623/100)</f>
        <v/>
      </c>
      <c r="P623" s="7" t="n"/>
      <c r="Q623" s="7" t="n"/>
      <c r="R623" s="7">
        <f>IF($B623="","",Q623*W623/100)</f>
        <v/>
      </c>
      <c r="S623" s="7">
        <f>IF($B623="","",Q623-R623)</f>
        <v/>
      </c>
      <c r="T623" s="7">
        <f>IF($B623="","",S623-J623)</f>
        <v/>
      </c>
      <c r="W623">
        <f>IF($B623="","",IF($AI623=1,0,IF($AH623=1,Settings!$C$6,Settings!$C$7))*100)</f>
        <v/>
      </c>
      <c r="AA623" s="7" t="n"/>
      <c r="AD623" s="11" t="n"/>
      <c r="AF623">
        <f>IF($B623="","",IF(COUNTIF($B$2:$B623,$B623)=1,1,0))</f>
        <v/>
      </c>
      <c r="AG623">
        <f>IF($AF623=1,SUMPRODUCT(--($AJ$2:$AJ$1501&lt;$AJ623))+1,"")</f>
        <v/>
      </c>
      <c r="AH623">
        <f>IF($B623="","",IF(OR($M623=TRUE(),$M623="TRUE"),1,0))</f>
        <v/>
      </c>
      <c r="AI623">
        <f>IF($B623="","",IF($V623="Yes",1,0))</f>
        <v/>
      </c>
      <c r="AJ623">
        <f>IF($AF623=1,IFERROR(IF(VALUE($B623)&lt;100000000,VALUE($B623),1000000000),IFERROR(IF(VALUE(MID($B623,2,20))&lt;100000000,VALUE(MID($B623,2,20)),1000000000),1000000000))+ROW()/100000,"")</f>
        <v/>
      </c>
    </row>
    <row r="624">
      <c r="C624" s="11" t="n"/>
      <c r="J624" s="7">
        <f>IF($B624="","",I624*Q624/100)</f>
        <v/>
      </c>
      <c r="P624" s="7" t="n"/>
      <c r="Q624" s="7" t="n"/>
      <c r="R624" s="7">
        <f>IF($B624="","",Q624*W624/100)</f>
        <v/>
      </c>
      <c r="S624" s="7">
        <f>IF($B624="","",Q624-R624)</f>
        <v/>
      </c>
      <c r="T624" s="7">
        <f>IF($B624="","",S624-J624)</f>
        <v/>
      </c>
      <c r="W624">
        <f>IF($B624="","",IF($AI624=1,0,IF($AH624=1,Settings!$C$6,Settings!$C$7))*100)</f>
        <v/>
      </c>
      <c r="AA624" s="7" t="n"/>
      <c r="AD624" s="11" t="n"/>
      <c r="AF624">
        <f>IF($B624="","",IF(COUNTIF($B$2:$B624,$B624)=1,1,0))</f>
        <v/>
      </c>
      <c r="AG624">
        <f>IF($AF624=1,SUMPRODUCT(--($AJ$2:$AJ$1501&lt;$AJ624))+1,"")</f>
        <v/>
      </c>
      <c r="AH624">
        <f>IF($B624="","",IF(OR($M624=TRUE(),$M624="TRUE"),1,0))</f>
        <v/>
      </c>
      <c r="AI624">
        <f>IF($B624="","",IF($V624="Yes",1,0))</f>
        <v/>
      </c>
      <c r="AJ624">
        <f>IF($AF624=1,IFERROR(IF(VALUE($B624)&lt;100000000,VALUE($B624),1000000000),IFERROR(IF(VALUE(MID($B624,2,20))&lt;100000000,VALUE(MID($B624,2,20)),1000000000),1000000000))+ROW()/100000,"")</f>
        <v/>
      </c>
    </row>
    <row r="625">
      <c r="C625" s="11" t="n"/>
      <c r="J625" s="7">
        <f>IF($B625="","",I625*Q625/100)</f>
        <v/>
      </c>
      <c r="P625" s="7" t="n"/>
      <c r="Q625" s="7" t="n"/>
      <c r="R625" s="7">
        <f>IF($B625="","",Q625*W625/100)</f>
        <v/>
      </c>
      <c r="S625" s="7">
        <f>IF($B625="","",Q625-R625)</f>
        <v/>
      </c>
      <c r="T625" s="7">
        <f>IF($B625="","",S625-J625)</f>
        <v/>
      </c>
      <c r="W625">
        <f>IF($B625="","",IF($AI625=1,0,IF($AH625=1,Settings!$C$6,Settings!$C$7))*100)</f>
        <v/>
      </c>
      <c r="AA625" s="7" t="n"/>
      <c r="AD625" s="11" t="n"/>
      <c r="AF625">
        <f>IF($B625="","",IF(COUNTIF($B$2:$B625,$B625)=1,1,0))</f>
        <v/>
      </c>
      <c r="AG625">
        <f>IF($AF625=1,SUMPRODUCT(--($AJ$2:$AJ$1501&lt;$AJ625))+1,"")</f>
        <v/>
      </c>
      <c r="AH625">
        <f>IF($B625="","",IF(OR($M625=TRUE(),$M625="TRUE"),1,0))</f>
        <v/>
      </c>
      <c r="AI625">
        <f>IF($B625="","",IF($V625="Yes",1,0))</f>
        <v/>
      </c>
      <c r="AJ625">
        <f>IF($AF625=1,IFERROR(IF(VALUE($B625)&lt;100000000,VALUE($B625),1000000000),IFERROR(IF(VALUE(MID($B625,2,20))&lt;100000000,VALUE(MID($B625,2,20)),1000000000),1000000000))+ROW()/100000,"")</f>
        <v/>
      </c>
    </row>
    <row r="626">
      <c r="C626" s="11" t="n"/>
      <c r="J626" s="7">
        <f>IF($B626="","",I626*Q626/100)</f>
        <v/>
      </c>
      <c r="P626" s="7" t="n"/>
      <c r="Q626" s="7" t="n"/>
      <c r="R626" s="7">
        <f>IF($B626="","",Q626*W626/100)</f>
        <v/>
      </c>
      <c r="S626" s="7">
        <f>IF($B626="","",Q626-R626)</f>
        <v/>
      </c>
      <c r="T626" s="7">
        <f>IF($B626="","",S626-J626)</f>
        <v/>
      </c>
      <c r="W626">
        <f>IF($B626="","",IF($AI626=1,0,IF($AH626=1,Settings!$C$6,Settings!$C$7))*100)</f>
        <v/>
      </c>
      <c r="AA626" s="7" t="n"/>
      <c r="AD626" s="11" t="n"/>
      <c r="AF626">
        <f>IF($B626="","",IF(COUNTIF($B$2:$B626,$B626)=1,1,0))</f>
        <v/>
      </c>
      <c r="AG626">
        <f>IF($AF626=1,SUMPRODUCT(--($AJ$2:$AJ$1501&lt;$AJ626))+1,"")</f>
        <v/>
      </c>
      <c r="AH626">
        <f>IF($B626="","",IF(OR($M626=TRUE(),$M626="TRUE"),1,0))</f>
        <v/>
      </c>
      <c r="AI626">
        <f>IF($B626="","",IF($V626="Yes",1,0))</f>
        <v/>
      </c>
      <c r="AJ626">
        <f>IF($AF626=1,IFERROR(IF(VALUE($B626)&lt;100000000,VALUE($B626),1000000000),IFERROR(IF(VALUE(MID($B626,2,20))&lt;100000000,VALUE(MID($B626,2,20)),1000000000),1000000000))+ROW()/100000,"")</f>
        <v/>
      </c>
    </row>
    <row r="627">
      <c r="C627" s="11" t="n"/>
      <c r="J627" s="7">
        <f>IF($B627="","",I627*Q627/100)</f>
        <v/>
      </c>
      <c r="P627" s="7" t="n"/>
      <c r="Q627" s="7" t="n"/>
      <c r="R627" s="7">
        <f>IF($B627="","",Q627*W627/100)</f>
        <v/>
      </c>
      <c r="S627" s="7">
        <f>IF($B627="","",Q627-R627)</f>
        <v/>
      </c>
      <c r="T627" s="7">
        <f>IF($B627="","",S627-J627)</f>
        <v/>
      </c>
      <c r="W627">
        <f>IF($B627="","",IF($AI627=1,0,IF($AH627=1,Settings!$C$6,Settings!$C$7))*100)</f>
        <v/>
      </c>
      <c r="AA627" s="7" t="n"/>
      <c r="AD627" s="11" t="n"/>
      <c r="AF627">
        <f>IF($B627="","",IF(COUNTIF($B$2:$B627,$B627)=1,1,0))</f>
        <v/>
      </c>
      <c r="AG627">
        <f>IF($AF627=1,SUMPRODUCT(--($AJ$2:$AJ$1501&lt;$AJ627))+1,"")</f>
        <v/>
      </c>
      <c r="AH627">
        <f>IF($B627="","",IF(OR($M627=TRUE(),$M627="TRUE"),1,0))</f>
        <v/>
      </c>
      <c r="AI627">
        <f>IF($B627="","",IF($V627="Yes",1,0))</f>
        <v/>
      </c>
      <c r="AJ627">
        <f>IF($AF627=1,IFERROR(IF(VALUE($B627)&lt;100000000,VALUE($B627),1000000000),IFERROR(IF(VALUE(MID($B627,2,20))&lt;100000000,VALUE(MID($B627,2,20)),1000000000),1000000000))+ROW()/100000,"")</f>
        <v/>
      </c>
    </row>
    <row r="628">
      <c r="C628" s="11" t="n"/>
      <c r="J628" s="7">
        <f>IF($B628="","",I628*Q628/100)</f>
        <v/>
      </c>
      <c r="P628" s="7" t="n"/>
      <c r="Q628" s="7" t="n"/>
      <c r="R628" s="7">
        <f>IF($B628="","",Q628*W628/100)</f>
        <v/>
      </c>
      <c r="S628" s="7">
        <f>IF($B628="","",Q628-R628)</f>
        <v/>
      </c>
      <c r="T628" s="7">
        <f>IF($B628="","",S628-J628)</f>
        <v/>
      </c>
      <c r="W628">
        <f>IF($B628="","",IF($AI628=1,0,IF($AH628=1,Settings!$C$6,Settings!$C$7))*100)</f>
        <v/>
      </c>
      <c r="AA628" s="7" t="n"/>
      <c r="AD628" s="11" t="n"/>
      <c r="AF628">
        <f>IF($B628="","",IF(COUNTIF($B$2:$B628,$B628)=1,1,0))</f>
        <v/>
      </c>
      <c r="AG628">
        <f>IF($AF628=1,SUMPRODUCT(--($AJ$2:$AJ$1501&lt;$AJ628))+1,"")</f>
        <v/>
      </c>
      <c r="AH628">
        <f>IF($B628="","",IF(OR($M628=TRUE(),$M628="TRUE"),1,0))</f>
        <v/>
      </c>
      <c r="AI628">
        <f>IF($B628="","",IF($V628="Yes",1,0))</f>
        <v/>
      </c>
      <c r="AJ628">
        <f>IF($AF628=1,IFERROR(IF(VALUE($B628)&lt;100000000,VALUE($B628),1000000000),IFERROR(IF(VALUE(MID($B628,2,20))&lt;100000000,VALUE(MID($B628,2,20)),1000000000),1000000000))+ROW()/100000,"")</f>
        <v/>
      </c>
    </row>
    <row r="629">
      <c r="C629" s="11" t="n"/>
      <c r="J629" s="7">
        <f>IF($B629="","",I629*Q629/100)</f>
        <v/>
      </c>
      <c r="P629" s="7" t="n"/>
      <c r="Q629" s="7" t="n"/>
      <c r="R629" s="7">
        <f>IF($B629="","",Q629*W629/100)</f>
        <v/>
      </c>
      <c r="S629" s="7">
        <f>IF($B629="","",Q629-R629)</f>
        <v/>
      </c>
      <c r="T629" s="7">
        <f>IF($B629="","",S629-J629)</f>
        <v/>
      </c>
      <c r="W629">
        <f>IF($B629="","",IF($AI629=1,0,IF($AH629=1,Settings!$C$6,Settings!$C$7))*100)</f>
        <v/>
      </c>
      <c r="AA629" s="7" t="n"/>
      <c r="AD629" s="11" t="n"/>
      <c r="AF629">
        <f>IF($B629="","",IF(COUNTIF($B$2:$B629,$B629)=1,1,0))</f>
        <v/>
      </c>
      <c r="AG629">
        <f>IF($AF629=1,SUMPRODUCT(--($AJ$2:$AJ$1501&lt;$AJ629))+1,"")</f>
        <v/>
      </c>
      <c r="AH629">
        <f>IF($B629="","",IF(OR($M629=TRUE(),$M629="TRUE"),1,0))</f>
        <v/>
      </c>
      <c r="AI629">
        <f>IF($B629="","",IF($V629="Yes",1,0))</f>
        <v/>
      </c>
      <c r="AJ629">
        <f>IF($AF629=1,IFERROR(IF(VALUE($B629)&lt;100000000,VALUE($B629),1000000000),IFERROR(IF(VALUE(MID($B629,2,20))&lt;100000000,VALUE(MID($B629,2,20)),1000000000),1000000000))+ROW()/100000,"")</f>
        <v/>
      </c>
    </row>
    <row r="630">
      <c r="C630" s="11" t="n"/>
      <c r="J630" s="7">
        <f>IF($B630="","",I630*Q630/100)</f>
        <v/>
      </c>
      <c r="P630" s="7" t="n"/>
      <c r="Q630" s="7" t="n"/>
      <c r="R630" s="7">
        <f>IF($B630="","",Q630*W630/100)</f>
        <v/>
      </c>
      <c r="S630" s="7">
        <f>IF($B630="","",Q630-R630)</f>
        <v/>
      </c>
      <c r="T630" s="7">
        <f>IF($B630="","",S630-J630)</f>
        <v/>
      </c>
      <c r="W630">
        <f>IF($B630="","",IF($AI630=1,0,IF($AH630=1,Settings!$C$6,Settings!$C$7))*100)</f>
        <v/>
      </c>
      <c r="AA630" s="7" t="n"/>
      <c r="AD630" s="11" t="n"/>
      <c r="AF630">
        <f>IF($B630="","",IF(COUNTIF($B$2:$B630,$B630)=1,1,0))</f>
        <v/>
      </c>
      <c r="AG630">
        <f>IF($AF630=1,SUMPRODUCT(--($AJ$2:$AJ$1501&lt;$AJ630))+1,"")</f>
        <v/>
      </c>
      <c r="AH630">
        <f>IF($B630="","",IF(OR($M630=TRUE(),$M630="TRUE"),1,0))</f>
        <v/>
      </c>
      <c r="AI630">
        <f>IF($B630="","",IF($V630="Yes",1,0))</f>
        <v/>
      </c>
      <c r="AJ630">
        <f>IF($AF630=1,IFERROR(IF(VALUE($B630)&lt;100000000,VALUE($B630),1000000000),IFERROR(IF(VALUE(MID($B630,2,20))&lt;100000000,VALUE(MID($B630,2,20)),1000000000),1000000000))+ROW()/100000,"")</f>
        <v/>
      </c>
    </row>
    <row r="631">
      <c r="C631" s="11" t="n"/>
      <c r="J631" s="7">
        <f>IF($B631="","",I631*Q631/100)</f>
        <v/>
      </c>
      <c r="P631" s="7" t="n"/>
      <c r="Q631" s="7" t="n"/>
      <c r="R631" s="7">
        <f>IF($B631="","",Q631*W631/100)</f>
        <v/>
      </c>
      <c r="S631" s="7">
        <f>IF($B631="","",Q631-R631)</f>
        <v/>
      </c>
      <c r="T631" s="7">
        <f>IF($B631="","",S631-J631)</f>
        <v/>
      </c>
      <c r="W631">
        <f>IF($B631="","",IF($AI631=1,0,IF($AH631=1,Settings!$C$6,Settings!$C$7))*100)</f>
        <v/>
      </c>
      <c r="AA631" s="7" t="n"/>
      <c r="AD631" s="11" t="n"/>
      <c r="AF631">
        <f>IF($B631="","",IF(COUNTIF($B$2:$B631,$B631)=1,1,0))</f>
        <v/>
      </c>
      <c r="AG631">
        <f>IF($AF631=1,SUMPRODUCT(--($AJ$2:$AJ$1501&lt;$AJ631))+1,"")</f>
        <v/>
      </c>
      <c r="AH631">
        <f>IF($B631="","",IF(OR($M631=TRUE(),$M631="TRUE"),1,0))</f>
        <v/>
      </c>
      <c r="AI631">
        <f>IF($B631="","",IF($V631="Yes",1,0))</f>
        <v/>
      </c>
      <c r="AJ631">
        <f>IF($AF631=1,IFERROR(IF(VALUE($B631)&lt;100000000,VALUE($B631),1000000000),IFERROR(IF(VALUE(MID($B631,2,20))&lt;100000000,VALUE(MID($B631,2,20)),1000000000),1000000000))+ROW()/100000,"")</f>
        <v/>
      </c>
    </row>
    <row r="632">
      <c r="C632" s="11" t="n"/>
      <c r="J632" s="7">
        <f>IF($B632="","",I632*Q632/100)</f>
        <v/>
      </c>
      <c r="P632" s="7" t="n"/>
      <c r="Q632" s="7" t="n"/>
      <c r="R632" s="7">
        <f>IF($B632="","",Q632*W632/100)</f>
        <v/>
      </c>
      <c r="S632" s="7">
        <f>IF($B632="","",Q632-R632)</f>
        <v/>
      </c>
      <c r="T632" s="7">
        <f>IF($B632="","",S632-J632)</f>
        <v/>
      </c>
      <c r="W632">
        <f>IF($B632="","",IF($AI632=1,0,IF($AH632=1,Settings!$C$6,Settings!$C$7))*100)</f>
        <v/>
      </c>
      <c r="AA632" s="7" t="n"/>
      <c r="AD632" s="11" t="n"/>
      <c r="AF632">
        <f>IF($B632="","",IF(COUNTIF($B$2:$B632,$B632)=1,1,0))</f>
        <v/>
      </c>
      <c r="AG632">
        <f>IF($AF632=1,SUMPRODUCT(--($AJ$2:$AJ$1501&lt;$AJ632))+1,"")</f>
        <v/>
      </c>
      <c r="AH632">
        <f>IF($B632="","",IF(OR($M632=TRUE(),$M632="TRUE"),1,0))</f>
        <v/>
      </c>
      <c r="AI632">
        <f>IF($B632="","",IF($V632="Yes",1,0))</f>
        <v/>
      </c>
      <c r="AJ632">
        <f>IF($AF632=1,IFERROR(IF(VALUE($B632)&lt;100000000,VALUE($B632),1000000000),IFERROR(IF(VALUE(MID($B632,2,20))&lt;100000000,VALUE(MID($B632,2,20)),1000000000),1000000000))+ROW()/100000,"")</f>
        <v/>
      </c>
    </row>
    <row r="633">
      <c r="C633" s="11" t="n"/>
      <c r="J633" s="7">
        <f>IF($B633="","",I633*Q633/100)</f>
        <v/>
      </c>
      <c r="P633" s="7" t="n"/>
      <c r="Q633" s="7" t="n"/>
      <c r="R633" s="7">
        <f>IF($B633="","",Q633*W633/100)</f>
        <v/>
      </c>
      <c r="S633" s="7">
        <f>IF($B633="","",Q633-R633)</f>
        <v/>
      </c>
      <c r="T633" s="7">
        <f>IF($B633="","",S633-J633)</f>
        <v/>
      </c>
      <c r="W633">
        <f>IF($B633="","",IF($AI633=1,0,IF($AH633=1,Settings!$C$6,Settings!$C$7))*100)</f>
        <v/>
      </c>
      <c r="AA633" s="7" t="n"/>
      <c r="AD633" s="11" t="n"/>
      <c r="AF633">
        <f>IF($B633="","",IF(COUNTIF($B$2:$B633,$B633)=1,1,0))</f>
        <v/>
      </c>
      <c r="AG633">
        <f>IF($AF633=1,SUMPRODUCT(--($AJ$2:$AJ$1501&lt;$AJ633))+1,"")</f>
        <v/>
      </c>
      <c r="AH633">
        <f>IF($B633="","",IF(OR($M633=TRUE(),$M633="TRUE"),1,0))</f>
        <v/>
      </c>
      <c r="AI633">
        <f>IF($B633="","",IF($V633="Yes",1,0))</f>
        <v/>
      </c>
      <c r="AJ633">
        <f>IF($AF633=1,IFERROR(IF(VALUE($B633)&lt;100000000,VALUE($B633),1000000000),IFERROR(IF(VALUE(MID($B633,2,20))&lt;100000000,VALUE(MID($B633,2,20)),1000000000),1000000000))+ROW()/100000,"")</f>
        <v/>
      </c>
    </row>
    <row r="634">
      <c r="C634" s="11" t="n"/>
      <c r="J634" s="7">
        <f>IF($B634="","",I634*Q634/100)</f>
        <v/>
      </c>
      <c r="P634" s="7" t="n"/>
      <c r="Q634" s="7" t="n"/>
      <c r="R634" s="7">
        <f>IF($B634="","",Q634*W634/100)</f>
        <v/>
      </c>
      <c r="S634" s="7">
        <f>IF($B634="","",Q634-R634)</f>
        <v/>
      </c>
      <c r="T634" s="7">
        <f>IF($B634="","",S634-J634)</f>
        <v/>
      </c>
      <c r="W634">
        <f>IF($B634="","",IF($AI634=1,0,IF($AH634=1,Settings!$C$6,Settings!$C$7))*100)</f>
        <v/>
      </c>
      <c r="AA634" s="7" t="n"/>
      <c r="AD634" s="11" t="n"/>
      <c r="AF634">
        <f>IF($B634="","",IF(COUNTIF($B$2:$B634,$B634)=1,1,0))</f>
        <v/>
      </c>
      <c r="AG634">
        <f>IF($AF634=1,SUMPRODUCT(--($AJ$2:$AJ$1501&lt;$AJ634))+1,"")</f>
        <v/>
      </c>
      <c r="AH634">
        <f>IF($B634="","",IF(OR($M634=TRUE(),$M634="TRUE"),1,0))</f>
        <v/>
      </c>
      <c r="AI634">
        <f>IF($B634="","",IF($V634="Yes",1,0))</f>
        <v/>
      </c>
      <c r="AJ634">
        <f>IF($AF634=1,IFERROR(IF(VALUE($B634)&lt;100000000,VALUE($B634),1000000000),IFERROR(IF(VALUE(MID($B634,2,20))&lt;100000000,VALUE(MID($B634,2,20)),1000000000),1000000000))+ROW()/100000,"")</f>
        <v/>
      </c>
    </row>
    <row r="635">
      <c r="C635" s="11" t="n"/>
      <c r="J635" s="7">
        <f>IF($B635="","",I635*Q635/100)</f>
        <v/>
      </c>
      <c r="P635" s="7" t="n"/>
      <c r="Q635" s="7" t="n"/>
      <c r="R635" s="7">
        <f>IF($B635="","",Q635*W635/100)</f>
        <v/>
      </c>
      <c r="S635" s="7">
        <f>IF($B635="","",Q635-R635)</f>
        <v/>
      </c>
      <c r="T635" s="7">
        <f>IF($B635="","",S635-J635)</f>
        <v/>
      </c>
      <c r="W635">
        <f>IF($B635="","",IF($AI635=1,0,IF($AH635=1,Settings!$C$6,Settings!$C$7))*100)</f>
        <v/>
      </c>
      <c r="AA635" s="7" t="n"/>
      <c r="AD635" s="11" t="n"/>
      <c r="AF635">
        <f>IF($B635="","",IF(COUNTIF($B$2:$B635,$B635)=1,1,0))</f>
        <v/>
      </c>
      <c r="AG635">
        <f>IF($AF635=1,SUMPRODUCT(--($AJ$2:$AJ$1501&lt;$AJ635))+1,"")</f>
        <v/>
      </c>
      <c r="AH635">
        <f>IF($B635="","",IF(OR($M635=TRUE(),$M635="TRUE"),1,0))</f>
        <v/>
      </c>
      <c r="AI635">
        <f>IF($B635="","",IF($V635="Yes",1,0))</f>
        <v/>
      </c>
      <c r="AJ635">
        <f>IF($AF635=1,IFERROR(IF(VALUE($B635)&lt;100000000,VALUE($B635),1000000000),IFERROR(IF(VALUE(MID($B635,2,20))&lt;100000000,VALUE(MID($B635,2,20)),1000000000),1000000000))+ROW()/100000,"")</f>
        <v/>
      </c>
    </row>
    <row r="636">
      <c r="C636" s="11" t="n"/>
      <c r="J636" s="7">
        <f>IF($B636="","",I636*Q636/100)</f>
        <v/>
      </c>
      <c r="P636" s="7" t="n"/>
      <c r="Q636" s="7" t="n"/>
      <c r="R636" s="7">
        <f>IF($B636="","",Q636*W636/100)</f>
        <v/>
      </c>
      <c r="S636" s="7">
        <f>IF($B636="","",Q636-R636)</f>
        <v/>
      </c>
      <c r="T636" s="7">
        <f>IF($B636="","",S636-J636)</f>
        <v/>
      </c>
      <c r="W636">
        <f>IF($B636="","",IF($AI636=1,0,IF($AH636=1,Settings!$C$6,Settings!$C$7))*100)</f>
        <v/>
      </c>
      <c r="AA636" s="7" t="n"/>
      <c r="AD636" s="11" t="n"/>
      <c r="AF636">
        <f>IF($B636="","",IF(COUNTIF($B$2:$B636,$B636)=1,1,0))</f>
        <v/>
      </c>
      <c r="AG636">
        <f>IF($AF636=1,SUMPRODUCT(--($AJ$2:$AJ$1501&lt;$AJ636))+1,"")</f>
        <v/>
      </c>
      <c r="AH636">
        <f>IF($B636="","",IF(OR($M636=TRUE(),$M636="TRUE"),1,0))</f>
        <v/>
      </c>
      <c r="AI636">
        <f>IF($B636="","",IF($V636="Yes",1,0))</f>
        <v/>
      </c>
      <c r="AJ636">
        <f>IF($AF636=1,IFERROR(IF(VALUE($B636)&lt;100000000,VALUE($B636),1000000000),IFERROR(IF(VALUE(MID($B636,2,20))&lt;100000000,VALUE(MID($B636,2,20)),1000000000),1000000000))+ROW()/100000,"")</f>
        <v/>
      </c>
    </row>
    <row r="637">
      <c r="C637" s="11" t="n"/>
      <c r="J637" s="7">
        <f>IF($B637="","",I637*Q637/100)</f>
        <v/>
      </c>
      <c r="P637" s="7" t="n"/>
      <c r="Q637" s="7" t="n"/>
      <c r="R637" s="7">
        <f>IF($B637="","",Q637*W637/100)</f>
        <v/>
      </c>
      <c r="S637" s="7">
        <f>IF($B637="","",Q637-R637)</f>
        <v/>
      </c>
      <c r="T637" s="7">
        <f>IF($B637="","",S637-J637)</f>
        <v/>
      </c>
      <c r="W637">
        <f>IF($B637="","",IF($AI637=1,0,IF($AH637=1,Settings!$C$6,Settings!$C$7))*100)</f>
        <v/>
      </c>
      <c r="AA637" s="7" t="n"/>
      <c r="AD637" s="11" t="n"/>
      <c r="AF637">
        <f>IF($B637="","",IF(COUNTIF($B$2:$B637,$B637)=1,1,0))</f>
        <v/>
      </c>
      <c r="AG637">
        <f>IF($AF637=1,SUMPRODUCT(--($AJ$2:$AJ$1501&lt;$AJ637))+1,"")</f>
        <v/>
      </c>
      <c r="AH637">
        <f>IF($B637="","",IF(OR($M637=TRUE(),$M637="TRUE"),1,0))</f>
        <v/>
      </c>
      <c r="AI637">
        <f>IF($B637="","",IF($V637="Yes",1,0))</f>
        <v/>
      </c>
      <c r="AJ637">
        <f>IF($AF637=1,IFERROR(IF(VALUE($B637)&lt;100000000,VALUE($B637),1000000000),IFERROR(IF(VALUE(MID($B637,2,20))&lt;100000000,VALUE(MID($B637,2,20)),1000000000),1000000000))+ROW()/100000,"")</f>
        <v/>
      </c>
    </row>
    <row r="638">
      <c r="C638" s="11" t="n"/>
      <c r="J638" s="7">
        <f>IF($B638="","",I638*Q638/100)</f>
        <v/>
      </c>
      <c r="P638" s="7" t="n"/>
      <c r="Q638" s="7" t="n"/>
      <c r="R638" s="7">
        <f>IF($B638="","",Q638*W638/100)</f>
        <v/>
      </c>
      <c r="S638" s="7">
        <f>IF($B638="","",Q638-R638)</f>
        <v/>
      </c>
      <c r="T638" s="7">
        <f>IF($B638="","",S638-J638)</f>
        <v/>
      </c>
      <c r="W638">
        <f>IF($B638="","",IF($AI638=1,0,IF($AH638=1,Settings!$C$6,Settings!$C$7))*100)</f>
        <v/>
      </c>
      <c r="AA638" s="7" t="n"/>
      <c r="AD638" s="11" t="n"/>
      <c r="AF638">
        <f>IF($B638="","",IF(COUNTIF($B$2:$B638,$B638)=1,1,0))</f>
        <v/>
      </c>
      <c r="AG638">
        <f>IF($AF638=1,SUMPRODUCT(--($AJ$2:$AJ$1501&lt;$AJ638))+1,"")</f>
        <v/>
      </c>
      <c r="AH638">
        <f>IF($B638="","",IF(OR($M638=TRUE(),$M638="TRUE"),1,0))</f>
        <v/>
      </c>
      <c r="AI638">
        <f>IF($B638="","",IF($V638="Yes",1,0))</f>
        <v/>
      </c>
      <c r="AJ638">
        <f>IF($AF638=1,IFERROR(IF(VALUE($B638)&lt;100000000,VALUE($B638),1000000000),IFERROR(IF(VALUE(MID($B638,2,20))&lt;100000000,VALUE(MID($B638,2,20)),1000000000),1000000000))+ROW()/100000,"")</f>
        <v/>
      </c>
    </row>
    <row r="639">
      <c r="C639" s="11" t="n"/>
      <c r="J639" s="7">
        <f>IF($B639="","",I639*Q639/100)</f>
        <v/>
      </c>
      <c r="P639" s="7" t="n"/>
      <c r="Q639" s="7" t="n"/>
      <c r="R639" s="7">
        <f>IF($B639="","",Q639*W639/100)</f>
        <v/>
      </c>
      <c r="S639" s="7">
        <f>IF($B639="","",Q639-R639)</f>
        <v/>
      </c>
      <c r="T639" s="7">
        <f>IF($B639="","",S639-J639)</f>
        <v/>
      </c>
      <c r="W639">
        <f>IF($B639="","",IF($AI639=1,0,IF($AH639=1,Settings!$C$6,Settings!$C$7))*100)</f>
        <v/>
      </c>
      <c r="AA639" s="7" t="n"/>
      <c r="AD639" s="11" t="n"/>
      <c r="AF639">
        <f>IF($B639="","",IF(COUNTIF($B$2:$B639,$B639)=1,1,0))</f>
        <v/>
      </c>
      <c r="AG639">
        <f>IF($AF639=1,SUMPRODUCT(--($AJ$2:$AJ$1501&lt;$AJ639))+1,"")</f>
        <v/>
      </c>
      <c r="AH639">
        <f>IF($B639="","",IF(OR($M639=TRUE(),$M639="TRUE"),1,0))</f>
        <v/>
      </c>
      <c r="AI639">
        <f>IF($B639="","",IF($V639="Yes",1,0))</f>
        <v/>
      </c>
      <c r="AJ639">
        <f>IF($AF639=1,IFERROR(IF(VALUE($B639)&lt;100000000,VALUE($B639),1000000000),IFERROR(IF(VALUE(MID($B639,2,20))&lt;100000000,VALUE(MID($B639,2,20)),1000000000),1000000000))+ROW()/100000,"")</f>
        <v/>
      </c>
    </row>
    <row r="640">
      <c r="C640" s="11" t="n"/>
      <c r="J640" s="7">
        <f>IF($B640="","",I640*Q640/100)</f>
        <v/>
      </c>
      <c r="P640" s="7" t="n"/>
      <c r="Q640" s="7" t="n"/>
      <c r="R640" s="7">
        <f>IF($B640="","",Q640*W640/100)</f>
        <v/>
      </c>
      <c r="S640" s="7">
        <f>IF($B640="","",Q640-R640)</f>
        <v/>
      </c>
      <c r="T640" s="7">
        <f>IF($B640="","",S640-J640)</f>
        <v/>
      </c>
      <c r="W640">
        <f>IF($B640="","",IF($AI640=1,0,IF($AH640=1,Settings!$C$6,Settings!$C$7))*100)</f>
        <v/>
      </c>
      <c r="AA640" s="7" t="n"/>
      <c r="AD640" s="11" t="n"/>
      <c r="AF640">
        <f>IF($B640="","",IF(COUNTIF($B$2:$B640,$B640)=1,1,0))</f>
        <v/>
      </c>
      <c r="AG640">
        <f>IF($AF640=1,SUMPRODUCT(--($AJ$2:$AJ$1501&lt;$AJ640))+1,"")</f>
        <v/>
      </c>
      <c r="AH640">
        <f>IF($B640="","",IF(OR($M640=TRUE(),$M640="TRUE"),1,0))</f>
        <v/>
      </c>
      <c r="AI640">
        <f>IF($B640="","",IF($V640="Yes",1,0))</f>
        <v/>
      </c>
      <c r="AJ640">
        <f>IF($AF640=1,IFERROR(IF(VALUE($B640)&lt;100000000,VALUE($B640),1000000000),IFERROR(IF(VALUE(MID($B640,2,20))&lt;100000000,VALUE(MID($B640,2,20)),1000000000),1000000000))+ROW()/100000,"")</f>
        <v/>
      </c>
    </row>
    <row r="641">
      <c r="C641" s="11" t="n"/>
      <c r="J641" s="7">
        <f>IF($B641="","",I641*Q641/100)</f>
        <v/>
      </c>
      <c r="P641" s="7" t="n"/>
      <c r="Q641" s="7" t="n"/>
      <c r="R641" s="7">
        <f>IF($B641="","",Q641*W641/100)</f>
        <v/>
      </c>
      <c r="S641" s="7">
        <f>IF($B641="","",Q641-R641)</f>
        <v/>
      </c>
      <c r="T641" s="7">
        <f>IF($B641="","",S641-J641)</f>
        <v/>
      </c>
      <c r="W641">
        <f>IF($B641="","",IF($AI641=1,0,IF($AH641=1,Settings!$C$6,Settings!$C$7))*100)</f>
        <v/>
      </c>
      <c r="AA641" s="7" t="n"/>
      <c r="AD641" s="11" t="n"/>
      <c r="AF641">
        <f>IF($B641="","",IF(COUNTIF($B$2:$B641,$B641)=1,1,0))</f>
        <v/>
      </c>
      <c r="AG641">
        <f>IF($AF641=1,SUMPRODUCT(--($AJ$2:$AJ$1501&lt;$AJ641))+1,"")</f>
        <v/>
      </c>
      <c r="AH641">
        <f>IF($B641="","",IF(OR($M641=TRUE(),$M641="TRUE"),1,0))</f>
        <v/>
      </c>
      <c r="AI641">
        <f>IF($B641="","",IF($V641="Yes",1,0))</f>
        <v/>
      </c>
      <c r="AJ641">
        <f>IF($AF641=1,IFERROR(IF(VALUE($B641)&lt;100000000,VALUE($B641),1000000000),IFERROR(IF(VALUE(MID($B641,2,20))&lt;100000000,VALUE(MID($B641,2,20)),1000000000),1000000000))+ROW()/100000,"")</f>
        <v/>
      </c>
    </row>
    <row r="642">
      <c r="C642" s="11" t="n"/>
      <c r="J642" s="7">
        <f>IF($B642="","",I642*Q642/100)</f>
        <v/>
      </c>
      <c r="P642" s="7" t="n"/>
      <c r="Q642" s="7" t="n"/>
      <c r="R642" s="7">
        <f>IF($B642="","",Q642*W642/100)</f>
        <v/>
      </c>
      <c r="S642" s="7">
        <f>IF($B642="","",Q642-R642)</f>
        <v/>
      </c>
      <c r="T642" s="7">
        <f>IF($B642="","",S642-J642)</f>
        <v/>
      </c>
      <c r="W642">
        <f>IF($B642="","",IF($AI642=1,0,IF($AH642=1,Settings!$C$6,Settings!$C$7))*100)</f>
        <v/>
      </c>
      <c r="AA642" s="7" t="n"/>
      <c r="AD642" s="11" t="n"/>
      <c r="AF642">
        <f>IF($B642="","",IF(COUNTIF($B$2:$B642,$B642)=1,1,0))</f>
        <v/>
      </c>
      <c r="AG642">
        <f>IF($AF642=1,SUMPRODUCT(--($AJ$2:$AJ$1501&lt;$AJ642))+1,"")</f>
        <v/>
      </c>
      <c r="AH642">
        <f>IF($B642="","",IF(OR($M642=TRUE(),$M642="TRUE"),1,0))</f>
        <v/>
      </c>
      <c r="AI642">
        <f>IF($B642="","",IF($V642="Yes",1,0))</f>
        <v/>
      </c>
      <c r="AJ642">
        <f>IF($AF642=1,IFERROR(IF(VALUE($B642)&lt;100000000,VALUE($B642),1000000000),IFERROR(IF(VALUE(MID($B642,2,20))&lt;100000000,VALUE(MID($B642,2,20)),1000000000),1000000000))+ROW()/100000,"")</f>
        <v/>
      </c>
    </row>
    <row r="643">
      <c r="C643" s="11" t="n"/>
      <c r="J643" s="7">
        <f>IF($B643="","",I643*Q643/100)</f>
        <v/>
      </c>
      <c r="P643" s="7" t="n"/>
      <c r="Q643" s="7" t="n"/>
      <c r="R643" s="7">
        <f>IF($B643="","",Q643*W643/100)</f>
        <v/>
      </c>
      <c r="S643" s="7">
        <f>IF($B643="","",Q643-R643)</f>
        <v/>
      </c>
      <c r="T643" s="7">
        <f>IF($B643="","",S643-J643)</f>
        <v/>
      </c>
      <c r="W643">
        <f>IF($B643="","",IF($AI643=1,0,IF($AH643=1,Settings!$C$6,Settings!$C$7))*100)</f>
        <v/>
      </c>
      <c r="AA643" s="7" t="n"/>
      <c r="AD643" s="11" t="n"/>
      <c r="AF643">
        <f>IF($B643="","",IF(COUNTIF($B$2:$B643,$B643)=1,1,0))</f>
        <v/>
      </c>
      <c r="AG643">
        <f>IF($AF643=1,SUMPRODUCT(--($AJ$2:$AJ$1501&lt;$AJ643))+1,"")</f>
        <v/>
      </c>
      <c r="AH643">
        <f>IF($B643="","",IF(OR($M643=TRUE(),$M643="TRUE"),1,0))</f>
        <v/>
      </c>
      <c r="AI643">
        <f>IF($B643="","",IF($V643="Yes",1,0))</f>
        <v/>
      </c>
      <c r="AJ643">
        <f>IF($AF643=1,IFERROR(IF(VALUE($B643)&lt;100000000,VALUE($B643),1000000000),IFERROR(IF(VALUE(MID($B643,2,20))&lt;100000000,VALUE(MID($B643,2,20)),1000000000),1000000000))+ROW()/100000,"")</f>
        <v/>
      </c>
    </row>
    <row r="644">
      <c r="C644" s="11" t="n"/>
      <c r="J644" s="7">
        <f>IF($B644="","",I644*Q644/100)</f>
        <v/>
      </c>
      <c r="P644" s="7" t="n"/>
      <c r="Q644" s="7" t="n"/>
      <c r="R644" s="7">
        <f>IF($B644="","",Q644*W644/100)</f>
        <v/>
      </c>
      <c r="S644" s="7">
        <f>IF($B644="","",Q644-R644)</f>
        <v/>
      </c>
      <c r="T644" s="7">
        <f>IF($B644="","",S644-J644)</f>
        <v/>
      </c>
      <c r="W644">
        <f>IF($B644="","",IF($AI644=1,0,IF($AH644=1,Settings!$C$6,Settings!$C$7))*100)</f>
        <v/>
      </c>
      <c r="AA644" s="7" t="n"/>
      <c r="AD644" s="11" t="n"/>
      <c r="AF644">
        <f>IF($B644="","",IF(COUNTIF($B$2:$B644,$B644)=1,1,0))</f>
        <v/>
      </c>
      <c r="AG644">
        <f>IF($AF644=1,SUMPRODUCT(--($AJ$2:$AJ$1501&lt;$AJ644))+1,"")</f>
        <v/>
      </c>
      <c r="AH644">
        <f>IF($B644="","",IF(OR($M644=TRUE(),$M644="TRUE"),1,0))</f>
        <v/>
      </c>
      <c r="AI644">
        <f>IF($B644="","",IF($V644="Yes",1,0))</f>
        <v/>
      </c>
      <c r="AJ644">
        <f>IF($AF644=1,IFERROR(IF(VALUE($B644)&lt;100000000,VALUE($B644),1000000000),IFERROR(IF(VALUE(MID($B644,2,20))&lt;100000000,VALUE(MID($B644,2,20)),1000000000),1000000000))+ROW()/100000,"")</f>
        <v/>
      </c>
    </row>
    <row r="645">
      <c r="C645" s="11" t="n"/>
      <c r="J645" s="7">
        <f>IF($B645="","",I645*Q645/100)</f>
        <v/>
      </c>
      <c r="P645" s="7" t="n"/>
      <c r="Q645" s="7" t="n"/>
      <c r="R645" s="7">
        <f>IF($B645="","",Q645*W645/100)</f>
        <v/>
      </c>
      <c r="S645" s="7">
        <f>IF($B645="","",Q645-R645)</f>
        <v/>
      </c>
      <c r="T645" s="7">
        <f>IF($B645="","",S645-J645)</f>
        <v/>
      </c>
      <c r="W645">
        <f>IF($B645="","",IF($AI645=1,0,IF($AH645=1,Settings!$C$6,Settings!$C$7))*100)</f>
        <v/>
      </c>
      <c r="AA645" s="7" t="n"/>
      <c r="AD645" s="11" t="n"/>
      <c r="AF645">
        <f>IF($B645="","",IF(COUNTIF($B$2:$B645,$B645)=1,1,0))</f>
        <v/>
      </c>
      <c r="AG645">
        <f>IF($AF645=1,SUMPRODUCT(--($AJ$2:$AJ$1501&lt;$AJ645))+1,"")</f>
        <v/>
      </c>
      <c r="AH645">
        <f>IF($B645="","",IF(OR($M645=TRUE(),$M645="TRUE"),1,0))</f>
        <v/>
      </c>
      <c r="AI645">
        <f>IF($B645="","",IF($V645="Yes",1,0))</f>
        <v/>
      </c>
      <c r="AJ645">
        <f>IF($AF645=1,IFERROR(IF(VALUE($B645)&lt;100000000,VALUE($B645),1000000000),IFERROR(IF(VALUE(MID($B645,2,20))&lt;100000000,VALUE(MID($B645,2,20)),1000000000),1000000000))+ROW()/100000,"")</f>
        <v/>
      </c>
    </row>
    <row r="646">
      <c r="C646" s="11" t="n"/>
      <c r="J646" s="7">
        <f>IF($B646="","",I646*Q646/100)</f>
        <v/>
      </c>
      <c r="P646" s="7" t="n"/>
      <c r="Q646" s="7" t="n"/>
      <c r="R646" s="7">
        <f>IF($B646="","",Q646*W646/100)</f>
        <v/>
      </c>
      <c r="S646" s="7">
        <f>IF($B646="","",Q646-R646)</f>
        <v/>
      </c>
      <c r="T646" s="7">
        <f>IF($B646="","",S646-J646)</f>
        <v/>
      </c>
      <c r="W646">
        <f>IF($B646="","",IF($AI646=1,0,IF($AH646=1,Settings!$C$6,Settings!$C$7))*100)</f>
        <v/>
      </c>
      <c r="AA646" s="7" t="n"/>
      <c r="AD646" s="11" t="n"/>
      <c r="AF646">
        <f>IF($B646="","",IF(COUNTIF($B$2:$B646,$B646)=1,1,0))</f>
        <v/>
      </c>
      <c r="AG646">
        <f>IF($AF646=1,SUMPRODUCT(--($AJ$2:$AJ$1501&lt;$AJ646))+1,"")</f>
        <v/>
      </c>
      <c r="AH646">
        <f>IF($B646="","",IF(OR($M646=TRUE(),$M646="TRUE"),1,0))</f>
        <v/>
      </c>
      <c r="AI646">
        <f>IF($B646="","",IF($V646="Yes",1,0))</f>
        <v/>
      </c>
      <c r="AJ646">
        <f>IF($AF646=1,IFERROR(IF(VALUE($B646)&lt;100000000,VALUE($B646),1000000000),IFERROR(IF(VALUE(MID($B646,2,20))&lt;100000000,VALUE(MID($B646,2,20)),1000000000),1000000000))+ROW()/100000,"")</f>
        <v/>
      </c>
    </row>
    <row r="647">
      <c r="C647" s="11" t="n"/>
      <c r="J647" s="7">
        <f>IF($B647="","",I647*Q647/100)</f>
        <v/>
      </c>
      <c r="P647" s="7" t="n"/>
      <c r="Q647" s="7" t="n"/>
      <c r="R647" s="7">
        <f>IF($B647="","",Q647*W647/100)</f>
        <v/>
      </c>
      <c r="S647" s="7">
        <f>IF($B647="","",Q647-R647)</f>
        <v/>
      </c>
      <c r="T647" s="7">
        <f>IF($B647="","",S647-J647)</f>
        <v/>
      </c>
      <c r="W647">
        <f>IF($B647="","",IF($AI647=1,0,IF($AH647=1,Settings!$C$6,Settings!$C$7))*100)</f>
        <v/>
      </c>
      <c r="AA647" s="7" t="n"/>
      <c r="AD647" s="11" t="n"/>
      <c r="AF647">
        <f>IF($B647="","",IF(COUNTIF($B$2:$B647,$B647)=1,1,0))</f>
        <v/>
      </c>
      <c r="AG647">
        <f>IF($AF647=1,SUMPRODUCT(--($AJ$2:$AJ$1501&lt;$AJ647))+1,"")</f>
        <v/>
      </c>
      <c r="AH647">
        <f>IF($B647="","",IF(OR($M647=TRUE(),$M647="TRUE"),1,0))</f>
        <v/>
      </c>
      <c r="AI647">
        <f>IF($B647="","",IF($V647="Yes",1,0))</f>
        <v/>
      </c>
      <c r="AJ647">
        <f>IF($AF647=1,IFERROR(IF(VALUE($B647)&lt;100000000,VALUE($B647),1000000000),IFERROR(IF(VALUE(MID($B647,2,20))&lt;100000000,VALUE(MID($B647,2,20)),1000000000),1000000000))+ROW()/100000,"")</f>
        <v/>
      </c>
    </row>
    <row r="648">
      <c r="C648" s="11" t="n"/>
      <c r="J648" s="7">
        <f>IF($B648="","",I648*Q648/100)</f>
        <v/>
      </c>
      <c r="P648" s="7" t="n"/>
      <c r="Q648" s="7" t="n"/>
      <c r="R648" s="7">
        <f>IF($B648="","",Q648*W648/100)</f>
        <v/>
      </c>
      <c r="S648" s="7">
        <f>IF($B648="","",Q648-R648)</f>
        <v/>
      </c>
      <c r="T648" s="7">
        <f>IF($B648="","",S648-J648)</f>
        <v/>
      </c>
      <c r="W648">
        <f>IF($B648="","",IF($AI648=1,0,IF($AH648=1,Settings!$C$6,Settings!$C$7))*100)</f>
        <v/>
      </c>
      <c r="AA648" s="7" t="n"/>
      <c r="AD648" s="11" t="n"/>
      <c r="AF648">
        <f>IF($B648="","",IF(COUNTIF($B$2:$B648,$B648)=1,1,0))</f>
        <v/>
      </c>
      <c r="AG648">
        <f>IF($AF648=1,SUMPRODUCT(--($AJ$2:$AJ$1501&lt;$AJ648))+1,"")</f>
        <v/>
      </c>
      <c r="AH648">
        <f>IF($B648="","",IF(OR($M648=TRUE(),$M648="TRUE"),1,0))</f>
        <v/>
      </c>
      <c r="AI648">
        <f>IF($B648="","",IF($V648="Yes",1,0))</f>
        <v/>
      </c>
      <c r="AJ648">
        <f>IF($AF648=1,IFERROR(IF(VALUE($B648)&lt;100000000,VALUE($B648),1000000000),IFERROR(IF(VALUE(MID($B648,2,20))&lt;100000000,VALUE(MID($B648,2,20)),1000000000),1000000000))+ROW()/100000,"")</f>
        <v/>
      </c>
    </row>
    <row r="649">
      <c r="C649" s="11" t="n"/>
      <c r="J649" s="7">
        <f>IF($B649="","",I649*Q649/100)</f>
        <v/>
      </c>
      <c r="P649" s="7" t="n"/>
      <c r="Q649" s="7" t="n"/>
      <c r="R649" s="7">
        <f>IF($B649="","",Q649*W649/100)</f>
        <v/>
      </c>
      <c r="S649" s="7">
        <f>IF($B649="","",Q649-R649)</f>
        <v/>
      </c>
      <c r="T649" s="7">
        <f>IF($B649="","",S649-J649)</f>
        <v/>
      </c>
      <c r="W649">
        <f>IF($B649="","",IF($AI649=1,0,IF($AH649=1,Settings!$C$6,Settings!$C$7))*100)</f>
        <v/>
      </c>
      <c r="AA649" s="7" t="n"/>
      <c r="AD649" s="11" t="n"/>
      <c r="AF649">
        <f>IF($B649="","",IF(COUNTIF($B$2:$B649,$B649)=1,1,0))</f>
        <v/>
      </c>
      <c r="AG649">
        <f>IF($AF649=1,SUMPRODUCT(--($AJ$2:$AJ$1501&lt;$AJ649))+1,"")</f>
        <v/>
      </c>
      <c r="AH649">
        <f>IF($B649="","",IF(OR($M649=TRUE(),$M649="TRUE"),1,0))</f>
        <v/>
      </c>
      <c r="AI649">
        <f>IF($B649="","",IF($V649="Yes",1,0))</f>
        <v/>
      </c>
      <c r="AJ649">
        <f>IF($AF649=1,IFERROR(IF(VALUE($B649)&lt;100000000,VALUE($B649),1000000000),IFERROR(IF(VALUE(MID($B649,2,20))&lt;100000000,VALUE(MID($B649,2,20)),1000000000),1000000000))+ROW()/100000,"")</f>
        <v/>
      </c>
    </row>
    <row r="650">
      <c r="C650" s="11" t="n"/>
      <c r="J650" s="7">
        <f>IF($B650="","",I650*Q650/100)</f>
        <v/>
      </c>
      <c r="P650" s="7" t="n"/>
      <c r="Q650" s="7" t="n"/>
      <c r="R650" s="7">
        <f>IF($B650="","",Q650*W650/100)</f>
        <v/>
      </c>
      <c r="S650" s="7">
        <f>IF($B650="","",Q650-R650)</f>
        <v/>
      </c>
      <c r="T650" s="7">
        <f>IF($B650="","",S650-J650)</f>
        <v/>
      </c>
      <c r="W650">
        <f>IF($B650="","",IF($AI650=1,0,IF($AH650=1,Settings!$C$6,Settings!$C$7))*100)</f>
        <v/>
      </c>
      <c r="AA650" s="7" t="n"/>
      <c r="AD650" s="11" t="n"/>
      <c r="AF650">
        <f>IF($B650="","",IF(COUNTIF($B$2:$B650,$B650)=1,1,0))</f>
        <v/>
      </c>
      <c r="AG650">
        <f>IF($AF650=1,SUMPRODUCT(--($AJ$2:$AJ$1501&lt;$AJ650))+1,"")</f>
        <v/>
      </c>
      <c r="AH650">
        <f>IF($B650="","",IF(OR($M650=TRUE(),$M650="TRUE"),1,0))</f>
        <v/>
      </c>
      <c r="AI650">
        <f>IF($B650="","",IF($V650="Yes",1,0))</f>
        <v/>
      </c>
      <c r="AJ650">
        <f>IF($AF650=1,IFERROR(IF(VALUE($B650)&lt;100000000,VALUE($B650),1000000000),IFERROR(IF(VALUE(MID($B650,2,20))&lt;100000000,VALUE(MID($B650,2,20)),1000000000),1000000000))+ROW()/100000,"")</f>
        <v/>
      </c>
    </row>
    <row r="651">
      <c r="C651" s="11" t="n"/>
      <c r="J651" s="7">
        <f>IF($B651="","",I651*Q651/100)</f>
        <v/>
      </c>
      <c r="P651" s="7" t="n"/>
      <c r="Q651" s="7" t="n"/>
      <c r="R651" s="7">
        <f>IF($B651="","",Q651*W651/100)</f>
        <v/>
      </c>
      <c r="S651" s="7">
        <f>IF($B651="","",Q651-R651)</f>
        <v/>
      </c>
      <c r="T651" s="7">
        <f>IF($B651="","",S651-J651)</f>
        <v/>
      </c>
      <c r="W651">
        <f>IF($B651="","",IF($AI651=1,0,IF($AH651=1,Settings!$C$6,Settings!$C$7))*100)</f>
        <v/>
      </c>
      <c r="AA651" s="7" t="n"/>
      <c r="AD651" s="11" t="n"/>
      <c r="AF651">
        <f>IF($B651="","",IF(COUNTIF($B$2:$B651,$B651)=1,1,0))</f>
        <v/>
      </c>
      <c r="AG651">
        <f>IF($AF651=1,SUMPRODUCT(--($AJ$2:$AJ$1501&lt;$AJ651))+1,"")</f>
        <v/>
      </c>
      <c r="AH651">
        <f>IF($B651="","",IF(OR($M651=TRUE(),$M651="TRUE"),1,0))</f>
        <v/>
      </c>
      <c r="AI651">
        <f>IF($B651="","",IF($V651="Yes",1,0))</f>
        <v/>
      </c>
      <c r="AJ651">
        <f>IF($AF651=1,IFERROR(IF(VALUE($B651)&lt;100000000,VALUE($B651),1000000000),IFERROR(IF(VALUE(MID($B651,2,20))&lt;100000000,VALUE(MID($B651,2,20)),1000000000),1000000000))+ROW()/100000,"")</f>
        <v/>
      </c>
    </row>
    <row r="652">
      <c r="C652" s="11" t="n"/>
      <c r="J652" s="7">
        <f>IF($B652="","",I652*Q652/100)</f>
        <v/>
      </c>
      <c r="P652" s="7" t="n"/>
      <c r="Q652" s="7" t="n"/>
      <c r="R652" s="7">
        <f>IF($B652="","",Q652*W652/100)</f>
        <v/>
      </c>
      <c r="S652" s="7">
        <f>IF($B652="","",Q652-R652)</f>
        <v/>
      </c>
      <c r="T652" s="7">
        <f>IF($B652="","",S652-J652)</f>
        <v/>
      </c>
      <c r="W652">
        <f>IF($B652="","",IF($AI652=1,0,IF($AH652=1,Settings!$C$6,Settings!$C$7))*100)</f>
        <v/>
      </c>
      <c r="AA652" s="7" t="n"/>
      <c r="AD652" s="11" t="n"/>
      <c r="AF652">
        <f>IF($B652="","",IF(COUNTIF($B$2:$B652,$B652)=1,1,0))</f>
        <v/>
      </c>
      <c r="AG652">
        <f>IF($AF652=1,SUMPRODUCT(--($AJ$2:$AJ$1501&lt;$AJ652))+1,"")</f>
        <v/>
      </c>
      <c r="AH652">
        <f>IF($B652="","",IF(OR($M652=TRUE(),$M652="TRUE"),1,0))</f>
        <v/>
      </c>
      <c r="AI652">
        <f>IF($B652="","",IF($V652="Yes",1,0))</f>
        <v/>
      </c>
      <c r="AJ652">
        <f>IF($AF652=1,IFERROR(IF(VALUE($B652)&lt;100000000,VALUE($B652),1000000000),IFERROR(IF(VALUE(MID($B652,2,20))&lt;100000000,VALUE(MID($B652,2,20)),1000000000),1000000000))+ROW()/100000,"")</f>
        <v/>
      </c>
    </row>
    <row r="653">
      <c r="C653" s="11" t="n"/>
      <c r="J653" s="7">
        <f>IF($B653="","",I653*Q653/100)</f>
        <v/>
      </c>
      <c r="P653" s="7" t="n"/>
      <c r="Q653" s="7" t="n"/>
      <c r="R653" s="7">
        <f>IF($B653="","",Q653*W653/100)</f>
        <v/>
      </c>
      <c r="S653" s="7">
        <f>IF($B653="","",Q653-R653)</f>
        <v/>
      </c>
      <c r="T653" s="7">
        <f>IF($B653="","",S653-J653)</f>
        <v/>
      </c>
      <c r="W653">
        <f>IF($B653="","",IF($AI653=1,0,IF($AH653=1,Settings!$C$6,Settings!$C$7))*100)</f>
        <v/>
      </c>
      <c r="AA653" s="7" t="n"/>
      <c r="AD653" s="11" t="n"/>
      <c r="AF653">
        <f>IF($B653="","",IF(COUNTIF($B$2:$B653,$B653)=1,1,0))</f>
        <v/>
      </c>
      <c r="AG653">
        <f>IF($AF653=1,SUMPRODUCT(--($AJ$2:$AJ$1501&lt;$AJ653))+1,"")</f>
        <v/>
      </c>
      <c r="AH653">
        <f>IF($B653="","",IF(OR($M653=TRUE(),$M653="TRUE"),1,0))</f>
        <v/>
      </c>
      <c r="AI653">
        <f>IF($B653="","",IF($V653="Yes",1,0))</f>
        <v/>
      </c>
      <c r="AJ653">
        <f>IF($AF653=1,IFERROR(IF(VALUE($B653)&lt;100000000,VALUE($B653),1000000000),IFERROR(IF(VALUE(MID($B653,2,20))&lt;100000000,VALUE(MID($B653,2,20)),1000000000),1000000000))+ROW()/100000,"")</f>
        <v/>
      </c>
    </row>
    <row r="654">
      <c r="C654" s="11" t="n"/>
      <c r="J654" s="7">
        <f>IF($B654="","",I654*Q654/100)</f>
        <v/>
      </c>
      <c r="P654" s="7" t="n"/>
      <c r="Q654" s="7" t="n"/>
      <c r="R654" s="7">
        <f>IF($B654="","",Q654*W654/100)</f>
        <v/>
      </c>
      <c r="S654" s="7">
        <f>IF($B654="","",Q654-R654)</f>
        <v/>
      </c>
      <c r="T654" s="7">
        <f>IF($B654="","",S654-J654)</f>
        <v/>
      </c>
      <c r="W654">
        <f>IF($B654="","",IF($AI654=1,0,IF($AH654=1,Settings!$C$6,Settings!$C$7))*100)</f>
        <v/>
      </c>
      <c r="AA654" s="7" t="n"/>
      <c r="AD654" s="11" t="n"/>
      <c r="AF654">
        <f>IF($B654="","",IF(COUNTIF($B$2:$B654,$B654)=1,1,0))</f>
        <v/>
      </c>
      <c r="AG654">
        <f>IF($AF654=1,SUMPRODUCT(--($AJ$2:$AJ$1501&lt;$AJ654))+1,"")</f>
        <v/>
      </c>
      <c r="AH654">
        <f>IF($B654="","",IF(OR($M654=TRUE(),$M654="TRUE"),1,0))</f>
        <v/>
      </c>
      <c r="AI654">
        <f>IF($B654="","",IF($V654="Yes",1,0))</f>
        <v/>
      </c>
      <c r="AJ654">
        <f>IF($AF654=1,IFERROR(IF(VALUE($B654)&lt;100000000,VALUE($B654),1000000000),IFERROR(IF(VALUE(MID($B654,2,20))&lt;100000000,VALUE(MID($B654,2,20)),1000000000),1000000000))+ROW()/100000,"")</f>
        <v/>
      </c>
    </row>
    <row r="655">
      <c r="C655" s="11" t="n"/>
      <c r="J655" s="7">
        <f>IF($B655="","",I655*Q655/100)</f>
        <v/>
      </c>
      <c r="P655" s="7" t="n"/>
      <c r="Q655" s="7" t="n"/>
      <c r="R655" s="7">
        <f>IF($B655="","",Q655*W655/100)</f>
        <v/>
      </c>
      <c r="S655" s="7">
        <f>IF($B655="","",Q655-R655)</f>
        <v/>
      </c>
      <c r="T655" s="7">
        <f>IF($B655="","",S655-J655)</f>
        <v/>
      </c>
      <c r="W655">
        <f>IF($B655="","",IF($AI655=1,0,IF($AH655=1,Settings!$C$6,Settings!$C$7))*100)</f>
        <v/>
      </c>
      <c r="AA655" s="7" t="n"/>
      <c r="AD655" s="11" t="n"/>
      <c r="AF655">
        <f>IF($B655="","",IF(COUNTIF($B$2:$B655,$B655)=1,1,0))</f>
        <v/>
      </c>
      <c r="AG655">
        <f>IF($AF655=1,SUMPRODUCT(--($AJ$2:$AJ$1501&lt;$AJ655))+1,"")</f>
        <v/>
      </c>
      <c r="AH655">
        <f>IF($B655="","",IF(OR($M655=TRUE(),$M655="TRUE"),1,0))</f>
        <v/>
      </c>
      <c r="AI655">
        <f>IF($B655="","",IF($V655="Yes",1,0))</f>
        <v/>
      </c>
      <c r="AJ655">
        <f>IF($AF655=1,IFERROR(IF(VALUE($B655)&lt;100000000,VALUE($B655),1000000000),IFERROR(IF(VALUE(MID($B655,2,20))&lt;100000000,VALUE(MID($B655,2,20)),1000000000),1000000000))+ROW()/100000,"")</f>
        <v/>
      </c>
    </row>
    <row r="656">
      <c r="C656" s="11" t="n"/>
      <c r="J656" s="7">
        <f>IF($B656="","",I656*Q656/100)</f>
        <v/>
      </c>
      <c r="P656" s="7" t="n"/>
      <c r="Q656" s="7" t="n"/>
      <c r="R656" s="7">
        <f>IF($B656="","",Q656*W656/100)</f>
        <v/>
      </c>
      <c r="S656" s="7">
        <f>IF($B656="","",Q656-R656)</f>
        <v/>
      </c>
      <c r="T656" s="7">
        <f>IF($B656="","",S656-J656)</f>
        <v/>
      </c>
      <c r="W656">
        <f>IF($B656="","",IF($AI656=1,0,IF($AH656=1,Settings!$C$6,Settings!$C$7))*100)</f>
        <v/>
      </c>
      <c r="AA656" s="7" t="n"/>
      <c r="AD656" s="11" t="n"/>
      <c r="AF656">
        <f>IF($B656="","",IF(COUNTIF($B$2:$B656,$B656)=1,1,0))</f>
        <v/>
      </c>
      <c r="AG656">
        <f>IF($AF656=1,SUMPRODUCT(--($AJ$2:$AJ$1501&lt;$AJ656))+1,"")</f>
        <v/>
      </c>
      <c r="AH656">
        <f>IF($B656="","",IF(OR($M656=TRUE(),$M656="TRUE"),1,0))</f>
        <v/>
      </c>
      <c r="AI656">
        <f>IF($B656="","",IF($V656="Yes",1,0))</f>
        <v/>
      </c>
      <c r="AJ656">
        <f>IF($AF656=1,IFERROR(IF(VALUE($B656)&lt;100000000,VALUE($B656),1000000000),IFERROR(IF(VALUE(MID($B656,2,20))&lt;100000000,VALUE(MID($B656,2,20)),1000000000),1000000000))+ROW()/100000,"")</f>
        <v/>
      </c>
    </row>
    <row r="657">
      <c r="C657" s="11" t="n"/>
      <c r="J657" s="7">
        <f>IF($B657="","",I657*Q657/100)</f>
        <v/>
      </c>
      <c r="P657" s="7" t="n"/>
      <c r="Q657" s="7" t="n"/>
      <c r="R657" s="7">
        <f>IF($B657="","",Q657*W657/100)</f>
        <v/>
      </c>
      <c r="S657" s="7">
        <f>IF($B657="","",Q657-R657)</f>
        <v/>
      </c>
      <c r="T657" s="7">
        <f>IF($B657="","",S657-J657)</f>
        <v/>
      </c>
      <c r="W657">
        <f>IF($B657="","",IF($AI657=1,0,IF($AH657=1,Settings!$C$6,Settings!$C$7))*100)</f>
        <v/>
      </c>
      <c r="AA657" s="7" t="n"/>
      <c r="AD657" s="11" t="n"/>
      <c r="AF657">
        <f>IF($B657="","",IF(COUNTIF($B$2:$B657,$B657)=1,1,0))</f>
        <v/>
      </c>
      <c r="AG657">
        <f>IF($AF657=1,SUMPRODUCT(--($AJ$2:$AJ$1501&lt;$AJ657))+1,"")</f>
        <v/>
      </c>
      <c r="AH657">
        <f>IF($B657="","",IF(OR($M657=TRUE(),$M657="TRUE"),1,0))</f>
        <v/>
      </c>
      <c r="AI657">
        <f>IF($B657="","",IF($V657="Yes",1,0))</f>
        <v/>
      </c>
      <c r="AJ657">
        <f>IF($AF657=1,IFERROR(IF(VALUE($B657)&lt;100000000,VALUE($B657),1000000000),IFERROR(IF(VALUE(MID($B657,2,20))&lt;100000000,VALUE(MID($B657,2,20)),1000000000),1000000000))+ROW()/100000,"")</f>
        <v/>
      </c>
    </row>
    <row r="658">
      <c r="C658" s="11" t="n"/>
      <c r="J658" s="7">
        <f>IF($B658="","",I658*Q658/100)</f>
        <v/>
      </c>
      <c r="P658" s="7" t="n"/>
      <c r="Q658" s="7" t="n"/>
      <c r="R658" s="7">
        <f>IF($B658="","",Q658*W658/100)</f>
        <v/>
      </c>
      <c r="S658" s="7">
        <f>IF($B658="","",Q658-R658)</f>
        <v/>
      </c>
      <c r="T658" s="7">
        <f>IF($B658="","",S658-J658)</f>
        <v/>
      </c>
      <c r="W658">
        <f>IF($B658="","",IF($AI658=1,0,IF($AH658=1,Settings!$C$6,Settings!$C$7))*100)</f>
        <v/>
      </c>
      <c r="AA658" s="7" t="n"/>
      <c r="AD658" s="11" t="n"/>
      <c r="AF658">
        <f>IF($B658="","",IF(COUNTIF($B$2:$B658,$B658)=1,1,0))</f>
        <v/>
      </c>
      <c r="AG658">
        <f>IF($AF658=1,SUMPRODUCT(--($AJ$2:$AJ$1501&lt;$AJ658))+1,"")</f>
        <v/>
      </c>
      <c r="AH658">
        <f>IF($B658="","",IF(OR($M658=TRUE(),$M658="TRUE"),1,0))</f>
        <v/>
      </c>
      <c r="AI658">
        <f>IF($B658="","",IF($V658="Yes",1,0))</f>
        <v/>
      </c>
      <c r="AJ658">
        <f>IF($AF658=1,IFERROR(IF(VALUE($B658)&lt;100000000,VALUE($B658),1000000000),IFERROR(IF(VALUE(MID($B658,2,20))&lt;100000000,VALUE(MID($B658,2,20)),1000000000),1000000000))+ROW()/100000,"")</f>
        <v/>
      </c>
    </row>
    <row r="659">
      <c r="C659" s="11" t="n"/>
      <c r="J659" s="7">
        <f>IF($B659="","",I659*Q659/100)</f>
        <v/>
      </c>
      <c r="P659" s="7" t="n"/>
      <c r="Q659" s="7" t="n"/>
      <c r="R659" s="7">
        <f>IF($B659="","",Q659*W659/100)</f>
        <v/>
      </c>
      <c r="S659" s="7">
        <f>IF($B659="","",Q659-R659)</f>
        <v/>
      </c>
      <c r="T659" s="7">
        <f>IF($B659="","",S659-J659)</f>
        <v/>
      </c>
      <c r="W659">
        <f>IF($B659="","",IF($AI659=1,0,IF($AH659=1,Settings!$C$6,Settings!$C$7))*100)</f>
        <v/>
      </c>
      <c r="AA659" s="7" t="n"/>
      <c r="AD659" s="11" t="n"/>
      <c r="AF659">
        <f>IF($B659="","",IF(COUNTIF($B$2:$B659,$B659)=1,1,0))</f>
        <v/>
      </c>
      <c r="AG659">
        <f>IF($AF659=1,SUMPRODUCT(--($AJ$2:$AJ$1501&lt;$AJ659))+1,"")</f>
        <v/>
      </c>
      <c r="AH659">
        <f>IF($B659="","",IF(OR($M659=TRUE(),$M659="TRUE"),1,0))</f>
        <v/>
      </c>
      <c r="AI659">
        <f>IF($B659="","",IF($V659="Yes",1,0))</f>
        <v/>
      </c>
      <c r="AJ659">
        <f>IF($AF659=1,IFERROR(IF(VALUE($B659)&lt;100000000,VALUE($B659),1000000000),IFERROR(IF(VALUE(MID($B659,2,20))&lt;100000000,VALUE(MID($B659,2,20)),1000000000),1000000000))+ROW()/100000,"")</f>
        <v/>
      </c>
    </row>
    <row r="660">
      <c r="C660" s="11" t="n"/>
      <c r="J660" s="7">
        <f>IF($B660="","",I660*Q660/100)</f>
        <v/>
      </c>
      <c r="P660" s="7" t="n"/>
      <c r="Q660" s="7" t="n"/>
      <c r="R660" s="7">
        <f>IF($B660="","",Q660*W660/100)</f>
        <v/>
      </c>
      <c r="S660" s="7">
        <f>IF($B660="","",Q660-R660)</f>
        <v/>
      </c>
      <c r="T660" s="7">
        <f>IF($B660="","",S660-J660)</f>
        <v/>
      </c>
      <c r="W660">
        <f>IF($B660="","",IF($AI660=1,0,IF($AH660=1,Settings!$C$6,Settings!$C$7))*100)</f>
        <v/>
      </c>
      <c r="AA660" s="7" t="n"/>
      <c r="AD660" s="11" t="n"/>
      <c r="AF660">
        <f>IF($B660="","",IF(COUNTIF($B$2:$B660,$B660)=1,1,0))</f>
        <v/>
      </c>
      <c r="AG660">
        <f>IF($AF660=1,SUMPRODUCT(--($AJ$2:$AJ$1501&lt;$AJ660))+1,"")</f>
        <v/>
      </c>
      <c r="AH660">
        <f>IF($B660="","",IF(OR($M660=TRUE(),$M660="TRUE"),1,0))</f>
        <v/>
      </c>
      <c r="AI660">
        <f>IF($B660="","",IF($V660="Yes",1,0))</f>
        <v/>
      </c>
      <c r="AJ660">
        <f>IF($AF660=1,IFERROR(IF(VALUE($B660)&lt;100000000,VALUE($B660),1000000000),IFERROR(IF(VALUE(MID($B660,2,20))&lt;100000000,VALUE(MID($B660,2,20)),1000000000),1000000000))+ROW()/100000,"")</f>
        <v/>
      </c>
    </row>
    <row r="661">
      <c r="C661" s="11" t="n"/>
      <c r="J661" s="7">
        <f>IF($B661="","",I661*Q661/100)</f>
        <v/>
      </c>
      <c r="P661" s="7" t="n"/>
      <c r="Q661" s="7" t="n"/>
      <c r="R661" s="7">
        <f>IF($B661="","",Q661*W661/100)</f>
        <v/>
      </c>
      <c r="S661" s="7">
        <f>IF($B661="","",Q661-R661)</f>
        <v/>
      </c>
      <c r="T661" s="7">
        <f>IF($B661="","",S661-J661)</f>
        <v/>
      </c>
      <c r="W661">
        <f>IF($B661="","",IF($AI661=1,0,IF($AH661=1,Settings!$C$6,Settings!$C$7))*100)</f>
        <v/>
      </c>
      <c r="AA661" s="7" t="n"/>
      <c r="AD661" s="11" t="n"/>
      <c r="AF661">
        <f>IF($B661="","",IF(COUNTIF($B$2:$B661,$B661)=1,1,0))</f>
        <v/>
      </c>
      <c r="AG661">
        <f>IF($AF661=1,SUMPRODUCT(--($AJ$2:$AJ$1501&lt;$AJ661))+1,"")</f>
        <v/>
      </c>
      <c r="AH661">
        <f>IF($B661="","",IF(OR($M661=TRUE(),$M661="TRUE"),1,0))</f>
        <v/>
      </c>
      <c r="AI661">
        <f>IF($B661="","",IF($V661="Yes",1,0))</f>
        <v/>
      </c>
      <c r="AJ661">
        <f>IF($AF661=1,IFERROR(IF(VALUE($B661)&lt;100000000,VALUE($B661),1000000000),IFERROR(IF(VALUE(MID($B661,2,20))&lt;100000000,VALUE(MID($B661,2,20)),1000000000),1000000000))+ROW()/100000,"")</f>
        <v/>
      </c>
    </row>
    <row r="662">
      <c r="C662" s="11" t="n"/>
      <c r="J662" s="7">
        <f>IF($B662="","",I662*Q662/100)</f>
        <v/>
      </c>
      <c r="P662" s="7" t="n"/>
      <c r="Q662" s="7" t="n"/>
      <c r="R662" s="7">
        <f>IF($B662="","",Q662*W662/100)</f>
        <v/>
      </c>
      <c r="S662" s="7">
        <f>IF($B662="","",Q662-R662)</f>
        <v/>
      </c>
      <c r="T662" s="7">
        <f>IF($B662="","",S662-J662)</f>
        <v/>
      </c>
      <c r="W662">
        <f>IF($B662="","",IF($AI662=1,0,IF($AH662=1,Settings!$C$6,Settings!$C$7))*100)</f>
        <v/>
      </c>
      <c r="AA662" s="7" t="n"/>
      <c r="AD662" s="11" t="n"/>
      <c r="AF662">
        <f>IF($B662="","",IF(COUNTIF($B$2:$B662,$B662)=1,1,0))</f>
        <v/>
      </c>
      <c r="AG662">
        <f>IF($AF662=1,SUMPRODUCT(--($AJ$2:$AJ$1501&lt;$AJ662))+1,"")</f>
        <v/>
      </c>
      <c r="AH662">
        <f>IF($B662="","",IF(OR($M662=TRUE(),$M662="TRUE"),1,0))</f>
        <v/>
      </c>
      <c r="AI662">
        <f>IF($B662="","",IF($V662="Yes",1,0))</f>
        <v/>
      </c>
      <c r="AJ662">
        <f>IF($AF662=1,IFERROR(IF(VALUE($B662)&lt;100000000,VALUE($B662),1000000000),IFERROR(IF(VALUE(MID($B662,2,20))&lt;100000000,VALUE(MID($B662,2,20)),1000000000),1000000000))+ROW()/100000,"")</f>
        <v/>
      </c>
    </row>
    <row r="663">
      <c r="C663" s="11" t="n"/>
      <c r="J663" s="7">
        <f>IF($B663="","",I663*Q663/100)</f>
        <v/>
      </c>
      <c r="P663" s="7" t="n"/>
      <c r="Q663" s="7" t="n"/>
      <c r="R663" s="7">
        <f>IF($B663="","",Q663*W663/100)</f>
        <v/>
      </c>
      <c r="S663" s="7">
        <f>IF($B663="","",Q663-R663)</f>
        <v/>
      </c>
      <c r="T663" s="7">
        <f>IF($B663="","",S663-J663)</f>
        <v/>
      </c>
      <c r="W663">
        <f>IF($B663="","",IF($AI663=1,0,IF($AH663=1,Settings!$C$6,Settings!$C$7))*100)</f>
        <v/>
      </c>
      <c r="AA663" s="7" t="n"/>
      <c r="AD663" s="11" t="n"/>
      <c r="AF663">
        <f>IF($B663="","",IF(COUNTIF($B$2:$B663,$B663)=1,1,0))</f>
        <v/>
      </c>
      <c r="AG663">
        <f>IF($AF663=1,SUMPRODUCT(--($AJ$2:$AJ$1501&lt;$AJ663))+1,"")</f>
        <v/>
      </c>
      <c r="AH663">
        <f>IF($B663="","",IF(OR($M663=TRUE(),$M663="TRUE"),1,0))</f>
        <v/>
      </c>
      <c r="AI663">
        <f>IF($B663="","",IF($V663="Yes",1,0))</f>
        <v/>
      </c>
      <c r="AJ663">
        <f>IF($AF663=1,IFERROR(IF(VALUE($B663)&lt;100000000,VALUE($B663),1000000000),IFERROR(IF(VALUE(MID($B663,2,20))&lt;100000000,VALUE(MID($B663,2,20)),1000000000),1000000000))+ROW()/100000,"")</f>
        <v/>
      </c>
    </row>
    <row r="664">
      <c r="C664" s="11" t="n"/>
      <c r="J664" s="7">
        <f>IF($B664="","",I664*Q664/100)</f>
        <v/>
      </c>
      <c r="P664" s="7" t="n"/>
      <c r="Q664" s="7" t="n"/>
      <c r="R664" s="7">
        <f>IF($B664="","",Q664*W664/100)</f>
        <v/>
      </c>
      <c r="S664" s="7">
        <f>IF($B664="","",Q664-R664)</f>
        <v/>
      </c>
      <c r="T664" s="7">
        <f>IF($B664="","",S664-J664)</f>
        <v/>
      </c>
      <c r="W664">
        <f>IF($B664="","",IF($AI664=1,0,IF($AH664=1,Settings!$C$6,Settings!$C$7))*100)</f>
        <v/>
      </c>
      <c r="AA664" s="7" t="n"/>
      <c r="AD664" s="11" t="n"/>
      <c r="AF664">
        <f>IF($B664="","",IF(COUNTIF($B$2:$B664,$B664)=1,1,0))</f>
        <v/>
      </c>
      <c r="AG664">
        <f>IF($AF664=1,SUMPRODUCT(--($AJ$2:$AJ$1501&lt;$AJ664))+1,"")</f>
        <v/>
      </c>
      <c r="AH664">
        <f>IF($B664="","",IF(OR($M664=TRUE(),$M664="TRUE"),1,0))</f>
        <v/>
      </c>
      <c r="AI664">
        <f>IF($B664="","",IF($V664="Yes",1,0))</f>
        <v/>
      </c>
      <c r="AJ664">
        <f>IF($AF664=1,IFERROR(IF(VALUE($B664)&lt;100000000,VALUE($B664),1000000000),IFERROR(IF(VALUE(MID($B664,2,20))&lt;100000000,VALUE(MID($B664,2,20)),1000000000),1000000000))+ROW()/100000,"")</f>
        <v/>
      </c>
    </row>
    <row r="665">
      <c r="C665" s="11" t="n"/>
      <c r="J665" s="7">
        <f>IF($B665="","",I665*Q665/100)</f>
        <v/>
      </c>
      <c r="P665" s="7" t="n"/>
      <c r="Q665" s="7" t="n"/>
      <c r="R665" s="7">
        <f>IF($B665="","",Q665*W665/100)</f>
        <v/>
      </c>
      <c r="S665" s="7">
        <f>IF($B665="","",Q665-R665)</f>
        <v/>
      </c>
      <c r="T665" s="7">
        <f>IF($B665="","",S665-J665)</f>
        <v/>
      </c>
      <c r="W665">
        <f>IF($B665="","",IF($AI665=1,0,IF($AH665=1,Settings!$C$6,Settings!$C$7))*100)</f>
        <v/>
      </c>
      <c r="AA665" s="7" t="n"/>
      <c r="AD665" s="11" t="n"/>
      <c r="AF665">
        <f>IF($B665="","",IF(COUNTIF($B$2:$B665,$B665)=1,1,0))</f>
        <v/>
      </c>
      <c r="AG665">
        <f>IF($AF665=1,SUMPRODUCT(--($AJ$2:$AJ$1501&lt;$AJ665))+1,"")</f>
        <v/>
      </c>
      <c r="AH665">
        <f>IF($B665="","",IF(OR($M665=TRUE(),$M665="TRUE"),1,0))</f>
        <v/>
      </c>
      <c r="AI665">
        <f>IF($B665="","",IF($V665="Yes",1,0))</f>
        <v/>
      </c>
      <c r="AJ665">
        <f>IF($AF665=1,IFERROR(IF(VALUE($B665)&lt;100000000,VALUE($B665),1000000000),IFERROR(IF(VALUE(MID($B665,2,20))&lt;100000000,VALUE(MID($B665,2,20)),1000000000),1000000000))+ROW()/100000,"")</f>
        <v/>
      </c>
    </row>
    <row r="666">
      <c r="C666" s="11" t="n"/>
      <c r="J666" s="7">
        <f>IF($B666="","",I666*Q666/100)</f>
        <v/>
      </c>
      <c r="P666" s="7" t="n"/>
      <c r="Q666" s="7" t="n"/>
      <c r="R666" s="7">
        <f>IF($B666="","",Q666*W666/100)</f>
        <v/>
      </c>
      <c r="S666" s="7">
        <f>IF($B666="","",Q666-R666)</f>
        <v/>
      </c>
      <c r="T666" s="7">
        <f>IF($B666="","",S666-J666)</f>
        <v/>
      </c>
      <c r="W666">
        <f>IF($B666="","",IF($AI666=1,0,IF($AH666=1,Settings!$C$6,Settings!$C$7))*100)</f>
        <v/>
      </c>
      <c r="AA666" s="7" t="n"/>
      <c r="AD666" s="11" t="n"/>
      <c r="AF666">
        <f>IF($B666="","",IF(COUNTIF($B$2:$B666,$B666)=1,1,0))</f>
        <v/>
      </c>
      <c r="AG666">
        <f>IF($AF666=1,SUMPRODUCT(--($AJ$2:$AJ$1501&lt;$AJ666))+1,"")</f>
        <v/>
      </c>
      <c r="AH666">
        <f>IF($B666="","",IF(OR($M666=TRUE(),$M666="TRUE"),1,0))</f>
        <v/>
      </c>
      <c r="AI666">
        <f>IF($B666="","",IF($V666="Yes",1,0))</f>
        <v/>
      </c>
      <c r="AJ666">
        <f>IF($AF666=1,IFERROR(IF(VALUE($B666)&lt;100000000,VALUE($B666),1000000000),IFERROR(IF(VALUE(MID($B666,2,20))&lt;100000000,VALUE(MID($B666,2,20)),1000000000),1000000000))+ROW()/100000,"")</f>
        <v/>
      </c>
    </row>
    <row r="667">
      <c r="C667" s="11" t="n"/>
      <c r="J667" s="7">
        <f>IF($B667="","",I667*Q667/100)</f>
        <v/>
      </c>
      <c r="P667" s="7" t="n"/>
      <c r="Q667" s="7" t="n"/>
      <c r="R667" s="7">
        <f>IF($B667="","",Q667*W667/100)</f>
        <v/>
      </c>
      <c r="S667" s="7">
        <f>IF($B667="","",Q667-R667)</f>
        <v/>
      </c>
      <c r="T667" s="7">
        <f>IF($B667="","",S667-J667)</f>
        <v/>
      </c>
      <c r="W667">
        <f>IF($B667="","",IF($AI667=1,0,IF($AH667=1,Settings!$C$6,Settings!$C$7))*100)</f>
        <v/>
      </c>
      <c r="AA667" s="7" t="n"/>
      <c r="AD667" s="11" t="n"/>
      <c r="AF667">
        <f>IF($B667="","",IF(COUNTIF($B$2:$B667,$B667)=1,1,0))</f>
        <v/>
      </c>
      <c r="AG667">
        <f>IF($AF667=1,SUMPRODUCT(--($AJ$2:$AJ$1501&lt;$AJ667))+1,"")</f>
        <v/>
      </c>
      <c r="AH667">
        <f>IF($B667="","",IF(OR($M667=TRUE(),$M667="TRUE"),1,0))</f>
        <v/>
      </c>
      <c r="AI667">
        <f>IF($B667="","",IF($V667="Yes",1,0))</f>
        <v/>
      </c>
      <c r="AJ667">
        <f>IF($AF667=1,IFERROR(IF(VALUE($B667)&lt;100000000,VALUE($B667),1000000000),IFERROR(IF(VALUE(MID($B667,2,20))&lt;100000000,VALUE(MID($B667,2,20)),1000000000),1000000000))+ROW()/100000,"")</f>
        <v/>
      </c>
    </row>
    <row r="668">
      <c r="C668" s="11" t="n"/>
      <c r="J668" s="7">
        <f>IF($B668="","",I668*Q668/100)</f>
        <v/>
      </c>
      <c r="P668" s="7" t="n"/>
      <c r="Q668" s="7" t="n"/>
      <c r="R668" s="7">
        <f>IF($B668="","",Q668*W668/100)</f>
        <v/>
      </c>
      <c r="S668" s="7">
        <f>IF($B668="","",Q668-R668)</f>
        <v/>
      </c>
      <c r="T668" s="7">
        <f>IF($B668="","",S668-J668)</f>
        <v/>
      </c>
      <c r="W668">
        <f>IF($B668="","",IF($AI668=1,0,IF($AH668=1,Settings!$C$6,Settings!$C$7))*100)</f>
        <v/>
      </c>
      <c r="AA668" s="7" t="n"/>
      <c r="AD668" s="11" t="n"/>
      <c r="AF668">
        <f>IF($B668="","",IF(COUNTIF($B$2:$B668,$B668)=1,1,0))</f>
        <v/>
      </c>
      <c r="AG668">
        <f>IF($AF668=1,SUMPRODUCT(--($AJ$2:$AJ$1501&lt;$AJ668))+1,"")</f>
        <v/>
      </c>
      <c r="AH668">
        <f>IF($B668="","",IF(OR($M668=TRUE(),$M668="TRUE"),1,0))</f>
        <v/>
      </c>
      <c r="AI668">
        <f>IF($B668="","",IF($V668="Yes",1,0))</f>
        <v/>
      </c>
      <c r="AJ668">
        <f>IF($AF668=1,IFERROR(IF(VALUE($B668)&lt;100000000,VALUE($B668),1000000000),IFERROR(IF(VALUE(MID($B668,2,20))&lt;100000000,VALUE(MID($B668,2,20)),1000000000),1000000000))+ROW()/100000,"")</f>
        <v/>
      </c>
    </row>
    <row r="669">
      <c r="C669" s="11" t="n"/>
      <c r="J669" s="7">
        <f>IF($B669="","",I669*Q669/100)</f>
        <v/>
      </c>
      <c r="P669" s="7" t="n"/>
      <c r="Q669" s="7" t="n"/>
      <c r="R669" s="7">
        <f>IF($B669="","",Q669*W669/100)</f>
        <v/>
      </c>
      <c r="S669" s="7">
        <f>IF($B669="","",Q669-R669)</f>
        <v/>
      </c>
      <c r="T669" s="7">
        <f>IF($B669="","",S669-J669)</f>
        <v/>
      </c>
      <c r="W669">
        <f>IF($B669="","",IF($AI669=1,0,IF($AH669=1,Settings!$C$6,Settings!$C$7))*100)</f>
        <v/>
      </c>
      <c r="AA669" s="7" t="n"/>
      <c r="AD669" s="11" t="n"/>
      <c r="AF669">
        <f>IF($B669="","",IF(COUNTIF($B$2:$B669,$B669)=1,1,0))</f>
        <v/>
      </c>
      <c r="AG669">
        <f>IF($AF669=1,SUMPRODUCT(--($AJ$2:$AJ$1501&lt;$AJ669))+1,"")</f>
        <v/>
      </c>
      <c r="AH669">
        <f>IF($B669="","",IF(OR($M669=TRUE(),$M669="TRUE"),1,0))</f>
        <v/>
      </c>
      <c r="AI669">
        <f>IF($B669="","",IF($V669="Yes",1,0))</f>
        <v/>
      </c>
      <c r="AJ669">
        <f>IF($AF669=1,IFERROR(IF(VALUE($B669)&lt;100000000,VALUE($B669),1000000000),IFERROR(IF(VALUE(MID($B669,2,20))&lt;100000000,VALUE(MID($B669,2,20)),1000000000),1000000000))+ROW()/100000,"")</f>
        <v/>
      </c>
    </row>
    <row r="670">
      <c r="C670" s="11" t="n"/>
      <c r="J670" s="7">
        <f>IF($B670="","",I670*Q670/100)</f>
        <v/>
      </c>
      <c r="P670" s="7" t="n"/>
      <c r="Q670" s="7" t="n"/>
      <c r="R670" s="7">
        <f>IF($B670="","",Q670*W670/100)</f>
        <v/>
      </c>
      <c r="S670" s="7">
        <f>IF($B670="","",Q670-R670)</f>
        <v/>
      </c>
      <c r="T670" s="7">
        <f>IF($B670="","",S670-J670)</f>
        <v/>
      </c>
      <c r="W670">
        <f>IF($B670="","",IF($AI670=1,0,IF($AH670=1,Settings!$C$6,Settings!$C$7))*100)</f>
        <v/>
      </c>
      <c r="AA670" s="7" t="n"/>
      <c r="AD670" s="11" t="n"/>
      <c r="AF670">
        <f>IF($B670="","",IF(COUNTIF($B$2:$B670,$B670)=1,1,0))</f>
        <v/>
      </c>
      <c r="AG670">
        <f>IF($AF670=1,SUMPRODUCT(--($AJ$2:$AJ$1501&lt;$AJ670))+1,"")</f>
        <v/>
      </c>
      <c r="AH670">
        <f>IF($B670="","",IF(OR($M670=TRUE(),$M670="TRUE"),1,0))</f>
        <v/>
      </c>
      <c r="AI670">
        <f>IF($B670="","",IF($V670="Yes",1,0))</f>
        <v/>
      </c>
      <c r="AJ670">
        <f>IF($AF670=1,IFERROR(IF(VALUE($B670)&lt;100000000,VALUE($B670),1000000000),IFERROR(IF(VALUE(MID($B670,2,20))&lt;100000000,VALUE(MID($B670,2,20)),1000000000),1000000000))+ROW()/100000,"")</f>
        <v/>
      </c>
    </row>
    <row r="671">
      <c r="C671" s="11" t="n"/>
      <c r="J671" s="7">
        <f>IF($B671="","",I671*Q671/100)</f>
        <v/>
      </c>
      <c r="P671" s="7" t="n"/>
      <c r="Q671" s="7" t="n"/>
      <c r="R671" s="7">
        <f>IF($B671="","",Q671*W671/100)</f>
        <v/>
      </c>
      <c r="S671" s="7">
        <f>IF($B671="","",Q671-R671)</f>
        <v/>
      </c>
      <c r="T671" s="7">
        <f>IF($B671="","",S671-J671)</f>
        <v/>
      </c>
      <c r="W671">
        <f>IF($B671="","",IF($AI671=1,0,IF($AH671=1,Settings!$C$6,Settings!$C$7))*100)</f>
        <v/>
      </c>
      <c r="AA671" s="7" t="n"/>
      <c r="AD671" s="11" t="n"/>
      <c r="AF671">
        <f>IF($B671="","",IF(COUNTIF($B$2:$B671,$B671)=1,1,0))</f>
        <v/>
      </c>
      <c r="AG671">
        <f>IF($AF671=1,SUMPRODUCT(--($AJ$2:$AJ$1501&lt;$AJ671))+1,"")</f>
        <v/>
      </c>
      <c r="AH671">
        <f>IF($B671="","",IF(OR($M671=TRUE(),$M671="TRUE"),1,0))</f>
        <v/>
      </c>
      <c r="AI671">
        <f>IF($B671="","",IF($V671="Yes",1,0))</f>
        <v/>
      </c>
      <c r="AJ671">
        <f>IF($AF671=1,IFERROR(IF(VALUE($B671)&lt;100000000,VALUE($B671),1000000000),IFERROR(IF(VALUE(MID($B671,2,20))&lt;100000000,VALUE(MID($B671,2,20)),1000000000),1000000000))+ROW()/100000,"")</f>
        <v/>
      </c>
    </row>
    <row r="672">
      <c r="C672" s="11" t="n"/>
      <c r="J672" s="7">
        <f>IF($B672="","",I672*Q672/100)</f>
        <v/>
      </c>
      <c r="P672" s="7" t="n"/>
      <c r="Q672" s="7" t="n"/>
      <c r="R672" s="7">
        <f>IF($B672="","",Q672*W672/100)</f>
        <v/>
      </c>
      <c r="S672" s="7">
        <f>IF($B672="","",Q672-R672)</f>
        <v/>
      </c>
      <c r="T672" s="7">
        <f>IF($B672="","",S672-J672)</f>
        <v/>
      </c>
      <c r="W672">
        <f>IF($B672="","",IF($AI672=1,0,IF($AH672=1,Settings!$C$6,Settings!$C$7))*100)</f>
        <v/>
      </c>
      <c r="AA672" s="7" t="n"/>
      <c r="AD672" s="11" t="n"/>
      <c r="AF672">
        <f>IF($B672="","",IF(COUNTIF($B$2:$B672,$B672)=1,1,0))</f>
        <v/>
      </c>
      <c r="AG672">
        <f>IF($AF672=1,SUMPRODUCT(--($AJ$2:$AJ$1501&lt;$AJ672))+1,"")</f>
        <v/>
      </c>
      <c r="AH672">
        <f>IF($B672="","",IF(OR($M672=TRUE(),$M672="TRUE"),1,0))</f>
        <v/>
      </c>
      <c r="AI672">
        <f>IF($B672="","",IF($V672="Yes",1,0))</f>
        <v/>
      </c>
      <c r="AJ672">
        <f>IF($AF672=1,IFERROR(IF(VALUE($B672)&lt;100000000,VALUE($B672),1000000000),IFERROR(IF(VALUE(MID($B672,2,20))&lt;100000000,VALUE(MID($B672,2,20)),1000000000),1000000000))+ROW()/100000,"")</f>
        <v/>
      </c>
    </row>
    <row r="673">
      <c r="C673" s="11" t="n"/>
      <c r="J673" s="7">
        <f>IF($B673="","",I673*Q673/100)</f>
        <v/>
      </c>
      <c r="P673" s="7" t="n"/>
      <c r="Q673" s="7" t="n"/>
      <c r="R673" s="7">
        <f>IF($B673="","",Q673*W673/100)</f>
        <v/>
      </c>
      <c r="S673" s="7">
        <f>IF($B673="","",Q673-R673)</f>
        <v/>
      </c>
      <c r="T673" s="7">
        <f>IF($B673="","",S673-J673)</f>
        <v/>
      </c>
      <c r="W673">
        <f>IF($B673="","",IF($AI673=1,0,IF($AH673=1,Settings!$C$6,Settings!$C$7))*100)</f>
        <v/>
      </c>
      <c r="AA673" s="7" t="n"/>
      <c r="AD673" s="11" t="n"/>
      <c r="AF673">
        <f>IF($B673="","",IF(COUNTIF($B$2:$B673,$B673)=1,1,0))</f>
        <v/>
      </c>
      <c r="AG673">
        <f>IF($AF673=1,SUMPRODUCT(--($AJ$2:$AJ$1501&lt;$AJ673))+1,"")</f>
        <v/>
      </c>
      <c r="AH673">
        <f>IF($B673="","",IF(OR($M673=TRUE(),$M673="TRUE"),1,0))</f>
        <v/>
      </c>
      <c r="AI673">
        <f>IF($B673="","",IF($V673="Yes",1,0))</f>
        <v/>
      </c>
      <c r="AJ673">
        <f>IF($AF673=1,IFERROR(IF(VALUE($B673)&lt;100000000,VALUE($B673),1000000000),IFERROR(IF(VALUE(MID($B673,2,20))&lt;100000000,VALUE(MID($B673,2,20)),1000000000),1000000000))+ROW()/100000,"")</f>
        <v/>
      </c>
    </row>
    <row r="674">
      <c r="C674" s="11" t="n"/>
      <c r="J674" s="7">
        <f>IF($B674="","",I674*Q674/100)</f>
        <v/>
      </c>
      <c r="P674" s="7" t="n"/>
      <c r="Q674" s="7" t="n"/>
      <c r="R674" s="7">
        <f>IF($B674="","",Q674*W674/100)</f>
        <v/>
      </c>
      <c r="S674" s="7">
        <f>IF($B674="","",Q674-R674)</f>
        <v/>
      </c>
      <c r="T674" s="7">
        <f>IF($B674="","",S674-J674)</f>
        <v/>
      </c>
      <c r="W674">
        <f>IF($B674="","",IF($AI674=1,0,IF($AH674=1,Settings!$C$6,Settings!$C$7))*100)</f>
        <v/>
      </c>
      <c r="AA674" s="7" t="n"/>
      <c r="AD674" s="11" t="n"/>
      <c r="AF674">
        <f>IF($B674="","",IF(COUNTIF($B$2:$B674,$B674)=1,1,0))</f>
        <v/>
      </c>
      <c r="AG674">
        <f>IF($AF674=1,SUMPRODUCT(--($AJ$2:$AJ$1501&lt;$AJ674))+1,"")</f>
        <v/>
      </c>
      <c r="AH674">
        <f>IF($B674="","",IF(OR($M674=TRUE(),$M674="TRUE"),1,0))</f>
        <v/>
      </c>
      <c r="AI674">
        <f>IF($B674="","",IF($V674="Yes",1,0))</f>
        <v/>
      </c>
      <c r="AJ674">
        <f>IF($AF674=1,IFERROR(IF(VALUE($B674)&lt;100000000,VALUE($B674),1000000000),IFERROR(IF(VALUE(MID($B674,2,20))&lt;100000000,VALUE(MID($B674,2,20)),1000000000),1000000000))+ROW()/100000,"")</f>
        <v/>
      </c>
    </row>
    <row r="675">
      <c r="C675" s="11" t="n"/>
      <c r="J675" s="7">
        <f>IF($B675="","",I675*Q675/100)</f>
        <v/>
      </c>
      <c r="P675" s="7" t="n"/>
      <c r="Q675" s="7" t="n"/>
      <c r="R675" s="7">
        <f>IF($B675="","",Q675*W675/100)</f>
        <v/>
      </c>
      <c r="S675" s="7">
        <f>IF($B675="","",Q675-R675)</f>
        <v/>
      </c>
      <c r="T675" s="7">
        <f>IF($B675="","",S675-J675)</f>
        <v/>
      </c>
      <c r="W675">
        <f>IF($B675="","",IF($AI675=1,0,IF($AH675=1,Settings!$C$6,Settings!$C$7))*100)</f>
        <v/>
      </c>
      <c r="AA675" s="7" t="n"/>
      <c r="AD675" s="11" t="n"/>
      <c r="AF675">
        <f>IF($B675="","",IF(COUNTIF($B$2:$B675,$B675)=1,1,0))</f>
        <v/>
      </c>
      <c r="AG675">
        <f>IF($AF675=1,SUMPRODUCT(--($AJ$2:$AJ$1501&lt;$AJ675))+1,"")</f>
        <v/>
      </c>
      <c r="AH675">
        <f>IF($B675="","",IF(OR($M675=TRUE(),$M675="TRUE"),1,0))</f>
        <v/>
      </c>
      <c r="AI675">
        <f>IF($B675="","",IF($V675="Yes",1,0))</f>
        <v/>
      </c>
      <c r="AJ675">
        <f>IF($AF675=1,IFERROR(IF(VALUE($B675)&lt;100000000,VALUE($B675),1000000000),IFERROR(IF(VALUE(MID($B675,2,20))&lt;100000000,VALUE(MID($B675,2,20)),1000000000),1000000000))+ROW()/100000,"")</f>
        <v/>
      </c>
    </row>
    <row r="676">
      <c r="C676" s="11" t="n"/>
      <c r="J676" s="7">
        <f>IF($B676="","",I676*Q676/100)</f>
        <v/>
      </c>
      <c r="P676" s="7" t="n"/>
      <c r="Q676" s="7" t="n"/>
      <c r="R676" s="7">
        <f>IF($B676="","",Q676*W676/100)</f>
        <v/>
      </c>
      <c r="S676" s="7">
        <f>IF($B676="","",Q676-R676)</f>
        <v/>
      </c>
      <c r="T676" s="7">
        <f>IF($B676="","",S676-J676)</f>
        <v/>
      </c>
      <c r="W676">
        <f>IF($B676="","",IF($AI676=1,0,IF($AH676=1,Settings!$C$6,Settings!$C$7))*100)</f>
        <v/>
      </c>
      <c r="AA676" s="7" t="n"/>
      <c r="AD676" s="11" t="n"/>
      <c r="AF676">
        <f>IF($B676="","",IF(COUNTIF($B$2:$B676,$B676)=1,1,0))</f>
        <v/>
      </c>
      <c r="AG676">
        <f>IF($AF676=1,SUMPRODUCT(--($AJ$2:$AJ$1501&lt;$AJ676))+1,"")</f>
        <v/>
      </c>
      <c r="AH676">
        <f>IF($B676="","",IF(OR($M676=TRUE(),$M676="TRUE"),1,0))</f>
        <v/>
      </c>
      <c r="AI676">
        <f>IF($B676="","",IF($V676="Yes",1,0))</f>
        <v/>
      </c>
      <c r="AJ676">
        <f>IF($AF676=1,IFERROR(IF(VALUE($B676)&lt;100000000,VALUE($B676),1000000000),IFERROR(IF(VALUE(MID($B676,2,20))&lt;100000000,VALUE(MID($B676,2,20)),1000000000),1000000000))+ROW()/100000,"")</f>
        <v/>
      </c>
    </row>
    <row r="677">
      <c r="C677" s="11" t="n"/>
      <c r="J677" s="7">
        <f>IF($B677="","",I677*Q677/100)</f>
        <v/>
      </c>
      <c r="P677" s="7" t="n"/>
      <c r="Q677" s="7" t="n"/>
      <c r="R677" s="7">
        <f>IF($B677="","",Q677*W677/100)</f>
        <v/>
      </c>
      <c r="S677" s="7">
        <f>IF($B677="","",Q677-R677)</f>
        <v/>
      </c>
      <c r="T677" s="7">
        <f>IF($B677="","",S677-J677)</f>
        <v/>
      </c>
      <c r="W677">
        <f>IF($B677="","",IF($AI677=1,0,IF($AH677=1,Settings!$C$6,Settings!$C$7))*100)</f>
        <v/>
      </c>
      <c r="AA677" s="7" t="n"/>
      <c r="AD677" s="11" t="n"/>
      <c r="AF677">
        <f>IF($B677="","",IF(COUNTIF($B$2:$B677,$B677)=1,1,0))</f>
        <v/>
      </c>
      <c r="AG677">
        <f>IF($AF677=1,SUMPRODUCT(--($AJ$2:$AJ$1501&lt;$AJ677))+1,"")</f>
        <v/>
      </c>
      <c r="AH677">
        <f>IF($B677="","",IF(OR($M677=TRUE(),$M677="TRUE"),1,0))</f>
        <v/>
      </c>
      <c r="AI677">
        <f>IF($B677="","",IF($V677="Yes",1,0))</f>
        <v/>
      </c>
      <c r="AJ677">
        <f>IF($AF677=1,IFERROR(IF(VALUE($B677)&lt;100000000,VALUE($B677),1000000000),IFERROR(IF(VALUE(MID($B677,2,20))&lt;100000000,VALUE(MID($B677,2,20)),1000000000),1000000000))+ROW()/100000,"")</f>
        <v/>
      </c>
    </row>
    <row r="678">
      <c r="C678" s="11" t="n"/>
      <c r="J678" s="7">
        <f>IF($B678="","",I678*Q678/100)</f>
        <v/>
      </c>
      <c r="P678" s="7" t="n"/>
      <c r="Q678" s="7" t="n"/>
      <c r="R678" s="7">
        <f>IF($B678="","",Q678*W678/100)</f>
        <v/>
      </c>
      <c r="S678" s="7">
        <f>IF($B678="","",Q678-R678)</f>
        <v/>
      </c>
      <c r="T678" s="7">
        <f>IF($B678="","",S678-J678)</f>
        <v/>
      </c>
      <c r="W678">
        <f>IF($B678="","",IF($AI678=1,0,IF($AH678=1,Settings!$C$6,Settings!$C$7))*100)</f>
        <v/>
      </c>
      <c r="AA678" s="7" t="n"/>
      <c r="AD678" s="11" t="n"/>
      <c r="AF678">
        <f>IF($B678="","",IF(COUNTIF($B$2:$B678,$B678)=1,1,0))</f>
        <v/>
      </c>
      <c r="AG678">
        <f>IF($AF678=1,SUMPRODUCT(--($AJ$2:$AJ$1501&lt;$AJ678))+1,"")</f>
        <v/>
      </c>
      <c r="AH678">
        <f>IF($B678="","",IF(OR($M678=TRUE(),$M678="TRUE"),1,0))</f>
        <v/>
      </c>
      <c r="AI678">
        <f>IF($B678="","",IF($V678="Yes",1,0))</f>
        <v/>
      </c>
      <c r="AJ678">
        <f>IF($AF678=1,IFERROR(IF(VALUE($B678)&lt;100000000,VALUE($B678),1000000000),IFERROR(IF(VALUE(MID($B678,2,20))&lt;100000000,VALUE(MID($B678,2,20)),1000000000),1000000000))+ROW()/100000,"")</f>
        <v/>
      </c>
    </row>
    <row r="679">
      <c r="C679" s="11" t="n"/>
      <c r="J679" s="7">
        <f>IF($B679="","",I679*Q679/100)</f>
        <v/>
      </c>
      <c r="P679" s="7" t="n"/>
      <c r="Q679" s="7" t="n"/>
      <c r="R679" s="7">
        <f>IF($B679="","",Q679*W679/100)</f>
        <v/>
      </c>
      <c r="S679" s="7">
        <f>IF($B679="","",Q679-R679)</f>
        <v/>
      </c>
      <c r="T679" s="7">
        <f>IF($B679="","",S679-J679)</f>
        <v/>
      </c>
      <c r="W679">
        <f>IF($B679="","",IF($AI679=1,0,IF($AH679=1,Settings!$C$6,Settings!$C$7))*100)</f>
        <v/>
      </c>
      <c r="AA679" s="7" t="n"/>
      <c r="AD679" s="11" t="n"/>
      <c r="AF679">
        <f>IF($B679="","",IF(COUNTIF($B$2:$B679,$B679)=1,1,0))</f>
        <v/>
      </c>
      <c r="AG679">
        <f>IF($AF679=1,SUMPRODUCT(--($AJ$2:$AJ$1501&lt;$AJ679))+1,"")</f>
        <v/>
      </c>
      <c r="AH679">
        <f>IF($B679="","",IF(OR($M679=TRUE(),$M679="TRUE"),1,0))</f>
        <v/>
      </c>
      <c r="AI679">
        <f>IF($B679="","",IF($V679="Yes",1,0))</f>
        <v/>
      </c>
      <c r="AJ679">
        <f>IF($AF679=1,IFERROR(IF(VALUE($B679)&lt;100000000,VALUE($B679),1000000000),IFERROR(IF(VALUE(MID($B679,2,20))&lt;100000000,VALUE(MID($B679,2,20)),1000000000),1000000000))+ROW()/100000,"")</f>
        <v/>
      </c>
    </row>
    <row r="680">
      <c r="C680" s="11" t="n"/>
      <c r="J680" s="7">
        <f>IF($B680="","",I680*Q680/100)</f>
        <v/>
      </c>
      <c r="P680" s="7" t="n"/>
      <c r="Q680" s="7" t="n"/>
      <c r="R680" s="7">
        <f>IF($B680="","",Q680*W680/100)</f>
        <v/>
      </c>
      <c r="S680" s="7">
        <f>IF($B680="","",Q680-R680)</f>
        <v/>
      </c>
      <c r="T680" s="7">
        <f>IF($B680="","",S680-J680)</f>
        <v/>
      </c>
      <c r="W680">
        <f>IF($B680="","",IF($AI680=1,0,IF($AH680=1,Settings!$C$6,Settings!$C$7))*100)</f>
        <v/>
      </c>
      <c r="AA680" s="7" t="n"/>
      <c r="AD680" s="11" t="n"/>
      <c r="AF680">
        <f>IF($B680="","",IF(COUNTIF($B$2:$B680,$B680)=1,1,0))</f>
        <v/>
      </c>
      <c r="AG680">
        <f>IF($AF680=1,SUMPRODUCT(--($AJ$2:$AJ$1501&lt;$AJ680))+1,"")</f>
        <v/>
      </c>
      <c r="AH680">
        <f>IF($B680="","",IF(OR($M680=TRUE(),$M680="TRUE"),1,0))</f>
        <v/>
      </c>
      <c r="AI680">
        <f>IF($B680="","",IF($V680="Yes",1,0))</f>
        <v/>
      </c>
      <c r="AJ680">
        <f>IF($AF680=1,IFERROR(IF(VALUE($B680)&lt;100000000,VALUE($B680),1000000000),IFERROR(IF(VALUE(MID($B680,2,20))&lt;100000000,VALUE(MID($B680,2,20)),1000000000),1000000000))+ROW()/100000,"")</f>
        <v/>
      </c>
    </row>
    <row r="681">
      <c r="C681" s="11" t="n"/>
      <c r="J681" s="7">
        <f>IF($B681="","",I681*Q681/100)</f>
        <v/>
      </c>
      <c r="P681" s="7" t="n"/>
      <c r="Q681" s="7" t="n"/>
      <c r="R681" s="7">
        <f>IF($B681="","",Q681*W681/100)</f>
        <v/>
      </c>
      <c r="S681" s="7">
        <f>IF($B681="","",Q681-R681)</f>
        <v/>
      </c>
      <c r="T681" s="7">
        <f>IF($B681="","",S681-J681)</f>
        <v/>
      </c>
      <c r="W681">
        <f>IF($B681="","",IF($AI681=1,0,IF($AH681=1,Settings!$C$6,Settings!$C$7))*100)</f>
        <v/>
      </c>
      <c r="AA681" s="7" t="n"/>
      <c r="AD681" s="11" t="n"/>
      <c r="AF681">
        <f>IF($B681="","",IF(COUNTIF($B$2:$B681,$B681)=1,1,0))</f>
        <v/>
      </c>
      <c r="AG681">
        <f>IF($AF681=1,SUMPRODUCT(--($AJ$2:$AJ$1501&lt;$AJ681))+1,"")</f>
        <v/>
      </c>
      <c r="AH681">
        <f>IF($B681="","",IF(OR($M681=TRUE(),$M681="TRUE"),1,0))</f>
        <v/>
      </c>
      <c r="AI681">
        <f>IF($B681="","",IF($V681="Yes",1,0))</f>
        <v/>
      </c>
      <c r="AJ681">
        <f>IF($AF681=1,IFERROR(IF(VALUE($B681)&lt;100000000,VALUE($B681),1000000000),IFERROR(IF(VALUE(MID($B681,2,20))&lt;100000000,VALUE(MID($B681,2,20)),1000000000),1000000000))+ROW()/100000,"")</f>
        <v/>
      </c>
    </row>
    <row r="682">
      <c r="C682" s="11" t="n"/>
      <c r="J682" s="7">
        <f>IF($B682="","",I682*Q682/100)</f>
        <v/>
      </c>
      <c r="P682" s="7" t="n"/>
      <c r="Q682" s="7" t="n"/>
      <c r="R682" s="7">
        <f>IF($B682="","",Q682*W682/100)</f>
        <v/>
      </c>
      <c r="S682" s="7">
        <f>IF($B682="","",Q682-R682)</f>
        <v/>
      </c>
      <c r="T682" s="7">
        <f>IF($B682="","",S682-J682)</f>
        <v/>
      </c>
      <c r="W682">
        <f>IF($B682="","",IF($AI682=1,0,IF($AH682=1,Settings!$C$6,Settings!$C$7))*100)</f>
        <v/>
      </c>
      <c r="AA682" s="7" t="n"/>
      <c r="AD682" s="11" t="n"/>
      <c r="AF682">
        <f>IF($B682="","",IF(COUNTIF($B$2:$B682,$B682)=1,1,0))</f>
        <v/>
      </c>
      <c r="AG682">
        <f>IF($AF682=1,SUMPRODUCT(--($AJ$2:$AJ$1501&lt;$AJ682))+1,"")</f>
        <v/>
      </c>
      <c r="AH682">
        <f>IF($B682="","",IF(OR($M682=TRUE(),$M682="TRUE"),1,0))</f>
        <v/>
      </c>
      <c r="AI682">
        <f>IF($B682="","",IF($V682="Yes",1,0))</f>
        <v/>
      </c>
      <c r="AJ682">
        <f>IF($AF682=1,IFERROR(IF(VALUE($B682)&lt;100000000,VALUE($B682),1000000000),IFERROR(IF(VALUE(MID($B682,2,20))&lt;100000000,VALUE(MID($B682,2,20)),1000000000),1000000000))+ROW()/100000,"")</f>
        <v/>
      </c>
    </row>
    <row r="683">
      <c r="C683" s="11" t="n"/>
      <c r="J683" s="7">
        <f>IF($B683="","",I683*Q683/100)</f>
        <v/>
      </c>
      <c r="P683" s="7" t="n"/>
      <c r="Q683" s="7" t="n"/>
      <c r="R683" s="7">
        <f>IF($B683="","",Q683*W683/100)</f>
        <v/>
      </c>
      <c r="S683" s="7">
        <f>IF($B683="","",Q683-R683)</f>
        <v/>
      </c>
      <c r="T683" s="7">
        <f>IF($B683="","",S683-J683)</f>
        <v/>
      </c>
      <c r="W683">
        <f>IF($B683="","",IF($AI683=1,0,IF($AH683=1,Settings!$C$6,Settings!$C$7))*100)</f>
        <v/>
      </c>
      <c r="AA683" s="7" t="n"/>
      <c r="AD683" s="11" t="n"/>
      <c r="AF683">
        <f>IF($B683="","",IF(COUNTIF($B$2:$B683,$B683)=1,1,0))</f>
        <v/>
      </c>
      <c r="AG683">
        <f>IF($AF683=1,SUMPRODUCT(--($AJ$2:$AJ$1501&lt;$AJ683))+1,"")</f>
        <v/>
      </c>
      <c r="AH683">
        <f>IF($B683="","",IF(OR($M683=TRUE(),$M683="TRUE"),1,0))</f>
        <v/>
      </c>
      <c r="AI683">
        <f>IF($B683="","",IF($V683="Yes",1,0))</f>
        <v/>
      </c>
      <c r="AJ683">
        <f>IF($AF683=1,IFERROR(IF(VALUE($B683)&lt;100000000,VALUE($B683),1000000000),IFERROR(IF(VALUE(MID($B683,2,20))&lt;100000000,VALUE(MID($B683,2,20)),1000000000),1000000000))+ROW()/100000,"")</f>
        <v/>
      </c>
    </row>
    <row r="684">
      <c r="C684" s="11" t="n"/>
      <c r="J684" s="7">
        <f>IF($B684="","",I684*Q684/100)</f>
        <v/>
      </c>
      <c r="P684" s="7" t="n"/>
      <c r="Q684" s="7" t="n"/>
      <c r="R684" s="7">
        <f>IF($B684="","",Q684*W684/100)</f>
        <v/>
      </c>
      <c r="S684" s="7">
        <f>IF($B684="","",Q684-R684)</f>
        <v/>
      </c>
      <c r="T684" s="7">
        <f>IF($B684="","",S684-J684)</f>
        <v/>
      </c>
      <c r="W684">
        <f>IF($B684="","",IF($AI684=1,0,IF($AH684=1,Settings!$C$6,Settings!$C$7))*100)</f>
        <v/>
      </c>
      <c r="AA684" s="7" t="n"/>
      <c r="AD684" s="11" t="n"/>
      <c r="AF684">
        <f>IF($B684="","",IF(COUNTIF($B$2:$B684,$B684)=1,1,0))</f>
        <v/>
      </c>
      <c r="AG684">
        <f>IF($AF684=1,SUMPRODUCT(--($AJ$2:$AJ$1501&lt;$AJ684))+1,"")</f>
        <v/>
      </c>
      <c r="AH684">
        <f>IF($B684="","",IF(OR($M684=TRUE(),$M684="TRUE"),1,0))</f>
        <v/>
      </c>
      <c r="AI684">
        <f>IF($B684="","",IF($V684="Yes",1,0))</f>
        <v/>
      </c>
      <c r="AJ684">
        <f>IF($AF684=1,IFERROR(IF(VALUE($B684)&lt;100000000,VALUE($B684),1000000000),IFERROR(IF(VALUE(MID($B684,2,20))&lt;100000000,VALUE(MID($B684,2,20)),1000000000),1000000000))+ROW()/100000,"")</f>
        <v/>
      </c>
    </row>
    <row r="685">
      <c r="C685" s="11" t="n"/>
      <c r="J685" s="7">
        <f>IF($B685="","",I685*Q685/100)</f>
        <v/>
      </c>
      <c r="P685" s="7" t="n"/>
      <c r="Q685" s="7" t="n"/>
      <c r="R685" s="7">
        <f>IF($B685="","",Q685*W685/100)</f>
        <v/>
      </c>
      <c r="S685" s="7">
        <f>IF($B685="","",Q685-R685)</f>
        <v/>
      </c>
      <c r="T685" s="7">
        <f>IF($B685="","",S685-J685)</f>
        <v/>
      </c>
      <c r="W685">
        <f>IF($B685="","",IF($AI685=1,0,IF($AH685=1,Settings!$C$6,Settings!$C$7))*100)</f>
        <v/>
      </c>
      <c r="AA685" s="7" t="n"/>
      <c r="AD685" s="11" t="n"/>
      <c r="AF685">
        <f>IF($B685="","",IF(COUNTIF($B$2:$B685,$B685)=1,1,0))</f>
        <v/>
      </c>
      <c r="AG685">
        <f>IF($AF685=1,SUMPRODUCT(--($AJ$2:$AJ$1501&lt;$AJ685))+1,"")</f>
        <v/>
      </c>
      <c r="AH685">
        <f>IF($B685="","",IF(OR($M685=TRUE(),$M685="TRUE"),1,0))</f>
        <v/>
      </c>
      <c r="AI685">
        <f>IF($B685="","",IF($V685="Yes",1,0))</f>
        <v/>
      </c>
      <c r="AJ685">
        <f>IF($AF685=1,IFERROR(IF(VALUE($B685)&lt;100000000,VALUE($B685),1000000000),IFERROR(IF(VALUE(MID($B685,2,20))&lt;100000000,VALUE(MID($B685,2,20)),1000000000),1000000000))+ROW()/100000,"")</f>
        <v/>
      </c>
    </row>
    <row r="686">
      <c r="C686" s="11" t="n"/>
      <c r="J686" s="7">
        <f>IF($B686="","",I686*Q686/100)</f>
        <v/>
      </c>
      <c r="P686" s="7" t="n"/>
      <c r="Q686" s="7" t="n"/>
      <c r="R686" s="7">
        <f>IF($B686="","",Q686*W686/100)</f>
        <v/>
      </c>
      <c r="S686" s="7">
        <f>IF($B686="","",Q686-R686)</f>
        <v/>
      </c>
      <c r="T686" s="7">
        <f>IF($B686="","",S686-J686)</f>
        <v/>
      </c>
      <c r="W686">
        <f>IF($B686="","",IF($AI686=1,0,IF($AH686=1,Settings!$C$6,Settings!$C$7))*100)</f>
        <v/>
      </c>
      <c r="AA686" s="7" t="n"/>
      <c r="AD686" s="11" t="n"/>
      <c r="AF686">
        <f>IF($B686="","",IF(COUNTIF($B$2:$B686,$B686)=1,1,0))</f>
        <v/>
      </c>
      <c r="AG686">
        <f>IF($AF686=1,SUMPRODUCT(--($AJ$2:$AJ$1501&lt;$AJ686))+1,"")</f>
        <v/>
      </c>
      <c r="AH686">
        <f>IF($B686="","",IF(OR($M686=TRUE(),$M686="TRUE"),1,0))</f>
        <v/>
      </c>
      <c r="AI686">
        <f>IF($B686="","",IF($V686="Yes",1,0))</f>
        <v/>
      </c>
      <c r="AJ686">
        <f>IF($AF686=1,IFERROR(IF(VALUE($B686)&lt;100000000,VALUE($B686),1000000000),IFERROR(IF(VALUE(MID($B686,2,20))&lt;100000000,VALUE(MID($B686,2,20)),1000000000),1000000000))+ROW()/100000,"")</f>
        <v/>
      </c>
    </row>
    <row r="687">
      <c r="C687" s="11" t="n"/>
      <c r="J687" s="7">
        <f>IF($B687="","",I687*Q687/100)</f>
        <v/>
      </c>
      <c r="P687" s="7" t="n"/>
      <c r="Q687" s="7" t="n"/>
      <c r="R687" s="7">
        <f>IF($B687="","",Q687*W687/100)</f>
        <v/>
      </c>
      <c r="S687" s="7">
        <f>IF($B687="","",Q687-R687)</f>
        <v/>
      </c>
      <c r="T687" s="7">
        <f>IF($B687="","",S687-J687)</f>
        <v/>
      </c>
      <c r="W687">
        <f>IF($B687="","",IF($AI687=1,0,IF($AH687=1,Settings!$C$6,Settings!$C$7))*100)</f>
        <v/>
      </c>
      <c r="AA687" s="7" t="n"/>
      <c r="AD687" s="11" t="n"/>
      <c r="AF687">
        <f>IF($B687="","",IF(COUNTIF($B$2:$B687,$B687)=1,1,0))</f>
        <v/>
      </c>
      <c r="AG687">
        <f>IF($AF687=1,SUMPRODUCT(--($AJ$2:$AJ$1501&lt;$AJ687))+1,"")</f>
        <v/>
      </c>
      <c r="AH687">
        <f>IF($B687="","",IF(OR($M687=TRUE(),$M687="TRUE"),1,0))</f>
        <v/>
      </c>
      <c r="AI687">
        <f>IF($B687="","",IF($V687="Yes",1,0))</f>
        <v/>
      </c>
      <c r="AJ687">
        <f>IF($AF687=1,IFERROR(IF(VALUE($B687)&lt;100000000,VALUE($B687),1000000000),IFERROR(IF(VALUE(MID($B687,2,20))&lt;100000000,VALUE(MID($B687,2,20)),1000000000),1000000000))+ROW()/100000,"")</f>
        <v/>
      </c>
    </row>
    <row r="688">
      <c r="C688" s="11" t="n"/>
      <c r="J688" s="7">
        <f>IF($B688="","",I688*Q688/100)</f>
        <v/>
      </c>
      <c r="P688" s="7" t="n"/>
      <c r="Q688" s="7" t="n"/>
      <c r="R688" s="7">
        <f>IF($B688="","",Q688*W688/100)</f>
        <v/>
      </c>
      <c r="S688" s="7">
        <f>IF($B688="","",Q688-R688)</f>
        <v/>
      </c>
      <c r="T688" s="7">
        <f>IF($B688="","",S688-J688)</f>
        <v/>
      </c>
      <c r="W688">
        <f>IF($B688="","",IF($AI688=1,0,IF($AH688=1,Settings!$C$6,Settings!$C$7))*100)</f>
        <v/>
      </c>
      <c r="AA688" s="7" t="n"/>
      <c r="AD688" s="11" t="n"/>
      <c r="AF688">
        <f>IF($B688="","",IF(COUNTIF($B$2:$B688,$B688)=1,1,0))</f>
        <v/>
      </c>
      <c r="AG688">
        <f>IF($AF688=1,SUMPRODUCT(--($AJ$2:$AJ$1501&lt;$AJ688))+1,"")</f>
        <v/>
      </c>
      <c r="AH688">
        <f>IF($B688="","",IF(OR($M688=TRUE(),$M688="TRUE"),1,0))</f>
        <v/>
      </c>
      <c r="AI688">
        <f>IF($B688="","",IF($V688="Yes",1,0))</f>
        <v/>
      </c>
      <c r="AJ688">
        <f>IF($AF688=1,IFERROR(IF(VALUE($B688)&lt;100000000,VALUE($B688),1000000000),IFERROR(IF(VALUE(MID($B688,2,20))&lt;100000000,VALUE(MID($B688,2,20)),1000000000),1000000000))+ROW()/100000,"")</f>
        <v/>
      </c>
    </row>
    <row r="689">
      <c r="C689" s="11" t="n"/>
      <c r="J689" s="7">
        <f>IF($B689="","",I689*Q689/100)</f>
        <v/>
      </c>
      <c r="P689" s="7" t="n"/>
      <c r="Q689" s="7" t="n"/>
      <c r="R689" s="7">
        <f>IF($B689="","",Q689*W689/100)</f>
        <v/>
      </c>
      <c r="S689" s="7">
        <f>IF($B689="","",Q689-R689)</f>
        <v/>
      </c>
      <c r="T689" s="7">
        <f>IF($B689="","",S689-J689)</f>
        <v/>
      </c>
      <c r="W689">
        <f>IF($B689="","",IF($AI689=1,0,IF($AH689=1,Settings!$C$6,Settings!$C$7))*100)</f>
        <v/>
      </c>
      <c r="AA689" s="7" t="n"/>
      <c r="AD689" s="11" t="n"/>
      <c r="AF689">
        <f>IF($B689="","",IF(COUNTIF($B$2:$B689,$B689)=1,1,0))</f>
        <v/>
      </c>
      <c r="AG689">
        <f>IF($AF689=1,SUMPRODUCT(--($AJ$2:$AJ$1501&lt;$AJ689))+1,"")</f>
        <v/>
      </c>
      <c r="AH689">
        <f>IF($B689="","",IF(OR($M689=TRUE(),$M689="TRUE"),1,0))</f>
        <v/>
      </c>
      <c r="AI689">
        <f>IF($B689="","",IF($V689="Yes",1,0))</f>
        <v/>
      </c>
      <c r="AJ689">
        <f>IF($AF689=1,IFERROR(IF(VALUE($B689)&lt;100000000,VALUE($B689),1000000000),IFERROR(IF(VALUE(MID($B689,2,20))&lt;100000000,VALUE(MID($B689,2,20)),1000000000),1000000000))+ROW()/100000,"")</f>
        <v/>
      </c>
    </row>
    <row r="690">
      <c r="C690" s="11" t="n"/>
      <c r="J690" s="7">
        <f>IF($B690="","",I690*Q690/100)</f>
        <v/>
      </c>
      <c r="P690" s="7" t="n"/>
      <c r="Q690" s="7" t="n"/>
      <c r="R690" s="7">
        <f>IF($B690="","",Q690*W690/100)</f>
        <v/>
      </c>
      <c r="S690" s="7">
        <f>IF($B690="","",Q690-R690)</f>
        <v/>
      </c>
      <c r="T690" s="7">
        <f>IF($B690="","",S690-J690)</f>
        <v/>
      </c>
      <c r="W690">
        <f>IF($B690="","",IF($AI690=1,0,IF($AH690=1,Settings!$C$6,Settings!$C$7))*100)</f>
        <v/>
      </c>
      <c r="AA690" s="7" t="n"/>
      <c r="AD690" s="11" t="n"/>
      <c r="AF690">
        <f>IF($B690="","",IF(COUNTIF($B$2:$B690,$B690)=1,1,0))</f>
        <v/>
      </c>
      <c r="AG690">
        <f>IF($AF690=1,SUMPRODUCT(--($AJ$2:$AJ$1501&lt;$AJ690))+1,"")</f>
        <v/>
      </c>
      <c r="AH690">
        <f>IF($B690="","",IF(OR($M690=TRUE(),$M690="TRUE"),1,0))</f>
        <v/>
      </c>
      <c r="AI690">
        <f>IF($B690="","",IF($V690="Yes",1,0))</f>
        <v/>
      </c>
      <c r="AJ690">
        <f>IF($AF690=1,IFERROR(IF(VALUE($B690)&lt;100000000,VALUE($B690),1000000000),IFERROR(IF(VALUE(MID($B690,2,20))&lt;100000000,VALUE(MID($B690,2,20)),1000000000),1000000000))+ROW()/100000,"")</f>
        <v/>
      </c>
    </row>
    <row r="691">
      <c r="C691" s="11" t="n"/>
      <c r="J691" s="7">
        <f>IF($B691="","",I691*Q691/100)</f>
        <v/>
      </c>
      <c r="P691" s="7" t="n"/>
      <c r="Q691" s="7" t="n"/>
      <c r="R691" s="7">
        <f>IF($B691="","",Q691*W691/100)</f>
        <v/>
      </c>
      <c r="S691" s="7">
        <f>IF($B691="","",Q691-R691)</f>
        <v/>
      </c>
      <c r="T691" s="7">
        <f>IF($B691="","",S691-J691)</f>
        <v/>
      </c>
      <c r="W691">
        <f>IF($B691="","",IF($AI691=1,0,IF($AH691=1,Settings!$C$6,Settings!$C$7))*100)</f>
        <v/>
      </c>
      <c r="AA691" s="7" t="n"/>
      <c r="AD691" s="11" t="n"/>
      <c r="AF691">
        <f>IF($B691="","",IF(COUNTIF($B$2:$B691,$B691)=1,1,0))</f>
        <v/>
      </c>
      <c r="AG691">
        <f>IF($AF691=1,SUMPRODUCT(--($AJ$2:$AJ$1501&lt;$AJ691))+1,"")</f>
        <v/>
      </c>
      <c r="AH691">
        <f>IF($B691="","",IF(OR($M691=TRUE(),$M691="TRUE"),1,0))</f>
        <v/>
      </c>
      <c r="AI691">
        <f>IF($B691="","",IF($V691="Yes",1,0))</f>
        <v/>
      </c>
      <c r="AJ691">
        <f>IF($AF691=1,IFERROR(IF(VALUE($B691)&lt;100000000,VALUE($B691),1000000000),IFERROR(IF(VALUE(MID($B691,2,20))&lt;100000000,VALUE(MID($B691,2,20)),1000000000),1000000000))+ROW()/100000,"")</f>
        <v/>
      </c>
    </row>
    <row r="692">
      <c r="C692" s="11" t="n"/>
      <c r="J692" s="7">
        <f>IF($B692="","",I692*Q692/100)</f>
        <v/>
      </c>
      <c r="P692" s="7" t="n"/>
      <c r="Q692" s="7" t="n"/>
      <c r="R692" s="7">
        <f>IF($B692="","",Q692*W692/100)</f>
        <v/>
      </c>
      <c r="S692" s="7">
        <f>IF($B692="","",Q692-R692)</f>
        <v/>
      </c>
      <c r="T692" s="7">
        <f>IF($B692="","",S692-J692)</f>
        <v/>
      </c>
      <c r="W692">
        <f>IF($B692="","",IF($AI692=1,0,IF($AH692=1,Settings!$C$6,Settings!$C$7))*100)</f>
        <v/>
      </c>
      <c r="AA692" s="7" t="n"/>
      <c r="AD692" s="11" t="n"/>
      <c r="AF692">
        <f>IF($B692="","",IF(COUNTIF($B$2:$B692,$B692)=1,1,0))</f>
        <v/>
      </c>
      <c r="AG692">
        <f>IF($AF692=1,SUMPRODUCT(--($AJ$2:$AJ$1501&lt;$AJ692))+1,"")</f>
        <v/>
      </c>
      <c r="AH692">
        <f>IF($B692="","",IF(OR($M692=TRUE(),$M692="TRUE"),1,0))</f>
        <v/>
      </c>
      <c r="AI692">
        <f>IF($B692="","",IF($V692="Yes",1,0))</f>
        <v/>
      </c>
      <c r="AJ692">
        <f>IF($AF692=1,IFERROR(IF(VALUE($B692)&lt;100000000,VALUE($B692),1000000000),IFERROR(IF(VALUE(MID($B692,2,20))&lt;100000000,VALUE(MID($B692,2,20)),1000000000),1000000000))+ROW()/100000,"")</f>
        <v/>
      </c>
    </row>
    <row r="693">
      <c r="C693" s="11" t="n"/>
      <c r="J693" s="7">
        <f>IF($B693="","",I693*Q693/100)</f>
        <v/>
      </c>
      <c r="P693" s="7" t="n"/>
      <c r="Q693" s="7" t="n"/>
      <c r="R693" s="7">
        <f>IF($B693="","",Q693*W693/100)</f>
        <v/>
      </c>
      <c r="S693" s="7">
        <f>IF($B693="","",Q693-R693)</f>
        <v/>
      </c>
      <c r="T693" s="7">
        <f>IF($B693="","",S693-J693)</f>
        <v/>
      </c>
      <c r="W693">
        <f>IF($B693="","",IF($AI693=1,0,IF($AH693=1,Settings!$C$6,Settings!$C$7))*100)</f>
        <v/>
      </c>
      <c r="AA693" s="7" t="n"/>
      <c r="AD693" s="11" t="n"/>
      <c r="AF693">
        <f>IF($B693="","",IF(COUNTIF($B$2:$B693,$B693)=1,1,0))</f>
        <v/>
      </c>
      <c r="AG693">
        <f>IF($AF693=1,SUMPRODUCT(--($AJ$2:$AJ$1501&lt;$AJ693))+1,"")</f>
        <v/>
      </c>
      <c r="AH693">
        <f>IF($B693="","",IF(OR($M693=TRUE(),$M693="TRUE"),1,0))</f>
        <v/>
      </c>
      <c r="AI693">
        <f>IF($B693="","",IF($V693="Yes",1,0))</f>
        <v/>
      </c>
      <c r="AJ693">
        <f>IF($AF693=1,IFERROR(IF(VALUE($B693)&lt;100000000,VALUE($B693),1000000000),IFERROR(IF(VALUE(MID($B693,2,20))&lt;100000000,VALUE(MID($B693,2,20)),1000000000),1000000000))+ROW()/100000,"")</f>
        <v/>
      </c>
    </row>
    <row r="694">
      <c r="C694" s="11" t="n"/>
      <c r="J694" s="7">
        <f>IF($B694="","",I694*Q694/100)</f>
        <v/>
      </c>
      <c r="P694" s="7" t="n"/>
      <c r="Q694" s="7" t="n"/>
      <c r="R694" s="7">
        <f>IF($B694="","",Q694*W694/100)</f>
        <v/>
      </c>
      <c r="S694" s="7">
        <f>IF($B694="","",Q694-R694)</f>
        <v/>
      </c>
      <c r="T694" s="7">
        <f>IF($B694="","",S694-J694)</f>
        <v/>
      </c>
      <c r="W694">
        <f>IF($B694="","",IF($AI694=1,0,IF($AH694=1,Settings!$C$6,Settings!$C$7))*100)</f>
        <v/>
      </c>
      <c r="AA694" s="7" t="n"/>
      <c r="AD694" s="11" t="n"/>
      <c r="AF694">
        <f>IF($B694="","",IF(COUNTIF($B$2:$B694,$B694)=1,1,0))</f>
        <v/>
      </c>
      <c r="AG694">
        <f>IF($AF694=1,SUMPRODUCT(--($AJ$2:$AJ$1501&lt;$AJ694))+1,"")</f>
        <v/>
      </c>
      <c r="AH694">
        <f>IF($B694="","",IF(OR($M694=TRUE(),$M694="TRUE"),1,0))</f>
        <v/>
      </c>
      <c r="AI694">
        <f>IF($B694="","",IF($V694="Yes",1,0))</f>
        <v/>
      </c>
      <c r="AJ694">
        <f>IF($AF694=1,IFERROR(IF(VALUE($B694)&lt;100000000,VALUE($B694),1000000000),IFERROR(IF(VALUE(MID($B694,2,20))&lt;100000000,VALUE(MID($B694,2,20)),1000000000),1000000000))+ROW()/100000,"")</f>
        <v/>
      </c>
    </row>
    <row r="695">
      <c r="C695" s="11" t="n"/>
      <c r="J695" s="7">
        <f>IF($B695="","",I695*Q695/100)</f>
        <v/>
      </c>
      <c r="P695" s="7" t="n"/>
      <c r="Q695" s="7" t="n"/>
      <c r="R695" s="7">
        <f>IF($B695="","",Q695*W695/100)</f>
        <v/>
      </c>
      <c r="S695" s="7">
        <f>IF($B695="","",Q695-R695)</f>
        <v/>
      </c>
      <c r="T695" s="7">
        <f>IF($B695="","",S695-J695)</f>
        <v/>
      </c>
      <c r="W695">
        <f>IF($B695="","",IF($AI695=1,0,IF($AH695=1,Settings!$C$6,Settings!$C$7))*100)</f>
        <v/>
      </c>
      <c r="AA695" s="7" t="n"/>
      <c r="AD695" s="11" t="n"/>
      <c r="AF695">
        <f>IF($B695="","",IF(COUNTIF($B$2:$B695,$B695)=1,1,0))</f>
        <v/>
      </c>
      <c r="AG695">
        <f>IF($AF695=1,SUMPRODUCT(--($AJ$2:$AJ$1501&lt;$AJ695))+1,"")</f>
        <v/>
      </c>
      <c r="AH695">
        <f>IF($B695="","",IF(OR($M695=TRUE(),$M695="TRUE"),1,0))</f>
        <v/>
      </c>
      <c r="AI695">
        <f>IF($B695="","",IF($V695="Yes",1,0))</f>
        <v/>
      </c>
      <c r="AJ695">
        <f>IF($AF695=1,IFERROR(IF(VALUE($B695)&lt;100000000,VALUE($B695),1000000000),IFERROR(IF(VALUE(MID($B695,2,20))&lt;100000000,VALUE(MID($B695,2,20)),1000000000),1000000000))+ROW()/100000,"")</f>
        <v/>
      </c>
    </row>
    <row r="696">
      <c r="C696" s="11" t="n"/>
      <c r="J696" s="7">
        <f>IF($B696="","",I696*Q696/100)</f>
        <v/>
      </c>
      <c r="P696" s="7" t="n"/>
      <c r="Q696" s="7" t="n"/>
      <c r="R696" s="7">
        <f>IF($B696="","",Q696*W696/100)</f>
        <v/>
      </c>
      <c r="S696" s="7">
        <f>IF($B696="","",Q696-R696)</f>
        <v/>
      </c>
      <c r="T696" s="7">
        <f>IF($B696="","",S696-J696)</f>
        <v/>
      </c>
      <c r="W696">
        <f>IF($B696="","",IF($AI696=1,0,IF($AH696=1,Settings!$C$6,Settings!$C$7))*100)</f>
        <v/>
      </c>
      <c r="AA696" s="7" t="n"/>
      <c r="AD696" s="11" t="n"/>
      <c r="AF696">
        <f>IF($B696="","",IF(COUNTIF($B$2:$B696,$B696)=1,1,0))</f>
        <v/>
      </c>
      <c r="AG696">
        <f>IF($AF696=1,SUMPRODUCT(--($AJ$2:$AJ$1501&lt;$AJ696))+1,"")</f>
        <v/>
      </c>
      <c r="AH696">
        <f>IF($B696="","",IF(OR($M696=TRUE(),$M696="TRUE"),1,0))</f>
        <v/>
      </c>
      <c r="AI696">
        <f>IF($B696="","",IF($V696="Yes",1,0))</f>
        <v/>
      </c>
      <c r="AJ696">
        <f>IF($AF696=1,IFERROR(IF(VALUE($B696)&lt;100000000,VALUE($B696),1000000000),IFERROR(IF(VALUE(MID($B696,2,20))&lt;100000000,VALUE(MID($B696,2,20)),1000000000),1000000000))+ROW()/100000,"")</f>
        <v/>
      </c>
    </row>
    <row r="697">
      <c r="C697" s="11" t="n"/>
      <c r="J697" s="7">
        <f>IF($B697="","",I697*Q697/100)</f>
        <v/>
      </c>
      <c r="P697" s="7" t="n"/>
      <c r="Q697" s="7" t="n"/>
      <c r="R697" s="7">
        <f>IF($B697="","",Q697*W697/100)</f>
        <v/>
      </c>
      <c r="S697" s="7">
        <f>IF($B697="","",Q697-R697)</f>
        <v/>
      </c>
      <c r="T697" s="7">
        <f>IF($B697="","",S697-J697)</f>
        <v/>
      </c>
      <c r="W697">
        <f>IF($B697="","",IF($AI697=1,0,IF($AH697=1,Settings!$C$6,Settings!$C$7))*100)</f>
        <v/>
      </c>
      <c r="AA697" s="7" t="n"/>
      <c r="AD697" s="11" t="n"/>
      <c r="AF697">
        <f>IF($B697="","",IF(COUNTIF($B$2:$B697,$B697)=1,1,0))</f>
        <v/>
      </c>
      <c r="AG697">
        <f>IF($AF697=1,SUMPRODUCT(--($AJ$2:$AJ$1501&lt;$AJ697))+1,"")</f>
        <v/>
      </c>
      <c r="AH697">
        <f>IF($B697="","",IF(OR($M697=TRUE(),$M697="TRUE"),1,0))</f>
        <v/>
      </c>
      <c r="AI697">
        <f>IF($B697="","",IF($V697="Yes",1,0))</f>
        <v/>
      </c>
      <c r="AJ697">
        <f>IF($AF697=1,IFERROR(IF(VALUE($B697)&lt;100000000,VALUE($B697),1000000000),IFERROR(IF(VALUE(MID($B697,2,20))&lt;100000000,VALUE(MID($B697,2,20)),1000000000),1000000000))+ROW()/100000,"")</f>
        <v/>
      </c>
    </row>
    <row r="698">
      <c r="C698" s="11" t="n"/>
      <c r="J698" s="7">
        <f>IF($B698="","",I698*Q698/100)</f>
        <v/>
      </c>
      <c r="P698" s="7" t="n"/>
      <c r="Q698" s="7" t="n"/>
      <c r="R698" s="7">
        <f>IF($B698="","",Q698*W698/100)</f>
        <v/>
      </c>
      <c r="S698" s="7">
        <f>IF($B698="","",Q698-R698)</f>
        <v/>
      </c>
      <c r="T698" s="7">
        <f>IF($B698="","",S698-J698)</f>
        <v/>
      </c>
      <c r="W698">
        <f>IF($B698="","",IF($AI698=1,0,IF($AH698=1,Settings!$C$6,Settings!$C$7))*100)</f>
        <v/>
      </c>
      <c r="AA698" s="7" t="n"/>
      <c r="AD698" s="11" t="n"/>
      <c r="AF698">
        <f>IF($B698="","",IF(COUNTIF($B$2:$B698,$B698)=1,1,0))</f>
        <v/>
      </c>
      <c r="AG698">
        <f>IF($AF698=1,SUMPRODUCT(--($AJ$2:$AJ$1501&lt;$AJ698))+1,"")</f>
        <v/>
      </c>
      <c r="AH698">
        <f>IF($B698="","",IF(OR($M698=TRUE(),$M698="TRUE"),1,0))</f>
        <v/>
      </c>
      <c r="AI698">
        <f>IF($B698="","",IF($V698="Yes",1,0))</f>
        <v/>
      </c>
      <c r="AJ698">
        <f>IF($AF698=1,IFERROR(IF(VALUE($B698)&lt;100000000,VALUE($B698),1000000000),IFERROR(IF(VALUE(MID($B698,2,20))&lt;100000000,VALUE(MID($B698,2,20)),1000000000),1000000000))+ROW()/100000,"")</f>
        <v/>
      </c>
    </row>
    <row r="699">
      <c r="C699" s="11" t="n"/>
      <c r="J699" s="7">
        <f>IF($B699="","",I699*Q699/100)</f>
        <v/>
      </c>
      <c r="P699" s="7" t="n"/>
      <c r="Q699" s="7" t="n"/>
      <c r="R699" s="7">
        <f>IF($B699="","",Q699*W699/100)</f>
        <v/>
      </c>
      <c r="S699" s="7">
        <f>IF($B699="","",Q699-R699)</f>
        <v/>
      </c>
      <c r="T699" s="7">
        <f>IF($B699="","",S699-J699)</f>
        <v/>
      </c>
      <c r="W699">
        <f>IF($B699="","",IF($AI699=1,0,IF($AH699=1,Settings!$C$6,Settings!$C$7))*100)</f>
        <v/>
      </c>
      <c r="AA699" s="7" t="n"/>
      <c r="AD699" s="11" t="n"/>
      <c r="AF699">
        <f>IF($B699="","",IF(COUNTIF($B$2:$B699,$B699)=1,1,0))</f>
        <v/>
      </c>
      <c r="AG699">
        <f>IF($AF699=1,SUMPRODUCT(--($AJ$2:$AJ$1501&lt;$AJ699))+1,"")</f>
        <v/>
      </c>
      <c r="AH699">
        <f>IF($B699="","",IF(OR($M699=TRUE(),$M699="TRUE"),1,0))</f>
        <v/>
      </c>
      <c r="AI699">
        <f>IF($B699="","",IF($V699="Yes",1,0))</f>
        <v/>
      </c>
      <c r="AJ699">
        <f>IF($AF699=1,IFERROR(IF(VALUE($B699)&lt;100000000,VALUE($B699),1000000000),IFERROR(IF(VALUE(MID($B699,2,20))&lt;100000000,VALUE(MID($B699,2,20)),1000000000),1000000000))+ROW()/100000,"")</f>
        <v/>
      </c>
    </row>
    <row r="700">
      <c r="C700" s="11" t="n"/>
      <c r="J700" s="7">
        <f>IF($B700="","",I700*Q700/100)</f>
        <v/>
      </c>
      <c r="P700" s="7" t="n"/>
      <c r="Q700" s="7" t="n"/>
      <c r="R700" s="7">
        <f>IF($B700="","",Q700*W700/100)</f>
        <v/>
      </c>
      <c r="S700" s="7">
        <f>IF($B700="","",Q700-R700)</f>
        <v/>
      </c>
      <c r="T700" s="7">
        <f>IF($B700="","",S700-J700)</f>
        <v/>
      </c>
      <c r="W700">
        <f>IF($B700="","",IF($AI700=1,0,IF($AH700=1,Settings!$C$6,Settings!$C$7))*100)</f>
        <v/>
      </c>
      <c r="AA700" s="7" t="n"/>
      <c r="AD700" s="11" t="n"/>
      <c r="AF700">
        <f>IF($B700="","",IF(COUNTIF($B$2:$B700,$B700)=1,1,0))</f>
        <v/>
      </c>
      <c r="AG700">
        <f>IF($AF700=1,SUMPRODUCT(--($AJ$2:$AJ$1501&lt;$AJ700))+1,"")</f>
        <v/>
      </c>
      <c r="AH700">
        <f>IF($B700="","",IF(OR($M700=TRUE(),$M700="TRUE"),1,0))</f>
        <v/>
      </c>
      <c r="AI700">
        <f>IF($B700="","",IF($V700="Yes",1,0))</f>
        <v/>
      </c>
      <c r="AJ700">
        <f>IF($AF700=1,IFERROR(IF(VALUE($B700)&lt;100000000,VALUE($B700),1000000000),IFERROR(IF(VALUE(MID($B700,2,20))&lt;100000000,VALUE(MID($B700,2,20)),1000000000),1000000000))+ROW()/100000,"")</f>
        <v/>
      </c>
    </row>
    <row r="701">
      <c r="C701" s="11" t="n"/>
      <c r="J701" s="7">
        <f>IF($B701="","",I701*Q701/100)</f>
        <v/>
      </c>
      <c r="P701" s="7" t="n"/>
      <c r="Q701" s="7" t="n"/>
      <c r="R701" s="7">
        <f>IF($B701="","",Q701*W701/100)</f>
        <v/>
      </c>
      <c r="S701" s="7">
        <f>IF($B701="","",Q701-R701)</f>
        <v/>
      </c>
      <c r="T701" s="7">
        <f>IF($B701="","",S701-J701)</f>
        <v/>
      </c>
      <c r="W701">
        <f>IF($B701="","",IF($AI701=1,0,IF($AH701=1,Settings!$C$6,Settings!$C$7))*100)</f>
        <v/>
      </c>
      <c r="AA701" s="7" t="n"/>
      <c r="AD701" s="11" t="n"/>
      <c r="AF701">
        <f>IF($B701="","",IF(COUNTIF($B$2:$B701,$B701)=1,1,0))</f>
        <v/>
      </c>
      <c r="AG701">
        <f>IF($AF701=1,SUMPRODUCT(--($AJ$2:$AJ$1501&lt;$AJ701))+1,"")</f>
        <v/>
      </c>
      <c r="AH701">
        <f>IF($B701="","",IF(OR($M701=TRUE(),$M701="TRUE"),1,0))</f>
        <v/>
      </c>
      <c r="AI701">
        <f>IF($B701="","",IF($V701="Yes",1,0))</f>
        <v/>
      </c>
      <c r="AJ701">
        <f>IF($AF701=1,IFERROR(IF(VALUE($B701)&lt;100000000,VALUE($B701),1000000000),IFERROR(IF(VALUE(MID($B701,2,20))&lt;100000000,VALUE(MID($B701,2,20)),1000000000),1000000000))+ROW()/100000,"")</f>
        <v/>
      </c>
    </row>
    <row r="702">
      <c r="C702" s="11" t="n"/>
      <c r="J702" s="7">
        <f>IF($B702="","",I702*Q702/100)</f>
        <v/>
      </c>
      <c r="P702" s="7" t="n"/>
      <c r="Q702" s="7" t="n"/>
      <c r="R702" s="7">
        <f>IF($B702="","",Q702*W702/100)</f>
        <v/>
      </c>
      <c r="S702" s="7">
        <f>IF($B702="","",Q702-R702)</f>
        <v/>
      </c>
      <c r="T702" s="7">
        <f>IF($B702="","",S702-J702)</f>
        <v/>
      </c>
      <c r="W702">
        <f>IF($B702="","",IF($AI702=1,0,IF($AH702=1,Settings!$C$6,Settings!$C$7))*100)</f>
        <v/>
      </c>
      <c r="AA702" s="7" t="n"/>
      <c r="AD702" s="11" t="n"/>
      <c r="AF702">
        <f>IF($B702="","",IF(COUNTIF($B$2:$B702,$B702)=1,1,0))</f>
        <v/>
      </c>
      <c r="AG702">
        <f>IF($AF702=1,SUMPRODUCT(--($AJ$2:$AJ$1501&lt;$AJ702))+1,"")</f>
        <v/>
      </c>
      <c r="AH702">
        <f>IF($B702="","",IF(OR($M702=TRUE(),$M702="TRUE"),1,0))</f>
        <v/>
      </c>
      <c r="AI702">
        <f>IF($B702="","",IF($V702="Yes",1,0))</f>
        <v/>
      </c>
      <c r="AJ702">
        <f>IF($AF702=1,IFERROR(IF(VALUE($B702)&lt;100000000,VALUE($B702),1000000000),IFERROR(IF(VALUE(MID($B702,2,20))&lt;100000000,VALUE(MID($B702,2,20)),1000000000),1000000000))+ROW()/100000,"")</f>
        <v/>
      </c>
    </row>
    <row r="703">
      <c r="C703" s="11" t="n"/>
      <c r="J703" s="7">
        <f>IF($B703="","",I703*Q703/100)</f>
        <v/>
      </c>
      <c r="P703" s="7" t="n"/>
      <c r="Q703" s="7" t="n"/>
      <c r="R703" s="7">
        <f>IF($B703="","",Q703*W703/100)</f>
        <v/>
      </c>
      <c r="S703" s="7">
        <f>IF($B703="","",Q703-R703)</f>
        <v/>
      </c>
      <c r="T703" s="7">
        <f>IF($B703="","",S703-J703)</f>
        <v/>
      </c>
      <c r="W703">
        <f>IF($B703="","",IF($AI703=1,0,IF($AH703=1,Settings!$C$6,Settings!$C$7))*100)</f>
        <v/>
      </c>
      <c r="AA703" s="7" t="n"/>
      <c r="AD703" s="11" t="n"/>
      <c r="AF703">
        <f>IF($B703="","",IF(COUNTIF($B$2:$B703,$B703)=1,1,0))</f>
        <v/>
      </c>
      <c r="AG703">
        <f>IF($AF703=1,SUMPRODUCT(--($AJ$2:$AJ$1501&lt;$AJ703))+1,"")</f>
        <v/>
      </c>
      <c r="AH703">
        <f>IF($B703="","",IF(OR($M703=TRUE(),$M703="TRUE"),1,0))</f>
        <v/>
      </c>
      <c r="AI703">
        <f>IF($B703="","",IF($V703="Yes",1,0))</f>
        <v/>
      </c>
      <c r="AJ703">
        <f>IF($AF703=1,IFERROR(IF(VALUE($B703)&lt;100000000,VALUE($B703),1000000000),IFERROR(IF(VALUE(MID($B703,2,20))&lt;100000000,VALUE(MID($B703,2,20)),1000000000),1000000000))+ROW()/100000,"")</f>
        <v/>
      </c>
    </row>
    <row r="704">
      <c r="C704" s="11" t="n"/>
      <c r="J704" s="7">
        <f>IF($B704="","",I704*Q704/100)</f>
        <v/>
      </c>
      <c r="P704" s="7" t="n"/>
      <c r="Q704" s="7" t="n"/>
      <c r="R704" s="7">
        <f>IF($B704="","",Q704*W704/100)</f>
        <v/>
      </c>
      <c r="S704" s="7">
        <f>IF($B704="","",Q704-R704)</f>
        <v/>
      </c>
      <c r="T704" s="7">
        <f>IF($B704="","",S704-J704)</f>
        <v/>
      </c>
      <c r="W704">
        <f>IF($B704="","",IF($AI704=1,0,IF($AH704=1,Settings!$C$6,Settings!$C$7))*100)</f>
        <v/>
      </c>
      <c r="AA704" s="7" t="n"/>
      <c r="AD704" s="11" t="n"/>
      <c r="AF704">
        <f>IF($B704="","",IF(COUNTIF($B$2:$B704,$B704)=1,1,0))</f>
        <v/>
      </c>
      <c r="AG704">
        <f>IF($AF704=1,SUMPRODUCT(--($AJ$2:$AJ$1501&lt;$AJ704))+1,"")</f>
        <v/>
      </c>
      <c r="AH704">
        <f>IF($B704="","",IF(OR($M704=TRUE(),$M704="TRUE"),1,0))</f>
        <v/>
      </c>
      <c r="AI704">
        <f>IF($B704="","",IF($V704="Yes",1,0))</f>
        <v/>
      </c>
      <c r="AJ704">
        <f>IF($AF704=1,IFERROR(IF(VALUE($B704)&lt;100000000,VALUE($B704),1000000000),IFERROR(IF(VALUE(MID($B704,2,20))&lt;100000000,VALUE(MID($B704,2,20)),1000000000),1000000000))+ROW()/100000,"")</f>
        <v/>
      </c>
    </row>
    <row r="705">
      <c r="C705" s="11" t="n"/>
      <c r="J705" s="7">
        <f>IF($B705="","",I705*Q705/100)</f>
        <v/>
      </c>
      <c r="P705" s="7" t="n"/>
      <c r="Q705" s="7" t="n"/>
      <c r="R705" s="7">
        <f>IF($B705="","",Q705*W705/100)</f>
        <v/>
      </c>
      <c r="S705" s="7">
        <f>IF($B705="","",Q705-R705)</f>
        <v/>
      </c>
      <c r="T705" s="7">
        <f>IF($B705="","",S705-J705)</f>
        <v/>
      </c>
      <c r="W705">
        <f>IF($B705="","",IF($AI705=1,0,IF($AH705=1,Settings!$C$6,Settings!$C$7))*100)</f>
        <v/>
      </c>
      <c r="AA705" s="7" t="n"/>
      <c r="AD705" s="11" t="n"/>
      <c r="AF705">
        <f>IF($B705="","",IF(COUNTIF($B$2:$B705,$B705)=1,1,0))</f>
        <v/>
      </c>
      <c r="AG705">
        <f>IF($AF705=1,SUMPRODUCT(--($AJ$2:$AJ$1501&lt;$AJ705))+1,"")</f>
        <v/>
      </c>
      <c r="AH705">
        <f>IF($B705="","",IF(OR($M705=TRUE(),$M705="TRUE"),1,0))</f>
        <v/>
      </c>
      <c r="AI705">
        <f>IF($B705="","",IF($V705="Yes",1,0))</f>
        <v/>
      </c>
      <c r="AJ705">
        <f>IF($AF705=1,IFERROR(IF(VALUE($B705)&lt;100000000,VALUE($B705),1000000000),IFERROR(IF(VALUE(MID($B705,2,20))&lt;100000000,VALUE(MID($B705,2,20)),1000000000),1000000000))+ROW()/100000,"")</f>
        <v/>
      </c>
    </row>
    <row r="706">
      <c r="C706" s="11" t="n"/>
      <c r="J706" s="7">
        <f>IF($B706="","",I706*Q706/100)</f>
        <v/>
      </c>
      <c r="P706" s="7" t="n"/>
      <c r="Q706" s="7" t="n"/>
      <c r="R706" s="7">
        <f>IF($B706="","",Q706*W706/100)</f>
        <v/>
      </c>
      <c r="S706" s="7">
        <f>IF($B706="","",Q706-R706)</f>
        <v/>
      </c>
      <c r="T706" s="7">
        <f>IF($B706="","",S706-J706)</f>
        <v/>
      </c>
      <c r="W706">
        <f>IF($B706="","",IF($AI706=1,0,IF($AH706=1,Settings!$C$6,Settings!$C$7))*100)</f>
        <v/>
      </c>
      <c r="AA706" s="7" t="n"/>
      <c r="AD706" s="11" t="n"/>
      <c r="AF706">
        <f>IF($B706="","",IF(COUNTIF($B$2:$B706,$B706)=1,1,0))</f>
        <v/>
      </c>
      <c r="AG706">
        <f>IF($AF706=1,SUMPRODUCT(--($AJ$2:$AJ$1501&lt;$AJ706))+1,"")</f>
        <v/>
      </c>
      <c r="AH706">
        <f>IF($B706="","",IF(OR($M706=TRUE(),$M706="TRUE"),1,0))</f>
        <v/>
      </c>
      <c r="AI706">
        <f>IF($B706="","",IF($V706="Yes",1,0))</f>
        <v/>
      </c>
      <c r="AJ706">
        <f>IF($AF706=1,IFERROR(IF(VALUE($B706)&lt;100000000,VALUE($B706),1000000000),IFERROR(IF(VALUE(MID($B706,2,20))&lt;100000000,VALUE(MID($B706,2,20)),1000000000),1000000000))+ROW()/100000,"")</f>
        <v/>
      </c>
    </row>
    <row r="707">
      <c r="C707" s="11" t="n"/>
      <c r="J707" s="7">
        <f>IF($B707="","",I707*Q707/100)</f>
        <v/>
      </c>
      <c r="P707" s="7" t="n"/>
      <c r="Q707" s="7" t="n"/>
      <c r="R707" s="7">
        <f>IF($B707="","",Q707*W707/100)</f>
        <v/>
      </c>
      <c r="S707" s="7">
        <f>IF($B707="","",Q707-R707)</f>
        <v/>
      </c>
      <c r="T707" s="7">
        <f>IF($B707="","",S707-J707)</f>
        <v/>
      </c>
      <c r="W707">
        <f>IF($B707="","",IF($AI707=1,0,IF($AH707=1,Settings!$C$6,Settings!$C$7))*100)</f>
        <v/>
      </c>
      <c r="AA707" s="7" t="n"/>
      <c r="AD707" s="11" t="n"/>
      <c r="AF707">
        <f>IF($B707="","",IF(COUNTIF($B$2:$B707,$B707)=1,1,0))</f>
        <v/>
      </c>
      <c r="AG707">
        <f>IF($AF707=1,SUMPRODUCT(--($AJ$2:$AJ$1501&lt;$AJ707))+1,"")</f>
        <v/>
      </c>
      <c r="AH707">
        <f>IF($B707="","",IF(OR($M707=TRUE(),$M707="TRUE"),1,0))</f>
        <v/>
      </c>
      <c r="AI707">
        <f>IF($B707="","",IF($V707="Yes",1,0))</f>
        <v/>
      </c>
      <c r="AJ707">
        <f>IF($AF707=1,IFERROR(IF(VALUE($B707)&lt;100000000,VALUE($B707),1000000000),IFERROR(IF(VALUE(MID($B707,2,20))&lt;100000000,VALUE(MID($B707,2,20)),1000000000),1000000000))+ROW()/100000,"")</f>
        <v/>
      </c>
    </row>
    <row r="708">
      <c r="C708" s="11" t="n"/>
      <c r="J708" s="7">
        <f>IF($B708="","",I708*Q708/100)</f>
        <v/>
      </c>
      <c r="P708" s="7" t="n"/>
      <c r="Q708" s="7" t="n"/>
      <c r="R708" s="7">
        <f>IF($B708="","",Q708*W708/100)</f>
        <v/>
      </c>
      <c r="S708" s="7">
        <f>IF($B708="","",Q708-R708)</f>
        <v/>
      </c>
      <c r="T708" s="7">
        <f>IF($B708="","",S708-J708)</f>
        <v/>
      </c>
      <c r="W708">
        <f>IF($B708="","",IF($AI708=1,0,IF($AH708=1,Settings!$C$6,Settings!$C$7))*100)</f>
        <v/>
      </c>
      <c r="AA708" s="7" t="n"/>
      <c r="AD708" s="11" t="n"/>
      <c r="AF708">
        <f>IF($B708="","",IF(COUNTIF($B$2:$B708,$B708)=1,1,0))</f>
        <v/>
      </c>
      <c r="AG708">
        <f>IF($AF708=1,SUMPRODUCT(--($AJ$2:$AJ$1501&lt;$AJ708))+1,"")</f>
        <v/>
      </c>
      <c r="AH708">
        <f>IF($B708="","",IF(OR($M708=TRUE(),$M708="TRUE"),1,0))</f>
        <v/>
      </c>
      <c r="AI708">
        <f>IF($B708="","",IF($V708="Yes",1,0))</f>
        <v/>
      </c>
      <c r="AJ708">
        <f>IF($AF708=1,IFERROR(IF(VALUE($B708)&lt;100000000,VALUE($B708),1000000000),IFERROR(IF(VALUE(MID($B708,2,20))&lt;100000000,VALUE(MID($B708,2,20)),1000000000),1000000000))+ROW()/100000,"")</f>
        <v/>
      </c>
    </row>
    <row r="709">
      <c r="C709" s="11" t="n"/>
      <c r="J709" s="7">
        <f>IF($B709="","",I709*Q709/100)</f>
        <v/>
      </c>
      <c r="P709" s="7" t="n"/>
      <c r="Q709" s="7" t="n"/>
      <c r="R709" s="7">
        <f>IF($B709="","",Q709*W709/100)</f>
        <v/>
      </c>
      <c r="S709" s="7">
        <f>IF($B709="","",Q709-R709)</f>
        <v/>
      </c>
      <c r="T709" s="7">
        <f>IF($B709="","",S709-J709)</f>
        <v/>
      </c>
      <c r="W709">
        <f>IF($B709="","",IF($AI709=1,0,IF($AH709=1,Settings!$C$6,Settings!$C$7))*100)</f>
        <v/>
      </c>
      <c r="AA709" s="7" t="n"/>
      <c r="AD709" s="11" t="n"/>
      <c r="AF709">
        <f>IF($B709="","",IF(COUNTIF($B$2:$B709,$B709)=1,1,0))</f>
        <v/>
      </c>
      <c r="AG709">
        <f>IF($AF709=1,SUMPRODUCT(--($AJ$2:$AJ$1501&lt;$AJ709))+1,"")</f>
        <v/>
      </c>
      <c r="AH709">
        <f>IF($B709="","",IF(OR($M709=TRUE(),$M709="TRUE"),1,0))</f>
        <v/>
      </c>
      <c r="AI709">
        <f>IF($B709="","",IF($V709="Yes",1,0))</f>
        <v/>
      </c>
      <c r="AJ709">
        <f>IF($AF709=1,IFERROR(IF(VALUE($B709)&lt;100000000,VALUE($B709),1000000000),IFERROR(IF(VALUE(MID($B709,2,20))&lt;100000000,VALUE(MID($B709,2,20)),1000000000),1000000000))+ROW()/100000,"")</f>
        <v/>
      </c>
    </row>
    <row r="710">
      <c r="C710" s="11" t="n"/>
      <c r="J710" s="7">
        <f>IF($B710="","",I710*Q710/100)</f>
        <v/>
      </c>
      <c r="P710" s="7" t="n"/>
      <c r="Q710" s="7" t="n"/>
      <c r="R710" s="7">
        <f>IF($B710="","",Q710*W710/100)</f>
        <v/>
      </c>
      <c r="S710" s="7">
        <f>IF($B710="","",Q710-R710)</f>
        <v/>
      </c>
      <c r="T710" s="7">
        <f>IF($B710="","",S710-J710)</f>
        <v/>
      </c>
      <c r="W710">
        <f>IF($B710="","",IF($AI710=1,0,IF($AH710=1,Settings!$C$6,Settings!$C$7))*100)</f>
        <v/>
      </c>
      <c r="AA710" s="7" t="n"/>
      <c r="AD710" s="11" t="n"/>
      <c r="AF710">
        <f>IF($B710="","",IF(COUNTIF($B$2:$B710,$B710)=1,1,0))</f>
        <v/>
      </c>
      <c r="AG710">
        <f>IF($AF710=1,SUMPRODUCT(--($AJ$2:$AJ$1501&lt;$AJ710))+1,"")</f>
        <v/>
      </c>
      <c r="AH710">
        <f>IF($B710="","",IF(OR($M710=TRUE(),$M710="TRUE"),1,0))</f>
        <v/>
      </c>
      <c r="AI710">
        <f>IF($B710="","",IF($V710="Yes",1,0))</f>
        <v/>
      </c>
      <c r="AJ710">
        <f>IF($AF710=1,IFERROR(IF(VALUE($B710)&lt;100000000,VALUE($B710),1000000000),IFERROR(IF(VALUE(MID($B710,2,20))&lt;100000000,VALUE(MID($B710,2,20)),1000000000),1000000000))+ROW()/100000,"")</f>
        <v/>
      </c>
    </row>
    <row r="711">
      <c r="C711" s="11" t="n"/>
      <c r="J711" s="7">
        <f>IF($B711="","",I711*Q711/100)</f>
        <v/>
      </c>
      <c r="P711" s="7" t="n"/>
      <c r="Q711" s="7" t="n"/>
      <c r="R711" s="7">
        <f>IF($B711="","",Q711*W711/100)</f>
        <v/>
      </c>
      <c r="S711" s="7">
        <f>IF($B711="","",Q711-R711)</f>
        <v/>
      </c>
      <c r="T711" s="7">
        <f>IF($B711="","",S711-J711)</f>
        <v/>
      </c>
      <c r="W711">
        <f>IF($B711="","",IF($AI711=1,0,IF($AH711=1,Settings!$C$6,Settings!$C$7))*100)</f>
        <v/>
      </c>
      <c r="AA711" s="7" t="n"/>
      <c r="AD711" s="11" t="n"/>
      <c r="AF711">
        <f>IF($B711="","",IF(COUNTIF($B$2:$B711,$B711)=1,1,0))</f>
        <v/>
      </c>
      <c r="AG711">
        <f>IF($AF711=1,SUMPRODUCT(--($AJ$2:$AJ$1501&lt;$AJ711))+1,"")</f>
        <v/>
      </c>
      <c r="AH711">
        <f>IF($B711="","",IF(OR($M711=TRUE(),$M711="TRUE"),1,0))</f>
        <v/>
      </c>
      <c r="AI711">
        <f>IF($B711="","",IF($V711="Yes",1,0))</f>
        <v/>
      </c>
      <c r="AJ711">
        <f>IF($AF711=1,IFERROR(IF(VALUE($B711)&lt;100000000,VALUE($B711),1000000000),IFERROR(IF(VALUE(MID($B711,2,20))&lt;100000000,VALUE(MID($B711,2,20)),1000000000),1000000000))+ROW()/100000,"")</f>
        <v/>
      </c>
    </row>
    <row r="712">
      <c r="C712" s="11" t="n"/>
      <c r="J712" s="7">
        <f>IF($B712="","",I712*Q712/100)</f>
        <v/>
      </c>
      <c r="P712" s="7" t="n"/>
      <c r="Q712" s="7" t="n"/>
      <c r="R712" s="7">
        <f>IF($B712="","",Q712*W712/100)</f>
        <v/>
      </c>
      <c r="S712" s="7">
        <f>IF($B712="","",Q712-R712)</f>
        <v/>
      </c>
      <c r="T712" s="7">
        <f>IF($B712="","",S712-J712)</f>
        <v/>
      </c>
      <c r="W712">
        <f>IF($B712="","",IF($AI712=1,0,IF($AH712=1,Settings!$C$6,Settings!$C$7))*100)</f>
        <v/>
      </c>
      <c r="AA712" s="7" t="n"/>
      <c r="AD712" s="11" t="n"/>
      <c r="AF712">
        <f>IF($B712="","",IF(COUNTIF($B$2:$B712,$B712)=1,1,0))</f>
        <v/>
      </c>
      <c r="AG712">
        <f>IF($AF712=1,SUMPRODUCT(--($AJ$2:$AJ$1501&lt;$AJ712))+1,"")</f>
        <v/>
      </c>
      <c r="AH712">
        <f>IF($B712="","",IF(OR($M712=TRUE(),$M712="TRUE"),1,0))</f>
        <v/>
      </c>
      <c r="AI712">
        <f>IF($B712="","",IF($V712="Yes",1,0))</f>
        <v/>
      </c>
      <c r="AJ712">
        <f>IF($AF712=1,IFERROR(IF(VALUE($B712)&lt;100000000,VALUE($B712),1000000000),IFERROR(IF(VALUE(MID($B712,2,20))&lt;100000000,VALUE(MID($B712,2,20)),1000000000),1000000000))+ROW()/100000,"")</f>
        <v/>
      </c>
    </row>
    <row r="713">
      <c r="C713" s="11" t="n"/>
      <c r="J713" s="7">
        <f>IF($B713="","",I713*Q713/100)</f>
        <v/>
      </c>
      <c r="P713" s="7" t="n"/>
      <c r="Q713" s="7" t="n"/>
      <c r="R713" s="7">
        <f>IF($B713="","",Q713*W713/100)</f>
        <v/>
      </c>
      <c r="S713" s="7">
        <f>IF($B713="","",Q713-R713)</f>
        <v/>
      </c>
      <c r="T713" s="7">
        <f>IF($B713="","",S713-J713)</f>
        <v/>
      </c>
      <c r="W713">
        <f>IF($B713="","",IF($AI713=1,0,IF($AH713=1,Settings!$C$6,Settings!$C$7))*100)</f>
        <v/>
      </c>
      <c r="AA713" s="7" t="n"/>
      <c r="AD713" s="11" t="n"/>
      <c r="AF713">
        <f>IF($B713="","",IF(COUNTIF($B$2:$B713,$B713)=1,1,0))</f>
        <v/>
      </c>
      <c r="AG713">
        <f>IF($AF713=1,SUMPRODUCT(--($AJ$2:$AJ$1501&lt;$AJ713))+1,"")</f>
        <v/>
      </c>
      <c r="AH713">
        <f>IF($B713="","",IF(OR($M713=TRUE(),$M713="TRUE"),1,0))</f>
        <v/>
      </c>
      <c r="AI713">
        <f>IF($B713="","",IF($V713="Yes",1,0))</f>
        <v/>
      </c>
      <c r="AJ713">
        <f>IF($AF713=1,IFERROR(IF(VALUE($B713)&lt;100000000,VALUE($B713),1000000000),IFERROR(IF(VALUE(MID($B713,2,20))&lt;100000000,VALUE(MID($B713,2,20)),1000000000),1000000000))+ROW()/100000,"")</f>
        <v/>
      </c>
    </row>
    <row r="714">
      <c r="C714" s="11" t="n"/>
      <c r="J714" s="7">
        <f>IF($B714="","",I714*Q714/100)</f>
        <v/>
      </c>
      <c r="P714" s="7" t="n"/>
      <c r="Q714" s="7" t="n"/>
      <c r="R714" s="7">
        <f>IF($B714="","",Q714*W714/100)</f>
        <v/>
      </c>
      <c r="S714" s="7">
        <f>IF($B714="","",Q714-R714)</f>
        <v/>
      </c>
      <c r="T714" s="7">
        <f>IF($B714="","",S714-J714)</f>
        <v/>
      </c>
      <c r="W714">
        <f>IF($B714="","",IF($AI714=1,0,IF($AH714=1,Settings!$C$6,Settings!$C$7))*100)</f>
        <v/>
      </c>
      <c r="AA714" s="7" t="n"/>
      <c r="AD714" s="11" t="n"/>
      <c r="AF714">
        <f>IF($B714="","",IF(COUNTIF($B$2:$B714,$B714)=1,1,0))</f>
        <v/>
      </c>
      <c r="AG714">
        <f>IF($AF714=1,SUMPRODUCT(--($AJ$2:$AJ$1501&lt;$AJ714))+1,"")</f>
        <v/>
      </c>
      <c r="AH714">
        <f>IF($B714="","",IF(OR($M714=TRUE(),$M714="TRUE"),1,0))</f>
        <v/>
      </c>
      <c r="AI714">
        <f>IF($B714="","",IF($V714="Yes",1,0))</f>
        <v/>
      </c>
      <c r="AJ714">
        <f>IF($AF714=1,IFERROR(IF(VALUE($B714)&lt;100000000,VALUE($B714),1000000000),IFERROR(IF(VALUE(MID($B714,2,20))&lt;100000000,VALUE(MID($B714,2,20)),1000000000),1000000000))+ROW()/100000,"")</f>
        <v/>
      </c>
    </row>
    <row r="715">
      <c r="C715" s="11" t="n"/>
      <c r="J715" s="7">
        <f>IF($B715="","",I715*Q715/100)</f>
        <v/>
      </c>
      <c r="P715" s="7" t="n"/>
      <c r="Q715" s="7" t="n"/>
      <c r="R715" s="7">
        <f>IF($B715="","",Q715*W715/100)</f>
        <v/>
      </c>
      <c r="S715" s="7">
        <f>IF($B715="","",Q715-R715)</f>
        <v/>
      </c>
      <c r="T715" s="7">
        <f>IF($B715="","",S715-J715)</f>
        <v/>
      </c>
      <c r="W715">
        <f>IF($B715="","",IF($AI715=1,0,IF($AH715=1,Settings!$C$6,Settings!$C$7))*100)</f>
        <v/>
      </c>
      <c r="AA715" s="7" t="n"/>
      <c r="AD715" s="11" t="n"/>
      <c r="AF715">
        <f>IF($B715="","",IF(COUNTIF($B$2:$B715,$B715)=1,1,0))</f>
        <v/>
      </c>
      <c r="AG715">
        <f>IF($AF715=1,SUMPRODUCT(--($AJ$2:$AJ$1501&lt;$AJ715))+1,"")</f>
        <v/>
      </c>
      <c r="AH715">
        <f>IF($B715="","",IF(OR($M715=TRUE(),$M715="TRUE"),1,0))</f>
        <v/>
      </c>
      <c r="AI715">
        <f>IF($B715="","",IF($V715="Yes",1,0))</f>
        <v/>
      </c>
      <c r="AJ715">
        <f>IF($AF715=1,IFERROR(IF(VALUE($B715)&lt;100000000,VALUE($B715),1000000000),IFERROR(IF(VALUE(MID($B715,2,20))&lt;100000000,VALUE(MID($B715,2,20)),1000000000),1000000000))+ROW()/100000,"")</f>
        <v/>
      </c>
    </row>
    <row r="716">
      <c r="C716" s="11" t="n"/>
      <c r="J716" s="7">
        <f>IF($B716="","",I716*Q716/100)</f>
        <v/>
      </c>
      <c r="P716" s="7" t="n"/>
      <c r="Q716" s="7" t="n"/>
      <c r="R716" s="7">
        <f>IF($B716="","",Q716*W716/100)</f>
        <v/>
      </c>
      <c r="S716" s="7">
        <f>IF($B716="","",Q716-R716)</f>
        <v/>
      </c>
      <c r="T716" s="7">
        <f>IF($B716="","",S716-J716)</f>
        <v/>
      </c>
      <c r="W716">
        <f>IF($B716="","",IF($AI716=1,0,IF($AH716=1,Settings!$C$6,Settings!$C$7))*100)</f>
        <v/>
      </c>
      <c r="AA716" s="7" t="n"/>
      <c r="AD716" s="11" t="n"/>
      <c r="AF716">
        <f>IF($B716="","",IF(COUNTIF($B$2:$B716,$B716)=1,1,0))</f>
        <v/>
      </c>
      <c r="AG716">
        <f>IF($AF716=1,SUMPRODUCT(--($AJ$2:$AJ$1501&lt;$AJ716))+1,"")</f>
        <v/>
      </c>
      <c r="AH716">
        <f>IF($B716="","",IF(OR($M716=TRUE(),$M716="TRUE"),1,0))</f>
        <v/>
      </c>
      <c r="AI716">
        <f>IF($B716="","",IF($V716="Yes",1,0))</f>
        <v/>
      </c>
      <c r="AJ716">
        <f>IF($AF716=1,IFERROR(IF(VALUE($B716)&lt;100000000,VALUE($B716),1000000000),IFERROR(IF(VALUE(MID($B716,2,20))&lt;100000000,VALUE(MID($B716,2,20)),1000000000),1000000000))+ROW()/100000,"")</f>
        <v/>
      </c>
    </row>
    <row r="717">
      <c r="C717" s="11" t="n"/>
      <c r="J717" s="7">
        <f>IF($B717="","",I717*Q717/100)</f>
        <v/>
      </c>
      <c r="P717" s="7" t="n"/>
      <c r="Q717" s="7" t="n"/>
      <c r="R717" s="7">
        <f>IF($B717="","",Q717*W717/100)</f>
        <v/>
      </c>
      <c r="S717" s="7">
        <f>IF($B717="","",Q717-R717)</f>
        <v/>
      </c>
      <c r="T717" s="7">
        <f>IF($B717="","",S717-J717)</f>
        <v/>
      </c>
      <c r="W717">
        <f>IF($B717="","",IF($AI717=1,0,IF($AH717=1,Settings!$C$6,Settings!$C$7))*100)</f>
        <v/>
      </c>
      <c r="AA717" s="7" t="n"/>
      <c r="AD717" s="11" t="n"/>
      <c r="AF717">
        <f>IF($B717="","",IF(COUNTIF($B$2:$B717,$B717)=1,1,0))</f>
        <v/>
      </c>
      <c r="AG717">
        <f>IF($AF717=1,SUMPRODUCT(--($AJ$2:$AJ$1501&lt;$AJ717))+1,"")</f>
        <v/>
      </c>
      <c r="AH717">
        <f>IF($B717="","",IF(OR($M717=TRUE(),$M717="TRUE"),1,0))</f>
        <v/>
      </c>
      <c r="AI717">
        <f>IF($B717="","",IF($V717="Yes",1,0))</f>
        <v/>
      </c>
      <c r="AJ717">
        <f>IF($AF717=1,IFERROR(IF(VALUE($B717)&lt;100000000,VALUE($B717),1000000000),IFERROR(IF(VALUE(MID($B717,2,20))&lt;100000000,VALUE(MID($B717,2,20)),1000000000),1000000000))+ROW()/100000,"")</f>
        <v/>
      </c>
    </row>
    <row r="718">
      <c r="C718" s="11" t="n"/>
      <c r="J718" s="7">
        <f>IF($B718="","",I718*Q718/100)</f>
        <v/>
      </c>
      <c r="P718" s="7" t="n"/>
      <c r="Q718" s="7" t="n"/>
      <c r="R718" s="7">
        <f>IF($B718="","",Q718*W718/100)</f>
        <v/>
      </c>
      <c r="S718" s="7">
        <f>IF($B718="","",Q718-R718)</f>
        <v/>
      </c>
      <c r="T718" s="7">
        <f>IF($B718="","",S718-J718)</f>
        <v/>
      </c>
      <c r="W718">
        <f>IF($B718="","",IF($AI718=1,0,IF($AH718=1,Settings!$C$6,Settings!$C$7))*100)</f>
        <v/>
      </c>
      <c r="AA718" s="7" t="n"/>
      <c r="AD718" s="11" t="n"/>
      <c r="AF718">
        <f>IF($B718="","",IF(COUNTIF($B$2:$B718,$B718)=1,1,0))</f>
        <v/>
      </c>
      <c r="AG718">
        <f>IF($AF718=1,SUMPRODUCT(--($AJ$2:$AJ$1501&lt;$AJ718))+1,"")</f>
        <v/>
      </c>
      <c r="AH718">
        <f>IF($B718="","",IF(OR($M718=TRUE(),$M718="TRUE"),1,0))</f>
        <v/>
      </c>
      <c r="AI718">
        <f>IF($B718="","",IF($V718="Yes",1,0))</f>
        <v/>
      </c>
      <c r="AJ718">
        <f>IF($AF718=1,IFERROR(IF(VALUE($B718)&lt;100000000,VALUE($B718),1000000000),IFERROR(IF(VALUE(MID($B718,2,20))&lt;100000000,VALUE(MID($B718,2,20)),1000000000),1000000000))+ROW()/100000,"")</f>
        <v/>
      </c>
    </row>
    <row r="719">
      <c r="C719" s="11" t="n"/>
      <c r="J719" s="7">
        <f>IF($B719="","",I719*Q719/100)</f>
        <v/>
      </c>
      <c r="P719" s="7" t="n"/>
      <c r="Q719" s="7" t="n"/>
      <c r="R719" s="7">
        <f>IF($B719="","",Q719*W719/100)</f>
        <v/>
      </c>
      <c r="S719" s="7">
        <f>IF($B719="","",Q719-R719)</f>
        <v/>
      </c>
      <c r="T719" s="7">
        <f>IF($B719="","",S719-J719)</f>
        <v/>
      </c>
      <c r="W719">
        <f>IF($B719="","",IF($AI719=1,0,IF($AH719=1,Settings!$C$6,Settings!$C$7))*100)</f>
        <v/>
      </c>
      <c r="AA719" s="7" t="n"/>
      <c r="AD719" s="11" t="n"/>
      <c r="AF719">
        <f>IF($B719="","",IF(COUNTIF($B$2:$B719,$B719)=1,1,0))</f>
        <v/>
      </c>
      <c r="AG719">
        <f>IF($AF719=1,SUMPRODUCT(--($AJ$2:$AJ$1501&lt;$AJ719))+1,"")</f>
        <v/>
      </c>
      <c r="AH719">
        <f>IF($B719="","",IF(OR($M719=TRUE(),$M719="TRUE"),1,0))</f>
        <v/>
      </c>
      <c r="AI719">
        <f>IF($B719="","",IF($V719="Yes",1,0))</f>
        <v/>
      </c>
      <c r="AJ719">
        <f>IF($AF719=1,IFERROR(IF(VALUE($B719)&lt;100000000,VALUE($B719),1000000000),IFERROR(IF(VALUE(MID($B719,2,20))&lt;100000000,VALUE(MID($B719,2,20)),1000000000),1000000000))+ROW()/100000,"")</f>
        <v/>
      </c>
    </row>
    <row r="720">
      <c r="C720" s="11" t="n"/>
      <c r="J720" s="7">
        <f>IF($B720="","",I720*Q720/100)</f>
        <v/>
      </c>
      <c r="P720" s="7" t="n"/>
      <c r="Q720" s="7" t="n"/>
      <c r="R720" s="7">
        <f>IF($B720="","",Q720*W720/100)</f>
        <v/>
      </c>
      <c r="S720" s="7">
        <f>IF($B720="","",Q720-R720)</f>
        <v/>
      </c>
      <c r="T720" s="7">
        <f>IF($B720="","",S720-J720)</f>
        <v/>
      </c>
      <c r="W720">
        <f>IF($B720="","",IF($AI720=1,0,IF($AH720=1,Settings!$C$6,Settings!$C$7))*100)</f>
        <v/>
      </c>
      <c r="AA720" s="7" t="n"/>
      <c r="AD720" s="11" t="n"/>
      <c r="AF720">
        <f>IF($B720="","",IF(COUNTIF($B$2:$B720,$B720)=1,1,0))</f>
        <v/>
      </c>
      <c r="AG720">
        <f>IF($AF720=1,SUMPRODUCT(--($AJ$2:$AJ$1501&lt;$AJ720))+1,"")</f>
        <v/>
      </c>
      <c r="AH720">
        <f>IF($B720="","",IF(OR($M720=TRUE(),$M720="TRUE"),1,0))</f>
        <v/>
      </c>
      <c r="AI720">
        <f>IF($B720="","",IF($V720="Yes",1,0))</f>
        <v/>
      </c>
      <c r="AJ720">
        <f>IF($AF720=1,IFERROR(IF(VALUE($B720)&lt;100000000,VALUE($B720),1000000000),IFERROR(IF(VALUE(MID($B720,2,20))&lt;100000000,VALUE(MID($B720,2,20)),1000000000),1000000000))+ROW()/100000,"")</f>
        <v/>
      </c>
    </row>
    <row r="721">
      <c r="C721" s="11" t="n"/>
      <c r="J721" s="7">
        <f>IF($B721="","",I721*Q721/100)</f>
        <v/>
      </c>
      <c r="P721" s="7" t="n"/>
      <c r="Q721" s="7" t="n"/>
      <c r="R721" s="7">
        <f>IF($B721="","",Q721*W721/100)</f>
        <v/>
      </c>
      <c r="S721" s="7">
        <f>IF($B721="","",Q721-R721)</f>
        <v/>
      </c>
      <c r="T721" s="7">
        <f>IF($B721="","",S721-J721)</f>
        <v/>
      </c>
      <c r="W721">
        <f>IF($B721="","",IF($AI721=1,0,IF($AH721=1,Settings!$C$6,Settings!$C$7))*100)</f>
        <v/>
      </c>
      <c r="AA721" s="7" t="n"/>
      <c r="AD721" s="11" t="n"/>
      <c r="AF721">
        <f>IF($B721="","",IF(COUNTIF($B$2:$B721,$B721)=1,1,0))</f>
        <v/>
      </c>
      <c r="AG721">
        <f>IF($AF721=1,SUMPRODUCT(--($AJ$2:$AJ$1501&lt;$AJ721))+1,"")</f>
        <v/>
      </c>
      <c r="AH721">
        <f>IF($B721="","",IF(OR($M721=TRUE(),$M721="TRUE"),1,0))</f>
        <v/>
      </c>
      <c r="AI721">
        <f>IF($B721="","",IF($V721="Yes",1,0))</f>
        <v/>
      </c>
      <c r="AJ721">
        <f>IF($AF721=1,IFERROR(IF(VALUE($B721)&lt;100000000,VALUE($B721),1000000000),IFERROR(IF(VALUE(MID($B721,2,20))&lt;100000000,VALUE(MID($B721,2,20)),1000000000),1000000000))+ROW()/100000,"")</f>
        <v/>
      </c>
    </row>
    <row r="722">
      <c r="C722" s="11" t="n"/>
      <c r="J722" s="7">
        <f>IF($B722="","",I722*Q722/100)</f>
        <v/>
      </c>
      <c r="P722" s="7" t="n"/>
      <c r="Q722" s="7" t="n"/>
      <c r="R722" s="7">
        <f>IF($B722="","",Q722*W722/100)</f>
        <v/>
      </c>
      <c r="S722" s="7">
        <f>IF($B722="","",Q722-R722)</f>
        <v/>
      </c>
      <c r="T722" s="7">
        <f>IF($B722="","",S722-J722)</f>
        <v/>
      </c>
      <c r="W722">
        <f>IF($B722="","",IF($AI722=1,0,IF($AH722=1,Settings!$C$6,Settings!$C$7))*100)</f>
        <v/>
      </c>
      <c r="AA722" s="7" t="n"/>
      <c r="AD722" s="11" t="n"/>
      <c r="AF722">
        <f>IF($B722="","",IF(COUNTIF($B$2:$B722,$B722)=1,1,0))</f>
        <v/>
      </c>
      <c r="AG722">
        <f>IF($AF722=1,SUMPRODUCT(--($AJ$2:$AJ$1501&lt;$AJ722))+1,"")</f>
        <v/>
      </c>
      <c r="AH722">
        <f>IF($B722="","",IF(OR($M722=TRUE(),$M722="TRUE"),1,0))</f>
        <v/>
      </c>
      <c r="AI722">
        <f>IF($B722="","",IF($V722="Yes",1,0))</f>
        <v/>
      </c>
      <c r="AJ722">
        <f>IF($AF722=1,IFERROR(IF(VALUE($B722)&lt;100000000,VALUE($B722),1000000000),IFERROR(IF(VALUE(MID($B722,2,20))&lt;100000000,VALUE(MID($B722,2,20)),1000000000),1000000000))+ROW()/100000,"")</f>
        <v/>
      </c>
    </row>
    <row r="723">
      <c r="C723" s="11" t="n"/>
      <c r="J723" s="7">
        <f>IF($B723="","",I723*Q723/100)</f>
        <v/>
      </c>
      <c r="P723" s="7" t="n"/>
      <c r="Q723" s="7" t="n"/>
      <c r="R723" s="7">
        <f>IF($B723="","",Q723*W723/100)</f>
        <v/>
      </c>
      <c r="S723" s="7">
        <f>IF($B723="","",Q723-R723)</f>
        <v/>
      </c>
      <c r="T723" s="7">
        <f>IF($B723="","",S723-J723)</f>
        <v/>
      </c>
      <c r="W723">
        <f>IF($B723="","",IF($AI723=1,0,IF($AH723=1,Settings!$C$6,Settings!$C$7))*100)</f>
        <v/>
      </c>
      <c r="AA723" s="7" t="n"/>
      <c r="AD723" s="11" t="n"/>
      <c r="AF723">
        <f>IF($B723="","",IF(COUNTIF($B$2:$B723,$B723)=1,1,0))</f>
        <v/>
      </c>
      <c r="AG723">
        <f>IF($AF723=1,SUMPRODUCT(--($AJ$2:$AJ$1501&lt;$AJ723))+1,"")</f>
        <v/>
      </c>
      <c r="AH723">
        <f>IF($B723="","",IF(OR($M723=TRUE(),$M723="TRUE"),1,0))</f>
        <v/>
      </c>
      <c r="AI723">
        <f>IF($B723="","",IF($V723="Yes",1,0))</f>
        <v/>
      </c>
      <c r="AJ723">
        <f>IF($AF723=1,IFERROR(IF(VALUE($B723)&lt;100000000,VALUE($B723),1000000000),IFERROR(IF(VALUE(MID($B723,2,20))&lt;100000000,VALUE(MID($B723,2,20)),1000000000),1000000000))+ROW()/100000,"")</f>
        <v/>
      </c>
    </row>
    <row r="724">
      <c r="C724" s="11" t="n"/>
      <c r="J724" s="7">
        <f>IF($B724="","",I724*Q724/100)</f>
        <v/>
      </c>
      <c r="P724" s="7" t="n"/>
      <c r="Q724" s="7" t="n"/>
      <c r="R724" s="7">
        <f>IF($B724="","",Q724*W724/100)</f>
        <v/>
      </c>
      <c r="S724" s="7">
        <f>IF($B724="","",Q724-R724)</f>
        <v/>
      </c>
      <c r="T724" s="7">
        <f>IF($B724="","",S724-J724)</f>
        <v/>
      </c>
      <c r="W724">
        <f>IF($B724="","",IF($AI724=1,0,IF($AH724=1,Settings!$C$6,Settings!$C$7))*100)</f>
        <v/>
      </c>
      <c r="AA724" s="7" t="n"/>
      <c r="AD724" s="11" t="n"/>
      <c r="AF724">
        <f>IF($B724="","",IF(COUNTIF($B$2:$B724,$B724)=1,1,0))</f>
        <v/>
      </c>
      <c r="AG724">
        <f>IF($AF724=1,SUMPRODUCT(--($AJ$2:$AJ$1501&lt;$AJ724))+1,"")</f>
        <v/>
      </c>
      <c r="AH724">
        <f>IF($B724="","",IF(OR($M724=TRUE(),$M724="TRUE"),1,0))</f>
        <v/>
      </c>
      <c r="AI724">
        <f>IF($B724="","",IF($V724="Yes",1,0))</f>
        <v/>
      </c>
      <c r="AJ724">
        <f>IF($AF724=1,IFERROR(IF(VALUE($B724)&lt;100000000,VALUE($B724),1000000000),IFERROR(IF(VALUE(MID($B724,2,20))&lt;100000000,VALUE(MID($B724,2,20)),1000000000),1000000000))+ROW()/100000,"")</f>
        <v/>
      </c>
    </row>
    <row r="725">
      <c r="C725" s="11" t="n"/>
      <c r="J725" s="7">
        <f>IF($B725="","",I725*Q725/100)</f>
        <v/>
      </c>
      <c r="P725" s="7" t="n"/>
      <c r="Q725" s="7" t="n"/>
      <c r="R725" s="7">
        <f>IF($B725="","",Q725*W725/100)</f>
        <v/>
      </c>
      <c r="S725" s="7">
        <f>IF($B725="","",Q725-R725)</f>
        <v/>
      </c>
      <c r="T725" s="7">
        <f>IF($B725="","",S725-J725)</f>
        <v/>
      </c>
      <c r="W725">
        <f>IF($B725="","",IF($AI725=1,0,IF($AH725=1,Settings!$C$6,Settings!$C$7))*100)</f>
        <v/>
      </c>
      <c r="AA725" s="7" t="n"/>
      <c r="AD725" s="11" t="n"/>
      <c r="AF725">
        <f>IF($B725="","",IF(COUNTIF($B$2:$B725,$B725)=1,1,0))</f>
        <v/>
      </c>
      <c r="AG725">
        <f>IF($AF725=1,SUMPRODUCT(--($AJ$2:$AJ$1501&lt;$AJ725))+1,"")</f>
        <v/>
      </c>
      <c r="AH725">
        <f>IF($B725="","",IF(OR($M725=TRUE(),$M725="TRUE"),1,0))</f>
        <v/>
      </c>
      <c r="AI725">
        <f>IF($B725="","",IF($V725="Yes",1,0))</f>
        <v/>
      </c>
      <c r="AJ725">
        <f>IF($AF725=1,IFERROR(IF(VALUE($B725)&lt;100000000,VALUE($B725),1000000000),IFERROR(IF(VALUE(MID($B725,2,20))&lt;100000000,VALUE(MID($B725,2,20)),1000000000),1000000000))+ROW()/100000,"")</f>
        <v/>
      </c>
    </row>
    <row r="726">
      <c r="C726" s="11" t="n"/>
      <c r="J726" s="7">
        <f>IF($B726="","",I726*Q726/100)</f>
        <v/>
      </c>
      <c r="P726" s="7" t="n"/>
      <c r="Q726" s="7" t="n"/>
      <c r="R726" s="7">
        <f>IF($B726="","",Q726*W726/100)</f>
        <v/>
      </c>
      <c r="S726" s="7">
        <f>IF($B726="","",Q726-R726)</f>
        <v/>
      </c>
      <c r="T726" s="7">
        <f>IF($B726="","",S726-J726)</f>
        <v/>
      </c>
      <c r="W726">
        <f>IF($B726="","",IF($AI726=1,0,IF($AH726=1,Settings!$C$6,Settings!$C$7))*100)</f>
        <v/>
      </c>
      <c r="AA726" s="7" t="n"/>
      <c r="AD726" s="11" t="n"/>
      <c r="AF726">
        <f>IF($B726="","",IF(COUNTIF($B$2:$B726,$B726)=1,1,0))</f>
        <v/>
      </c>
      <c r="AG726">
        <f>IF($AF726=1,SUMPRODUCT(--($AJ$2:$AJ$1501&lt;$AJ726))+1,"")</f>
        <v/>
      </c>
      <c r="AH726">
        <f>IF($B726="","",IF(OR($M726=TRUE(),$M726="TRUE"),1,0))</f>
        <v/>
      </c>
      <c r="AI726">
        <f>IF($B726="","",IF($V726="Yes",1,0))</f>
        <v/>
      </c>
      <c r="AJ726">
        <f>IF($AF726=1,IFERROR(IF(VALUE($B726)&lt;100000000,VALUE($B726),1000000000),IFERROR(IF(VALUE(MID($B726,2,20))&lt;100000000,VALUE(MID($B726,2,20)),1000000000),1000000000))+ROW()/100000,"")</f>
        <v/>
      </c>
    </row>
    <row r="727">
      <c r="C727" s="11" t="n"/>
      <c r="J727" s="7">
        <f>IF($B727="","",I727*Q727/100)</f>
        <v/>
      </c>
      <c r="P727" s="7" t="n"/>
      <c r="Q727" s="7" t="n"/>
      <c r="R727" s="7">
        <f>IF($B727="","",Q727*W727/100)</f>
        <v/>
      </c>
      <c r="S727" s="7">
        <f>IF($B727="","",Q727-R727)</f>
        <v/>
      </c>
      <c r="T727" s="7">
        <f>IF($B727="","",S727-J727)</f>
        <v/>
      </c>
      <c r="W727">
        <f>IF($B727="","",IF($AI727=1,0,IF($AH727=1,Settings!$C$6,Settings!$C$7))*100)</f>
        <v/>
      </c>
      <c r="AA727" s="7" t="n"/>
      <c r="AD727" s="11" t="n"/>
      <c r="AF727">
        <f>IF($B727="","",IF(COUNTIF($B$2:$B727,$B727)=1,1,0))</f>
        <v/>
      </c>
      <c r="AG727">
        <f>IF($AF727=1,SUMPRODUCT(--($AJ$2:$AJ$1501&lt;$AJ727))+1,"")</f>
        <v/>
      </c>
      <c r="AH727">
        <f>IF($B727="","",IF(OR($M727=TRUE(),$M727="TRUE"),1,0))</f>
        <v/>
      </c>
      <c r="AI727">
        <f>IF($B727="","",IF($V727="Yes",1,0))</f>
        <v/>
      </c>
      <c r="AJ727">
        <f>IF($AF727=1,IFERROR(IF(VALUE($B727)&lt;100000000,VALUE($B727),1000000000),IFERROR(IF(VALUE(MID($B727,2,20))&lt;100000000,VALUE(MID($B727,2,20)),1000000000),1000000000))+ROW()/100000,"")</f>
        <v/>
      </c>
    </row>
    <row r="728">
      <c r="C728" s="11" t="n"/>
      <c r="J728" s="7">
        <f>IF($B728="","",I728*Q728/100)</f>
        <v/>
      </c>
      <c r="P728" s="7" t="n"/>
      <c r="Q728" s="7" t="n"/>
      <c r="R728" s="7">
        <f>IF($B728="","",Q728*W728/100)</f>
        <v/>
      </c>
      <c r="S728" s="7">
        <f>IF($B728="","",Q728-R728)</f>
        <v/>
      </c>
      <c r="T728" s="7">
        <f>IF($B728="","",S728-J728)</f>
        <v/>
      </c>
      <c r="W728">
        <f>IF($B728="","",IF($AI728=1,0,IF($AH728=1,Settings!$C$6,Settings!$C$7))*100)</f>
        <v/>
      </c>
      <c r="AA728" s="7" t="n"/>
      <c r="AD728" s="11" t="n"/>
      <c r="AF728">
        <f>IF($B728="","",IF(COUNTIF($B$2:$B728,$B728)=1,1,0))</f>
        <v/>
      </c>
      <c r="AG728">
        <f>IF($AF728=1,SUMPRODUCT(--($AJ$2:$AJ$1501&lt;$AJ728))+1,"")</f>
        <v/>
      </c>
      <c r="AH728">
        <f>IF($B728="","",IF(OR($M728=TRUE(),$M728="TRUE"),1,0))</f>
        <v/>
      </c>
      <c r="AI728">
        <f>IF($B728="","",IF($V728="Yes",1,0))</f>
        <v/>
      </c>
      <c r="AJ728">
        <f>IF($AF728=1,IFERROR(IF(VALUE($B728)&lt;100000000,VALUE($B728),1000000000),IFERROR(IF(VALUE(MID($B728,2,20))&lt;100000000,VALUE(MID($B728,2,20)),1000000000),1000000000))+ROW()/100000,"")</f>
        <v/>
      </c>
    </row>
    <row r="729">
      <c r="C729" s="11" t="n"/>
      <c r="J729" s="7">
        <f>IF($B729="","",I729*Q729/100)</f>
        <v/>
      </c>
      <c r="P729" s="7" t="n"/>
      <c r="Q729" s="7" t="n"/>
      <c r="R729" s="7">
        <f>IF($B729="","",Q729*W729/100)</f>
        <v/>
      </c>
      <c r="S729" s="7">
        <f>IF($B729="","",Q729-R729)</f>
        <v/>
      </c>
      <c r="T729" s="7">
        <f>IF($B729="","",S729-J729)</f>
        <v/>
      </c>
      <c r="W729">
        <f>IF($B729="","",IF($AI729=1,0,IF($AH729=1,Settings!$C$6,Settings!$C$7))*100)</f>
        <v/>
      </c>
      <c r="AA729" s="7" t="n"/>
      <c r="AD729" s="11" t="n"/>
      <c r="AF729">
        <f>IF($B729="","",IF(COUNTIF($B$2:$B729,$B729)=1,1,0))</f>
        <v/>
      </c>
      <c r="AG729">
        <f>IF($AF729=1,SUMPRODUCT(--($AJ$2:$AJ$1501&lt;$AJ729))+1,"")</f>
        <v/>
      </c>
      <c r="AH729">
        <f>IF($B729="","",IF(OR($M729=TRUE(),$M729="TRUE"),1,0))</f>
        <v/>
      </c>
      <c r="AI729">
        <f>IF($B729="","",IF($V729="Yes",1,0))</f>
        <v/>
      </c>
      <c r="AJ729">
        <f>IF($AF729=1,IFERROR(IF(VALUE($B729)&lt;100000000,VALUE($B729),1000000000),IFERROR(IF(VALUE(MID($B729,2,20))&lt;100000000,VALUE(MID($B729,2,20)),1000000000),1000000000))+ROW()/100000,"")</f>
        <v/>
      </c>
    </row>
    <row r="730">
      <c r="C730" s="11" t="n"/>
      <c r="J730" s="7">
        <f>IF($B730="","",I730*Q730/100)</f>
        <v/>
      </c>
      <c r="P730" s="7" t="n"/>
      <c r="Q730" s="7" t="n"/>
      <c r="R730" s="7">
        <f>IF($B730="","",Q730*W730/100)</f>
        <v/>
      </c>
      <c r="S730" s="7">
        <f>IF($B730="","",Q730-R730)</f>
        <v/>
      </c>
      <c r="T730" s="7">
        <f>IF($B730="","",S730-J730)</f>
        <v/>
      </c>
      <c r="W730">
        <f>IF($B730="","",IF($AI730=1,0,IF($AH730=1,Settings!$C$6,Settings!$C$7))*100)</f>
        <v/>
      </c>
      <c r="AA730" s="7" t="n"/>
      <c r="AD730" s="11" t="n"/>
      <c r="AF730">
        <f>IF($B730="","",IF(COUNTIF($B$2:$B730,$B730)=1,1,0))</f>
        <v/>
      </c>
      <c r="AG730">
        <f>IF($AF730=1,SUMPRODUCT(--($AJ$2:$AJ$1501&lt;$AJ730))+1,"")</f>
        <v/>
      </c>
      <c r="AH730">
        <f>IF($B730="","",IF(OR($M730=TRUE(),$M730="TRUE"),1,0))</f>
        <v/>
      </c>
      <c r="AI730">
        <f>IF($B730="","",IF($V730="Yes",1,0))</f>
        <v/>
      </c>
      <c r="AJ730">
        <f>IF($AF730=1,IFERROR(IF(VALUE($B730)&lt;100000000,VALUE($B730),1000000000),IFERROR(IF(VALUE(MID($B730,2,20))&lt;100000000,VALUE(MID($B730,2,20)),1000000000),1000000000))+ROW()/100000,"")</f>
        <v/>
      </c>
    </row>
    <row r="731">
      <c r="C731" s="11" t="n"/>
      <c r="J731" s="7">
        <f>IF($B731="","",I731*Q731/100)</f>
        <v/>
      </c>
      <c r="P731" s="7" t="n"/>
      <c r="Q731" s="7" t="n"/>
      <c r="R731" s="7">
        <f>IF($B731="","",Q731*W731/100)</f>
        <v/>
      </c>
      <c r="S731" s="7">
        <f>IF($B731="","",Q731-R731)</f>
        <v/>
      </c>
      <c r="T731" s="7">
        <f>IF($B731="","",S731-J731)</f>
        <v/>
      </c>
      <c r="W731">
        <f>IF($B731="","",IF($AI731=1,0,IF($AH731=1,Settings!$C$6,Settings!$C$7))*100)</f>
        <v/>
      </c>
      <c r="AA731" s="7" t="n"/>
      <c r="AD731" s="11" t="n"/>
      <c r="AF731">
        <f>IF($B731="","",IF(COUNTIF($B$2:$B731,$B731)=1,1,0))</f>
        <v/>
      </c>
      <c r="AG731">
        <f>IF($AF731=1,SUMPRODUCT(--($AJ$2:$AJ$1501&lt;$AJ731))+1,"")</f>
        <v/>
      </c>
      <c r="AH731">
        <f>IF($B731="","",IF(OR($M731=TRUE(),$M731="TRUE"),1,0))</f>
        <v/>
      </c>
      <c r="AI731">
        <f>IF($B731="","",IF($V731="Yes",1,0))</f>
        <v/>
      </c>
      <c r="AJ731">
        <f>IF($AF731=1,IFERROR(IF(VALUE($B731)&lt;100000000,VALUE($B731),1000000000),IFERROR(IF(VALUE(MID($B731,2,20))&lt;100000000,VALUE(MID($B731,2,20)),1000000000),1000000000))+ROW()/100000,"")</f>
        <v/>
      </c>
    </row>
    <row r="732">
      <c r="C732" s="11" t="n"/>
      <c r="J732" s="7">
        <f>IF($B732="","",I732*Q732/100)</f>
        <v/>
      </c>
      <c r="P732" s="7" t="n"/>
      <c r="Q732" s="7" t="n"/>
      <c r="R732" s="7">
        <f>IF($B732="","",Q732*W732/100)</f>
        <v/>
      </c>
      <c r="S732" s="7">
        <f>IF($B732="","",Q732-R732)</f>
        <v/>
      </c>
      <c r="T732" s="7">
        <f>IF($B732="","",S732-J732)</f>
        <v/>
      </c>
      <c r="W732">
        <f>IF($B732="","",IF($AI732=1,0,IF($AH732=1,Settings!$C$6,Settings!$C$7))*100)</f>
        <v/>
      </c>
      <c r="AA732" s="7" t="n"/>
      <c r="AD732" s="11" t="n"/>
      <c r="AF732">
        <f>IF($B732="","",IF(COUNTIF($B$2:$B732,$B732)=1,1,0))</f>
        <v/>
      </c>
      <c r="AG732">
        <f>IF($AF732=1,SUMPRODUCT(--($AJ$2:$AJ$1501&lt;$AJ732))+1,"")</f>
        <v/>
      </c>
      <c r="AH732">
        <f>IF($B732="","",IF(OR($M732=TRUE(),$M732="TRUE"),1,0))</f>
        <v/>
      </c>
      <c r="AI732">
        <f>IF($B732="","",IF($V732="Yes",1,0))</f>
        <v/>
      </c>
      <c r="AJ732">
        <f>IF($AF732=1,IFERROR(IF(VALUE($B732)&lt;100000000,VALUE($B732),1000000000),IFERROR(IF(VALUE(MID($B732,2,20))&lt;100000000,VALUE(MID($B732,2,20)),1000000000),1000000000))+ROW()/100000,"")</f>
        <v/>
      </c>
    </row>
    <row r="733">
      <c r="C733" s="11" t="n"/>
      <c r="J733" s="7">
        <f>IF($B733="","",I733*Q733/100)</f>
        <v/>
      </c>
      <c r="P733" s="7" t="n"/>
      <c r="Q733" s="7" t="n"/>
      <c r="R733" s="7">
        <f>IF($B733="","",Q733*W733/100)</f>
        <v/>
      </c>
      <c r="S733" s="7">
        <f>IF($B733="","",Q733-R733)</f>
        <v/>
      </c>
      <c r="T733" s="7">
        <f>IF($B733="","",S733-J733)</f>
        <v/>
      </c>
      <c r="W733">
        <f>IF($B733="","",IF($AI733=1,0,IF($AH733=1,Settings!$C$6,Settings!$C$7))*100)</f>
        <v/>
      </c>
      <c r="AA733" s="7" t="n"/>
      <c r="AD733" s="11" t="n"/>
      <c r="AF733">
        <f>IF($B733="","",IF(COUNTIF($B$2:$B733,$B733)=1,1,0))</f>
        <v/>
      </c>
      <c r="AG733">
        <f>IF($AF733=1,SUMPRODUCT(--($AJ$2:$AJ$1501&lt;$AJ733))+1,"")</f>
        <v/>
      </c>
      <c r="AH733">
        <f>IF($B733="","",IF(OR($M733=TRUE(),$M733="TRUE"),1,0))</f>
        <v/>
      </c>
      <c r="AI733">
        <f>IF($B733="","",IF($V733="Yes",1,0))</f>
        <v/>
      </c>
      <c r="AJ733">
        <f>IF($AF733=1,IFERROR(IF(VALUE($B733)&lt;100000000,VALUE($B733),1000000000),IFERROR(IF(VALUE(MID($B733,2,20))&lt;100000000,VALUE(MID($B733,2,20)),1000000000),1000000000))+ROW()/100000,"")</f>
        <v/>
      </c>
    </row>
    <row r="734">
      <c r="C734" s="11" t="n"/>
      <c r="J734" s="7">
        <f>IF($B734="","",I734*Q734/100)</f>
        <v/>
      </c>
      <c r="P734" s="7" t="n"/>
      <c r="Q734" s="7" t="n"/>
      <c r="R734" s="7">
        <f>IF($B734="","",Q734*W734/100)</f>
        <v/>
      </c>
      <c r="S734" s="7">
        <f>IF($B734="","",Q734-R734)</f>
        <v/>
      </c>
      <c r="T734" s="7">
        <f>IF($B734="","",S734-J734)</f>
        <v/>
      </c>
      <c r="W734">
        <f>IF($B734="","",IF($AI734=1,0,IF($AH734=1,Settings!$C$6,Settings!$C$7))*100)</f>
        <v/>
      </c>
      <c r="AA734" s="7" t="n"/>
      <c r="AD734" s="11" t="n"/>
      <c r="AF734">
        <f>IF($B734="","",IF(COUNTIF($B$2:$B734,$B734)=1,1,0))</f>
        <v/>
      </c>
      <c r="AG734">
        <f>IF($AF734=1,SUMPRODUCT(--($AJ$2:$AJ$1501&lt;$AJ734))+1,"")</f>
        <v/>
      </c>
      <c r="AH734">
        <f>IF($B734="","",IF(OR($M734=TRUE(),$M734="TRUE"),1,0))</f>
        <v/>
      </c>
      <c r="AI734">
        <f>IF($B734="","",IF($V734="Yes",1,0))</f>
        <v/>
      </c>
      <c r="AJ734">
        <f>IF($AF734=1,IFERROR(IF(VALUE($B734)&lt;100000000,VALUE($B734),1000000000),IFERROR(IF(VALUE(MID($B734,2,20))&lt;100000000,VALUE(MID($B734,2,20)),1000000000),1000000000))+ROW()/100000,"")</f>
        <v/>
      </c>
    </row>
    <row r="735">
      <c r="C735" s="11" t="n"/>
      <c r="J735" s="7">
        <f>IF($B735="","",I735*Q735/100)</f>
        <v/>
      </c>
      <c r="P735" s="7" t="n"/>
      <c r="Q735" s="7" t="n"/>
      <c r="R735" s="7">
        <f>IF($B735="","",Q735*W735/100)</f>
        <v/>
      </c>
      <c r="S735" s="7">
        <f>IF($B735="","",Q735-R735)</f>
        <v/>
      </c>
      <c r="T735" s="7">
        <f>IF($B735="","",S735-J735)</f>
        <v/>
      </c>
      <c r="W735">
        <f>IF($B735="","",IF($AI735=1,0,IF($AH735=1,Settings!$C$6,Settings!$C$7))*100)</f>
        <v/>
      </c>
      <c r="AA735" s="7" t="n"/>
      <c r="AD735" s="11" t="n"/>
      <c r="AF735">
        <f>IF($B735="","",IF(COUNTIF($B$2:$B735,$B735)=1,1,0))</f>
        <v/>
      </c>
      <c r="AG735">
        <f>IF($AF735=1,SUMPRODUCT(--($AJ$2:$AJ$1501&lt;$AJ735))+1,"")</f>
        <v/>
      </c>
      <c r="AH735">
        <f>IF($B735="","",IF(OR($M735=TRUE(),$M735="TRUE"),1,0))</f>
        <v/>
      </c>
      <c r="AI735">
        <f>IF($B735="","",IF($V735="Yes",1,0))</f>
        <v/>
      </c>
      <c r="AJ735">
        <f>IF($AF735=1,IFERROR(IF(VALUE($B735)&lt;100000000,VALUE($B735),1000000000),IFERROR(IF(VALUE(MID($B735,2,20))&lt;100000000,VALUE(MID($B735,2,20)),1000000000),1000000000))+ROW()/100000,"")</f>
        <v/>
      </c>
    </row>
    <row r="736">
      <c r="C736" s="11" t="n"/>
      <c r="J736" s="7">
        <f>IF($B736="","",I736*Q736/100)</f>
        <v/>
      </c>
      <c r="P736" s="7" t="n"/>
      <c r="Q736" s="7" t="n"/>
      <c r="R736" s="7">
        <f>IF($B736="","",Q736*W736/100)</f>
        <v/>
      </c>
      <c r="S736" s="7">
        <f>IF($B736="","",Q736-R736)</f>
        <v/>
      </c>
      <c r="T736" s="7">
        <f>IF($B736="","",S736-J736)</f>
        <v/>
      </c>
      <c r="W736">
        <f>IF($B736="","",IF($AI736=1,0,IF($AH736=1,Settings!$C$6,Settings!$C$7))*100)</f>
        <v/>
      </c>
      <c r="AA736" s="7" t="n"/>
      <c r="AD736" s="11" t="n"/>
      <c r="AF736">
        <f>IF($B736="","",IF(COUNTIF($B$2:$B736,$B736)=1,1,0))</f>
        <v/>
      </c>
      <c r="AG736">
        <f>IF($AF736=1,SUMPRODUCT(--($AJ$2:$AJ$1501&lt;$AJ736))+1,"")</f>
        <v/>
      </c>
      <c r="AH736">
        <f>IF($B736="","",IF(OR($M736=TRUE(),$M736="TRUE"),1,0))</f>
        <v/>
      </c>
      <c r="AI736">
        <f>IF($B736="","",IF($V736="Yes",1,0))</f>
        <v/>
      </c>
      <c r="AJ736">
        <f>IF($AF736=1,IFERROR(IF(VALUE($B736)&lt;100000000,VALUE($B736),1000000000),IFERROR(IF(VALUE(MID($B736,2,20))&lt;100000000,VALUE(MID($B736,2,20)),1000000000),1000000000))+ROW()/100000,"")</f>
        <v/>
      </c>
    </row>
    <row r="737">
      <c r="C737" s="11" t="n"/>
      <c r="J737" s="7">
        <f>IF($B737="","",I737*Q737/100)</f>
        <v/>
      </c>
      <c r="P737" s="7" t="n"/>
      <c r="Q737" s="7" t="n"/>
      <c r="R737" s="7">
        <f>IF($B737="","",Q737*W737/100)</f>
        <v/>
      </c>
      <c r="S737" s="7">
        <f>IF($B737="","",Q737-R737)</f>
        <v/>
      </c>
      <c r="T737" s="7">
        <f>IF($B737="","",S737-J737)</f>
        <v/>
      </c>
      <c r="W737">
        <f>IF($B737="","",IF($AI737=1,0,IF($AH737=1,Settings!$C$6,Settings!$C$7))*100)</f>
        <v/>
      </c>
      <c r="AA737" s="7" t="n"/>
      <c r="AD737" s="11" t="n"/>
      <c r="AF737">
        <f>IF($B737="","",IF(COUNTIF($B$2:$B737,$B737)=1,1,0))</f>
        <v/>
      </c>
      <c r="AG737">
        <f>IF($AF737=1,SUMPRODUCT(--($AJ$2:$AJ$1501&lt;$AJ737))+1,"")</f>
        <v/>
      </c>
      <c r="AH737">
        <f>IF($B737="","",IF(OR($M737=TRUE(),$M737="TRUE"),1,0))</f>
        <v/>
      </c>
      <c r="AI737">
        <f>IF($B737="","",IF($V737="Yes",1,0))</f>
        <v/>
      </c>
      <c r="AJ737">
        <f>IF($AF737=1,IFERROR(IF(VALUE($B737)&lt;100000000,VALUE($B737),1000000000),IFERROR(IF(VALUE(MID($B737,2,20))&lt;100000000,VALUE(MID($B737,2,20)),1000000000),1000000000))+ROW()/100000,"")</f>
        <v/>
      </c>
    </row>
    <row r="738">
      <c r="C738" s="11" t="n"/>
      <c r="J738" s="7">
        <f>IF($B738="","",I738*Q738/100)</f>
        <v/>
      </c>
      <c r="P738" s="7" t="n"/>
      <c r="Q738" s="7" t="n"/>
      <c r="R738" s="7">
        <f>IF($B738="","",Q738*W738/100)</f>
        <v/>
      </c>
      <c r="S738" s="7">
        <f>IF($B738="","",Q738-R738)</f>
        <v/>
      </c>
      <c r="T738" s="7">
        <f>IF($B738="","",S738-J738)</f>
        <v/>
      </c>
      <c r="W738">
        <f>IF($B738="","",IF($AI738=1,0,IF($AH738=1,Settings!$C$6,Settings!$C$7))*100)</f>
        <v/>
      </c>
      <c r="AA738" s="7" t="n"/>
      <c r="AD738" s="11" t="n"/>
      <c r="AF738">
        <f>IF($B738="","",IF(COUNTIF($B$2:$B738,$B738)=1,1,0))</f>
        <v/>
      </c>
      <c r="AG738">
        <f>IF($AF738=1,SUMPRODUCT(--($AJ$2:$AJ$1501&lt;$AJ738))+1,"")</f>
        <v/>
      </c>
      <c r="AH738">
        <f>IF($B738="","",IF(OR($M738=TRUE(),$M738="TRUE"),1,0))</f>
        <v/>
      </c>
      <c r="AI738">
        <f>IF($B738="","",IF($V738="Yes",1,0))</f>
        <v/>
      </c>
      <c r="AJ738">
        <f>IF($AF738=1,IFERROR(IF(VALUE($B738)&lt;100000000,VALUE($B738),1000000000),IFERROR(IF(VALUE(MID($B738,2,20))&lt;100000000,VALUE(MID($B738,2,20)),1000000000),1000000000))+ROW()/100000,"")</f>
        <v/>
      </c>
    </row>
    <row r="739">
      <c r="C739" s="11" t="n"/>
      <c r="J739" s="7">
        <f>IF($B739="","",I739*Q739/100)</f>
        <v/>
      </c>
      <c r="P739" s="7" t="n"/>
      <c r="Q739" s="7" t="n"/>
      <c r="R739" s="7">
        <f>IF($B739="","",Q739*W739/100)</f>
        <v/>
      </c>
      <c r="S739" s="7">
        <f>IF($B739="","",Q739-R739)</f>
        <v/>
      </c>
      <c r="T739" s="7">
        <f>IF($B739="","",S739-J739)</f>
        <v/>
      </c>
      <c r="W739">
        <f>IF($B739="","",IF($AI739=1,0,IF($AH739=1,Settings!$C$6,Settings!$C$7))*100)</f>
        <v/>
      </c>
      <c r="AA739" s="7" t="n"/>
      <c r="AD739" s="11" t="n"/>
      <c r="AF739">
        <f>IF($B739="","",IF(COUNTIF($B$2:$B739,$B739)=1,1,0))</f>
        <v/>
      </c>
      <c r="AG739">
        <f>IF($AF739=1,SUMPRODUCT(--($AJ$2:$AJ$1501&lt;$AJ739))+1,"")</f>
        <v/>
      </c>
      <c r="AH739">
        <f>IF($B739="","",IF(OR($M739=TRUE(),$M739="TRUE"),1,0))</f>
        <v/>
      </c>
      <c r="AI739">
        <f>IF($B739="","",IF($V739="Yes",1,0))</f>
        <v/>
      </c>
      <c r="AJ739">
        <f>IF($AF739=1,IFERROR(IF(VALUE($B739)&lt;100000000,VALUE($B739),1000000000),IFERROR(IF(VALUE(MID($B739,2,20))&lt;100000000,VALUE(MID($B739,2,20)),1000000000),1000000000))+ROW()/100000,"")</f>
        <v/>
      </c>
    </row>
    <row r="740">
      <c r="C740" s="11" t="n"/>
      <c r="J740" s="7">
        <f>IF($B740="","",I740*Q740/100)</f>
        <v/>
      </c>
      <c r="P740" s="7" t="n"/>
      <c r="Q740" s="7" t="n"/>
      <c r="R740" s="7">
        <f>IF($B740="","",Q740*W740/100)</f>
        <v/>
      </c>
      <c r="S740" s="7">
        <f>IF($B740="","",Q740-R740)</f>
        <v/>
      </c>
      <c r="T740" s="7">
        <f>IF($B740="","",S740-J740)</f>
        <v/>
      </c>
      <c r="W740">
        <f>IF($B740="","",IF($AI740=1,0,IF($AH740=1,Settings!$C$6,Settings!$C$7))*100)</f>
        <v/>
      </c>
      <c r="AA740" s="7" t="n"/>
      <c r="AD740" s="11" t="n"/>
      <c r="AF740">
        <f>IF($B740="","",IF(COUNTIF($B$2:$B740,$B740)=1,1,0))</f>
        <v/>
      </c>
      <c r="AG740">
        <f>IF($AF740=1,SUMPRODUCT(--($AJ$2:$AJ$1501&lt;$AJ740))+1,"")</f>
        <v/>
      </c>
      <c r="AH740">
        <f>IF($B740="","",IF(OR($M740=TRUE(),$M740="TRUE"),1,0))</f>
        <v/>
      </c>
      <c r="AI740">
        <f>IF($B740="","",IF($V740="Yes",1,0))</f>
        <v/>
      </c>
      <c r="AJ740">
        <f>IF($AF740=1,IFERROR(IF(VALUE($B740)&lt;100000000,VALUE($B740),1000000000),IFERROR(IF(VALUE(MID($B740,2,20))&lt;100000000,VALUE(MID($B740,2,20)),1000000000),1000000000))+ROW()/100000,"")</f>
        <v/>
      </c>
    </row>
    <row r="741">
      <c r="C741" s="11" t="n"/>
      <c r="J741" s="7">
        <f>IF($B741="","",I741*Q741/100)</f>
        <v/>
      </c>
      <c r="P741" s="7" t="n"/>
      <c r="Q741" s="7" t="n"/>
      <c r="R741" s="7">
        <f>IF($B741="","",Q741*W741/100)</f>
        <v/>
      </c>
      <c r="S741" s="7">
        <f>IF($B741="","",Q741-R741)</f>
        <v/>
      </c>
      <c r="T741" s="7">
        <f>IF($B741="","",S741-J741)</f>
        <v/>
      </c>
      <c r="W741">
        <f>IF($B741="","",IF($AI741=1,0,IF($AH741=1,Settings!$C$6,Settings!$C$7))*100)</f>
        <v/>
      </c>
      <c r="AA741" s="7" t="n"/>
      <c r="AD741" s="11" t="n"/>
      <c r="AF741">
        <f>IF($B741="","",IF(COUNTIF($B$2:$B741,$B741)=1,1,0))</f>
        <v/>
      </c>
      <c r="AG741">
        <f>IF($AF741=1,SUMPRODUCT(--($AJ$2:$AJ$1501&lt;$AJ741))+1,"")</f>
        <v/>
      </c>
      <c r="AH741">
        <f>IF($B741="","",IF(OR($M741=TRUE(),$M741="TRUE"),1,0))</f>
        <v/>
      </c>
      <c r="AI741">
        <f>IF($B741="","",IF($V741="Yes",1,0))</f>
        <v/>
      </c>
      <c r="AJ741">
        <f>IF($AF741=1,IFERROR(IF(VALUE($B741)&lt;100000000,VALUE($B741),1000000000),IFERROR(IF(VALUE(MID($B741,2,20))&lt;100000000,VALUE(MID($B741,2,20)),1000000000),1000000000))+ROW()/100000,"")</f>
        <v/>
      </c>
    </row>
    <row r="742">
      <c r="C742" s="11" t="n"/>
      <c r="J742" s="7">
        <f>IF($B742="","",I742*Q742/100)</f>
        <v/>
      </c>
      <c r="P742" s="7" t="n"/>
      <c r="Q742" s="7" t="n"/>
      <c r="R742" s="7">
        <f>IF($B742="","",Q742*W742/100)</f>
        <v/>
      </c>
      <c r="S742" s="7">
        <f>IF($B742="","",Q742-R742)</f>
        <v/>
      </c>
      <c r="T742" s="7">
        <f>IF($B742="","",S742-J742)</f>
        <v/>
      </c>
      <c r="W742">
        <f>IF($B742="","",IF($AI742=1,0,IF($AH742=1,Settings!$C$6,Settings!$C$7))*100)</f>
        <v/>
      </c>
      <c r="AA742" s="7" t="n"/>
      <c r="AD742" s="11" t="n"/>
      <c r="AF742">
        <f>IF($B742="","",IF(COUNTIF($B$2:$B742,$B742)=1,1,0))</f>
        <v/>
      </c>
      <c r="AG742">
        <f>IF($AF742=1,SUMPRODUCT(--($AJ$2:$AJ$1501&lt;$AJ742))+1,"")</f>
        <v/>
      </c>
      <c r="AH742">
        <f>IF($B742="","",IF(OR($M742=TRUE(),$M742="TRUE"),1,0))</f>
        <v/>
      </c>
      <c r="AI742">
        <f>IF($B742="","",IF($V742="Yes",1,0))</f>
        <v/>
      </c>
      <c r="AJ742">
        <f>IF($AF742=1,IFERROR(IF(VALUE($B742)&lt;100000000,VALUE($B742),1000000000),IFERROR(IF(VALUE(MID($B742,2,20))&lt;100000000,VALUE(MID($B742,2,20)),1000000000),1000000000))+ROW()/100000,"")</f>
        <v/>
      </c>
    </row>
    <row r="743">
      <c r="C743" s="11" t="n"/>
      <c r="J743" s="7">
        <f>IF($B743="","",I743*Q743/100)</f>
        <v/>
      </c>
      <c r="P743" s="7" t="n"/>
      <c r="Q743" s="7" t="n"/>
      <c r="R743" s="7">
        <f>IF($B743="","",Q743*W743/100)</f>
        <v/>
      </c>
      <c r="S743" s="7">
        <f>IF($B743="","",Q743-R743)</f>
        <v/>
      </c>
      <c r="T743" s="7">
        <f>IF($B743="","",S743-J743)</f>
        <v/>
      </c>
      <c r="W743">
        <f>IF($B743="","",IF($AI743=1,0,IF($AH743=1,Settings!$C$6,Settings!$C$7))*100)</f>
        <v/>
      </c>
      <c r="AA743" s="7" t="n"/>
      <c r="AD743" s="11" t="n"/>
      <c r="AF743">
        <f>IF($B743="","",IF(COUNTIF($B$2:$B743,$B743)=1,1,0))</f>
        <v/>
      </c>
      <c r="AG743">
        <f>IF($AF743=1,SUMPRODUCT(--($AJ$2:$AJ$1501&lt;$AJ743))+1,"")</f>
        <v/>
      </c>
      <c r="AH743">
        <f>IF($B743="","",IF(OR($M743=TRUE(),$M743="TRUE"),1,0))</f>
        <v/>
      </c>
      <c r="AI743">
        <f>IF($B743="","",IF($V743="Yes",1,0))</f>
        <v/>
      </c>
      <c r="AJ743">
        <f>IF($AF743=1,IFERROR(IF(VALUE($B743)&lt;100000000,VALUE($B743),1000000000),IFERROR(IF(VALUE(MID($B743,2,20))&lt;100000000,VALUE(MID($B743,2,20)),1000000000),1000000000))+ROW()/100000,"")</f>
        <v/>
      </c>
    </row>
    <row r="744">
      <c r="C744" s="11" t="n"/>
      <c r="J744" s="7">
        <f>IF($B744="","",I744*Q744/100)</f>
        <v/>
      </c>
      <c r="P744" s="7" t="n"/>
      <c r="Q744" s="7" t="n"/>
      <c r="R744" s="7">
        <f>IF($B744="","",Q744*W744/100)</f>
        <v/>
      </c>
      <c r="S744" s="7">
        <f>IF($B744="","",Q744-R744)</f>
        <v/>
      </c>
      <c r="T744" s="7">
        <f>IF($B744="","",S744-J744)</f>
        <v/>
      </c>
      <c r="W744">
        <f>IF($B744="","",IF($AI744=1,0,IF($AH744=1,Settings!$C$6,Settings!$C$7))*100)</f>
        <v/>
      </c>
      <c r="AA744" s="7" t="n"/>
      <c r="AD744" s="11" t="n"/>
      <c r="AF744">
        <f>IF($B744="","",IF(COUNTIF($B$2:$B744,$B744)=1,1,0))</f>
        <v/>
      </c>
      <c r="AG744">
        <f>IF($AF744=1,SUMPRODUCT(--($AJ$2:$AJ$1501&lt;$AJ744))+1,"")</f>
        <v/>
      </c>
      <c r="AH744">
        <f>IF($B744="","",IF(OR($M744=TRUE(),$M744="TRUE"),1,0))</f>
        <v/>
      </c>
      <c r="AI744">
        <f>IF($B744="","",IF($V744="Yes",1,0))</f>
        <v/>
      </c>
      <c r="AJ744">
        <f>IF($AF744=1,IFERROR(IF(VALUE($B744)&lt;100000000,VALUE($B744),1000000000),IFERROR(IF(VALUE(MID($B744,2,20))&lt;100000000,VALUE(MID($B744,2,20)),1000000000),1000000000))+ROW()/100000,"")</f>
        <v/>
      </c>
    </row>
    <row r="745">
      <c r="C745" s="11" t="n"/>
      <c r="J745" s="7">
        <f>IF($B745="","",I745*Q745/100)</f>
        <v/>
      </c>
      <c r="P745" s="7" t="n"/>
      <c r="Q745" s="7" t="n"/>
      <c r="R745" s="7">
        <f>IF($B745="","",Q745*W745/100)</f>
        <v/>
      </c>
      <c r="S745" s="7">
        <f>IF($B745="","",Q745-R745)</f>
        <v/>
      </c>
      <c r="T745" s="7">
        <f>IF($B745="","",S745-J745)</f>
        <v/>
      </c>
      <c r="W745">
        <f>IF($B745="","",IF($AI745=1,0,IF($AH745=1,Settings!$C$6,Settings!$C$7))*100)</f>
        <v/>
      </c>
      <c r="AA745" s="7" t="n"/>
      <c r="AD745" s="11" t="n"/>
      <c r="AF745">
        <f>IF($B745="","",IF(COUNTIF($B$2:$B745,$B745)=1,1,0))</f>
        <v/>
      </c>
      <c r="AG745">
        <f>IF($AF745=1,SUMPRODUCT(--($AJ$2:$AJ$1501&lt;$AJ745))+1,"")</f>
        <v/>
      </c>
      <c r="AH745">
        <f>IF($B745="","",IF(OR($M745=TRUE(),$M745="TRUE"),1,0))</f>
        <v/>
      </c>
      <c r="AI745">
        <f>IF($B745="","",IF($V745="Yes",1,0))</f>
        <v/>
      </c>
      <c r="AJ745">
        <f>IF($AF745=1,IFERROR(IF(VALUE($B745)&lt;100000000,VALUE($B745),1000000000),IFERROR(IF(VALUE(MID($B745,2,20))&lt;100000000,VALUE(MID($B745,2,20)),1000000000),1000000000))+ROW()/100000,"")</f>
        <v/>
      </c>
    </row>
    <row r="746">
      <c r="C746" s="11" t="n"/>
      <c r="J746" s="7">
        <f>IF($B746="","",I746*Q746/100)</f>
        <v/>
      </c>
      <c r="P746" s="7" t="n"/>
      <c r="Q746" s="7" t="n"/>
      <c r="R746" s="7">
        <f>IF($B746="","",Q746*W746/100)</f>
        <v/>
      </c>
      <c r="S746" s="7">
        <f>IF($B746="","",Q746-R746)</f>
        <v/>
      </c>
      <c r="T746" s="7">
        <f>IF($B746="","",S746-J746)</f>
        <v/>
      </c>
      <c r="W746">
        <f>IF($B746="","",IF($AI746=1,0,IF($AH746=1,Settings!$C$6,Settings!$C$7))*100)</f>
        <v/>
      </c>
      <c r="AA746" s="7" t="n"/>
      <c r="AD746" s="11" t="n"/>
      <c r="AF746">
        <f>IF($B746="","",IF(COUNTIF($B$2:$B746,$B746)=1,1,0))</f>
        <v/>
      </c>
      <c r="AG746">
        <f>IF($AF746=1,SUMPRODUCT(--($AJ$2:$AJ$1501&lt;$AJ746))+1,"")</f>
        <v/>
      </c>
      <c r="AH746">
        <f>IF($B746="","",IF(OR($M746=TRUE(),$M746="TRUE"),1,0))</f>
        <v/>
      </c>
      <c r="AI746">
        <f>IF($B746="","",IF($V746="Yes",1,0))</f>
        <v/>
      </c>
      <c r="AJ746">
        <f>IF($AF746=1,IFERROR(IF(VALUE($B746)&lt;100000000,VALUE($B746),1000000000),IFERROR(IF(VALUE(MID($B746,2,20))&lt;100000000,VALUE(MID($B746,2,20)),1000000000),1000000000))+ROW()/100000,"")</f>
        <v/>
      </c>
    </row>
    <row r="747">
      <c r="C747" s="11" t="n"/>
      <c r="J747" s="7">
        <f>IF($B747="","",I747*Q747/100)</f>
        <v/>
      </c>
      <c r="P747" s="7" t="n"/>
      <c r="Q747" s="7" t="n"/>
      <c r="R747" s="7">
        <f>IF($B747="","",Q747*W747/100)</f>
        <v/>
      </c>
      <c r="S747" s="7">
        <f>IF($B747="","",Q747-R747)</f>
        <v/>
      </c>
      <c r="T747" s="7">
        <f>IF($B747="","",S747-J747)</f>
        <v/>
      </c>
      <c r="W747">
        <f>IF($B747="","",IF($AI747=1,0,IF($AH747=1,Settings!$C$6,Settings!$C$7))*100)</f>
        <v/>
      </c>
      <c r="AA747" s="7" t="n"/>
      <c r="AD747" s="11" t="n"/>
      <c r="AF747">
        <f>IF($B747="","",IF(COUNTIF($B$2:$B747,$B747)=1,1,0))</f>
        <v/>
      </c>
      <c r="AG747">
        <f>IF($AF747=1,SUMPRODUCT(--($AJ$2:$AJ$1501&lt;$AJ747))+1,"")</f>
        <v/>
      </c>
      <c r="AH747">
        <f>IF($B747="","",IF(OR($M747=TRUE(),$M747="TRUE"),1,0))</f>
        <v/>
      </c>
      <c r="AI747">
        <f>IF($B747="","",IF($V747="Yes",1,0))</f>
        <v/>
      </c>
      <c r="AJ747">
        <f>IF($AF747=1,IFERROR(IF(VALUE($B747)&lt;100000000,VALUE($B747),1000000000),IFERROR(IF(VALUE(MID($B747,2,20))&lt;100000000,VALUE(MID($B747,2,20)),1000000000),1000000000))+ROW()/100000,"")</f>
        <v/>
      </c>
    </row>
    <row r="748">
      <c r="C748" s="11" t="n"/>
      <c r="J748" s="7">
        <f>IF($B748="","",I748*Q748/100)</f>
        <v/>
      </c>
      <c r="P748" s="7" t="n"/>
      <c r="Q748" s="7" t="n"/>
      <c r="R748" s="7">
        <f>IF($B748="","",Q748*W748/100)</f>
        <v/>
      </c>
      <c r="S748" s="7">
        <f>IF($B748="","",Q748-R748)</f>
        <v/>
      </c>
      <c r="T748" s="7">
        <f>IF($B748="","",S748-J748)</f>
        <v/>
      </c>
      <c r="W748">
        <f>IF($B748="","",IF($AI748=1,0,IF($AH748=1,Settings!$C$6,Settings!$C$7))*100)</f>
        <v/>
      </c>
      <c r="AA748" s="7" t="n"/>
      <c r="AD748" s="11" t="n"/>
      <c r="AF748">
        <f>IF($B748="","",IF(COUNTIF($B$2:$B748,$B748)=1,1,0))</f>
        <v/>
      </c>
      <c r="AG748">
        <f>IF($AF748=1,SUMPRODUCT(--($AJ$2:$AJ$1501&lt;$AJ748))+1,"")</f>
        <v/>
      </c>
      <c r="AH748">
        <f>IF($B748="","",IF(OR($M748=TRUE(),$M748="TRUE"),1,0))</f>
        <v/>
      </c>
      <c r="AI748">
        <f>IF($B748="","",IF($V748="Yes",1,0))</f>
        <v/>
      </c>
      <c r="AJ748">
        <f>IF($AF748=1,IFERROR(IF(VALUE($B748)&lt;100000000,VALUE($B748),1000000000),IFERROR(IF(VALUE(MID($B748,2,20))&lt;100000000,VALUE(MID($B748,2,20)),1000000000),1000000000))+ROW()/100000,"")</f>
        <v/>
      </c>
    </row>
    <row r="749">
      <c r="C749" s="11" t="n"/>
      <c r="J749" s="7">
        <f>IF($B749="","",I749*Q749/100)</f>
        <v/>
      </c>
      <c r="P749" s="7" t="n"/>
      <c r="Q749" s="7" t="n"/>
      <c r="R749" s="7">
        <f>IF($B749="","",Q749*W749/100)</f>
        <v/>
      </c>
      <c r="S749" s="7">
        <f>IF($B749="","",Q749-R749)</f>
        <v/>
      </c>
      <c r="T749" s="7">
        <f>IF($B749="","",S749-J749)</f>
        <v/>
      </c>
      <c r="W749">
        <f>IF($B749="","",IF($AI749=1,0,IF($AH749=1,Settings!$C$6,Settings!$C$7))*100)</f>
        <v/>
      </c>
      <c r="AA749" s="7" t="n"/>
      <c r="AD749" s="11" t="n"/>
      <c r="AF749">
        <f>IF($B749="","",IF(COUNTIF($B$2:$B749,$B749)=1,1,0))</f>
        <v/>
      </c>
      <c r="AG749">
        <f>IF($AF749=1,SUMPRODUCT(--($AJ$2:$AJ$1501&lt;$AJ749))+1,"")</f>
        <v/>
      </c>
      <c r="AH749">
        <f>IF($B749="","",IF(OR($M749=TRUE(),$M749="TRUE"),1,0))</f>
        <v/>
      </c>
      <c r="AI749">
        <f>IF($B749="","",IF($V749="Yes",1,0))</f>
        <v/>
      </c>
      <c r="AJ749">
        <f>IF($AF749=1,IFERROR(IF(VALUE($B749)&lt;100000000,VALUE($B749),1000000000),IFERROR(IF(VALUE(MID($B749,2,20))&lt;100000000,VALUE(MID($B749,2,20)),1000000000),1000000000))+ROW()/100000,"")</f>
        <v/>
      </c>
    </row>
    <row r="750">
      <c r="C750" s="11" t="n"/>
      <c r="J750" s="7">
        <f>IF($B750="","",I750*Q750/100)</f>
        <v/>
      </c>
      <c r="P750" s="7" t="n"/>
      <c r="Q750" s="7" t="n"/>
      <c r="R750" s="7">
        <f>IF($B750="","",Q750*W750/100)</f>
        <v/>
      </c>
      <c r="S750" s="7">
        <f>IF($B750="","",Q750-R750)</f>
        <v/>
      </c>
      <c r="T750" s="7">
        <f>IF($B750="","",S750-J750)</f>
        <v/>
      </c>
      <c r="W750">
        <f>IF($B750="","",IF($AI750=1,0,IF($AH750=1,Settings!$C$6,Settings!$C$7))*100)</f>
        <v/>
      </c>
      <c r="AA750" s="7" t="n"/>
      <c r="AD750" s="11" t="n"/>
      <c r="AF750">
        <f>IF($B750="","",IF(COUNTIF($B$2:$B750,$B750)=1,1,0))</f>
        <v/>
      </c>
      <c r="AG750">
        <f>IF($AF750=1,SUMPRODUCT(--($AJ$2:$AJ$1501&lt;$AJ750))+1,"")</f>
        <v/>
      </c>
      <c r="AH750">
        <f>IF($B750="","",IF(OR($M750=TRUE(),$M750="TRUE"),1,0))</f>
        <v/>
      </c>
      <c r="AI750">
        <f>IF($B750="","",IF($V750="Yes",1,0))</f>
        <v/>
      </c>
      <c r="AJ750">
        <f>IF($AF750=1,IFERROR(IF(VALUE($B750)&lt;100000000,VALUE($B750),1000000000),IFERROR(IF(VALUE(MID($B750,2,20))&lt;100000000,VALUE(MID($B750,2,20)),1000000000),1000000000))+ROW()/100000,"")</f>
        <v/>
      </c>
    </row>
    <row r="751">
      <c r="C751" s="11" t="n"/>
      <c r="J751" s="7">
        <f>IF($B751="","",I751*Q751/100)</f>
        <v/>
      </c>
      <c r="P751" s="7" t="n"/>
      <c r="Q751" s="7" t="n"/>
      <c r="R751" s="7">
        <f>IF($B751="","",Q751*W751/100)</f>
        <v/>
      </c>
      <c r="S751" s="7">
        <f>IF($B751="","",Q751-R751)</f>
        <v/>
      </c>
      <c r="T751" s="7">
        <f>IF($B751="","",S751-J751)</f>
        <v/>
      </c>
      <c r="W751">
        <f>IF($B751="","",IF($AI751=1,0,IF($AH751=1,Settings!$C$6,Settings!$C$7))*100)</f>
        <v/>
      </c>
      <c r="AA751" s="7" t="n"/>
      <c r="AD751" s="11" t="n"/>
      <c r="AF751">
        <f>IF($B751="","",IF(COUNTIF($B$2:$B751,$B751)=1,1,0))</f>
        <v/>
      </c>
      <c r="AG751">
        <f>IF($AF751=1,SUMPRODUCT(--($AJ$2:$AJ$1501&lt;$AJ751))+1,"")</f>
        <v/>
      </c>
      <c r="AH751">
        <f>IF($B751="","",IF(OR($M751=TRUE(),$M751="TRUE"),1,0))</f>
        <v/>
      </c>
      <c r="AI751">
        <f>IF($B751="","",IF($V751="Yes",1,0))</f>
        <v/>
      </c>
      <c r="AJ751">
        <f>IF($AF751=1,IFERROR(IF(VALUE($B751)&lt;100000000,VALUE($B751),1000000000),IFERROR(IF(VALUE(MID($B751,2,20))&lt;100000000,VALUE(MID($B751,2,20)),1000000000),1000000000))+ROW()/100000,"")</f>
        <v/>
      </c>
    </row>
    <row r="752">
      <c r="C752" s="11" t="n"/>
      <c r="J752" s="7">
        <f>IF($B752="","",I752*Q752/100)</f>
        <v/>
      </c>
      <c r="P752" s="7" t="n"/>
      <c r="Q752" s="7" t="n"/>
      <c r="R752" s="7">
        <f>IF($B752="","",Q752*W752/100)</f>
        <v/>
      </c>
      <c r="S752" s="7">
        <f>IF($B752="","",Q752-R752)</f>
        <v/>
      </c>
      <c r="T752" s="7">
        <f>IF($B752="","",S752-J752)</f>
        <v/>
      </c>
      <c r="W752">
        <f>IF($B752="","",IF($AI752=1,0,IF($AH752=1,Settings!$C$6,Settings!$C$7))*100)</f>
        <v/>
      </c>
      <c r="AA752" s="7" t="n"/>
      <c r="AD752" s="11" t="n"/>
      <c r="AF752">
        <f>IF($B752="","",IF(COUNTIF($B$2:$B752,$B752)=1,1,0))</f>
        <v/>
      </c>
      <c r="AG752">
        <f>IF($AF752=1,SUMPRODUCT(--($AJ$2:$AJ$1501&lt;$AJ752))+1,"")</f>
        <v/>
      </c>
      <c r="AH752">
        <f>IF($B752="","",IF(OR($M752=TRUE(),$M752="TRUE"),1,0))</f>
        <v/>
      </c>
      <c r="AI752">
        <f>IF($B752="","",IF($V752="Yes",1,0))</f>
        <v/>
      </c>
      <c r="AJ752">
        <f>IF($AF752=1,IFERROR(IF(VALUE($B752)&lt;100000000,VALUE($B752),1000000000),IFERROR(IF(VALUE(MID($B752,2,20))&lt;100000000,VALUE(MID($B752,2,20)),1000000000),1000000000))+ROW()/100000,"")</f>
        <v/>
      </c>
    </row>
    <row r="753">
      <c r="C753" s="11" t="n"/>
      <c r="J753" s="7">
        <f>IF($B753="","",I753*Q753/100)</f>
        <v/>
      </c>
      <c r="P753" s="7" t="n"/>
      <c r="Q753" s="7" t="n"/>
      <c r="R753" s="7">
        <f>IF($B753="","",Q753*W753/100)</f>
        <v/>
      </c>
      <c r="S753" s="7">
        <f>IF($B753="","",Q753-R753)</f>
        <v/>
      </c>
      <c r="T753" s="7">
        <f>IF($B753="","",S753-J753)</f>
        <v/>
      </c>
      <c r="W753">
        <f>IF($B753="","",IF($AI753=1,0,IF($AH753=1,Settings!$C$6,Settings!$C$7))*100)</f>
        <v/>
      </c>
      <c r="AA753" s="7" t="n"/>
      <c r="AD753" s="11" t="n"/>
      <c r="AF753">
        <f>IF($B753="","",IF(COUNTIF($B$2:$B753,$B753)=1,1,0))</f>
        <v/>
      </c>
      <c r="AG753">
        <f>IF($AF753=1,SUMPRODUCT(--($AJ$2:$AJ$1501&lt;$AJ753))+1,"")</f>
        <v/>
      </c>
      <c r="AH753">
        <f>IF($B753="","",IF(OR($M753=TRUE(),$M753="TRUE"),1,0))</f>
        <v/>
      </c>
      <c r="AI753">
        <f>IF($B753="","",IF($V753="Yes",1,0))</f>
        <v/>
      </c>
      <c r="AJ753">
        <f>IF($AF753=1,IFERROR(IF(VALUE($B753)&lt;100000000,VALUE($B753),1000000000),IFERROR(IF(VALUE(MID($B753,2,20))&lt;100000000,VALUE(MID($B753,2,20)),1000000000),1000000000))+ROW()/100000,"")</f>
        <v/>
      </c>
    </row>
    <row r="754">
      <c r="C754" s="11" t="n"/>
      <c r="J754" s="7">
        <f>IF($B754="","",I754*Q754/100)</f>
        <v/>
      </c>
      <c r="P754" s="7" t="n"/>
      <c r="Q754" s="7" t="n"/>
      <c r="R754" s="7">
        <f>IF($B754="","",Q754*W754/100)</f>
        <v/>
      </c>
      <c r="S754" s="7">
        <f>IF($B754="","",Q754-R754)</f>
        <v/>
      </c>
      <c r="T754" s="7">
        <f>IF($B754="","",S754-J754)</f>
        <v/>
      </c>
      <c r="W754">
        <f>IF($B754="","",IF($AI754=1,0,IF($AH754=1,Settings!$C$6,Settings!$C$7))*100)</f>
        <v/>
      </c>
      <c r="AA754" s="7" t="n"/>
      <c r="AD754" s="11" t="n"/>
      <c r="AF754">
        <f>IF($B754="","",IF(COUNTIF($B$2:$B754,$B754)=1,1,0))</f>
        <v/>
      </c>
      <c r="AG754">
        <f>IF($AF754=1,SUMPRODUCT(--($AJ$2:$AJ$1501&lt;$AJ754))+1,"")</f>
        <v/>
      </c>
      <c r="AH754">
        <f>IF($B754="","",IF(OR($M754=TRUE(),$M754="TRUE"),1,0))</f>
        <v/>
      </c>
      <c r="AI754">
        <f>IF($B754="","",IF($V754="Yes",1,0))</f>
        <v/>
      </c>
      <c r="AJ754">
        <f>IF($AF754=1,IFERROR(IF(VALUE($B754)&lt;100000000,VALUE($B754),1000000000),IFERROR(IF(VALUE(MID($B754,2,20))&lt;100000000,VALUE(MID($B754,2,20)),1000000000),1000000000))+ROW()/100000,"")</f>
        <v/>
      </c>
    </row>
    <row r="755">
      <c r="C755" s="11" t="n"/>
      <c r="J755" s="7">
        <f>IF($B755="","",I755*Q755/100)</f>
        <v/>
      </c>
      <c r="P755" s="7" t="n"/>
      <c r="Q755" s="7" t="n"/>
      <c r="R755" s="7">
        <f>IF($B755="","",Q755*W755/100)</f>
        <v/>
      </c>
      <c r="S755" s="7">
        <f>IF($B755="","",Q755-R755)</f>
        <v/>
      </c>
      <c r="T755" s="7">
        <f>IF($B755="","",S755-J755)</f>
        <v/>
      </c>
      <c r="W755">
        <f>IF($B755="","",IF($AI755=1,0,IF($AH755=1,Settings!$C$6,Settings!$C$7))*100)</f>
        <v/>
      </c>
      <c r="AA755" s="7" t="n"/>
      <c r="AD755" s="11" t="n"/>
      <c r="AF755">
        <f>IF($B755="","",IF(COUNTIF($B$2:$B755,$B755)=1,1,0))</f>
        <v/>
      </c>
      <c r="AG755">
        <f>IF($AF755=1,SUMPRODUCT(--($AJ$2:$AJ$1501&lt;$AJ755))+1,"")</f>
        <v/>
      </c>
      <c r="AH755">
        <f>IF($B755="","",IF(OR($M755=TRUE(),$M755="TRUE"),1,0))</f>
        <v/>
      </c>
      <c r="AI755">
        <f>IF($B755="","",IF($V755="Yes",1,0))</f>
        <v/>
      </c>
      <c r="AJ755">
        <f>IF($AF755=1,IFERROR(IF(VALUE($B755)&lt;100000000,VALUE($B755),1000000000),IFERROR(IF(VALUE(MID($B755,2,20))&lt;100000000,VALUE(MID($B755,2,20)),1000000000),1000000000))+ROW()/100000,"")</f>
        <v/>
      </c>
    </row>
    <row r="756">
      <c r="C756" s="11" t="n"/>
      <c r="J756" s="7">
        <f>IF($B756="","",I756*Q756/100)</f>
        <v/>
      </c>
      <c r="P756" s="7" t="n"/>
      <c r="Q756" s="7" t="n"/>
      <c r="R756" s="7">
        <f>IF($B756="","",Q756*W756/100)</f>
        <v/>
      </c>
      <c r="S756" s="7">
        <f>IF($B756="","",Q756-R756)</f>
        <v/>
      </c>
      <c r="T756" s="7">
        <f>IF($B756="","",S756-J756)</f>
        <v/>
      </c>
      <c r="W756">
        <f>IF($B756="","",IF($AI756=1,0,IF($AH756=1,Settings!$C$6,Settings!$C$7))*100)</f>
        <v/>
      </c>
      <c r="AA756" s="7" t="n"/>
      <c r="AD756" s="11" t="n"/>
      <c r="AF756">
        <f>IF($B756="","",IF(COUNTIF($B$2:$B756,$B756)=1,1,0))</f>
        <v/>
      </c>
      <c r="AG756">
        <f>IF($AF756=1,SUMPRODUCT(--($AJ$2:$AJ$1501&lt;$AJ756))+1,"")</f>
        <v/>
      </c>
      <c r="AH756">
        <f>IF($B756="","",IF(OR($M756=TRUE(),$M756="TRUE"),1,0))</f>
        <v/>
      </c>
      <c r="AI756">
        <f>IF($B756="","",IF($V756="Yes",1,0))</f>
        <v/>
      </c>
      <c r="AJ756">
        <f>IF($AF756=1,IFERROR(IF(VALUE($B756)&lt;100000000,VALUE($B756),1000000000),IFERROR(IF(VALUE(MID($B756,2,20))&lt;100000000,VALUE(MID($B756,2,20)),1000000000),1000000000))+ROW()/100000,"")</f>
        <v/>
      </c>
    </row>
    <row r="757">
      <c r="C757" s="11" t="n"/>
      <c r="J757" s="7">
        <f>IF($B757="","",I757*Q757/100)</f>
        <v/>
      </c>
      <c r="P757" s="7" t="n"/>
      <c r="Q757" s="7" t="n"/>
      <c r="R757" s="7">
        <f>IF($B757="","",Q757*W757/100)</f>
        <v/>
      </c>
      <c r="S757" s="7">
        <f>IF($B757="","",Q757-R757)</f>
        <v/>
      </c>
      <c r="T757" s="7">
        <f>IF($B757="","",S757-J757)</f>
        <v/>
      </c>
      <c r="W757">
        <f>IF($B757="","",IF($AI757=1,0,IF($AH757=1,Settings!$C$6,Settings!$C$7))*100)</f>
        <v/>
      </c>
      <c r="AA757" s="7" t="n"/>
      <c r="AD757" s="11" t="n"/>
      <c r="AF757">
        <f>IF($B757="","",IF(COUNTIF($B$2:$B757,$B757)=1,1,0))</f>
        <v/>
      </c>
      <c r="AG757">
        <f>IF($AF757=1,SUMPRODUCT(--($AJ$2:$AJ$1501&lt;$AJ757))+1,"")</f>
        <v/>
      </c>
      <c r="AH757">
        <f>IF($B757="","",IF(OR($M757=TRUE(),$M757="TRUE"),1,0))</f>
        <v/>
      </c>
      <c r="AI757">
        <f>IF($B757="","",IF($V757="Yes",1,0))</f>
        <v/>
      </c>
      <c r="AJ757">
        <f>IF($AF757=1,IFERROR(IF(VALUE($B757)&lt;100000000,VALUE($B757),1000000000),IFERROR(IF(VALUE(MID($B757,2,20))&lt;100000000,VALUE(MID($B757,2,20)),1000000000),1000000000))+ROW()/100000,"")</f>
        <v/>
      </c>
    </row>
    <row r="758">
      <c r="C758" s="11" t="n"/>
      <c r="J758" s="7">
        <f>IF($B758="","",I758*Q758/100)</f>
        <v/>
      </c>
      <c r="P758" s="7" t="n"/>
      <c r="Q758" s="7" t="n"/>
      <c r="R758" s="7">
        <f>IF($B758="","",Q758*W758/100)</f>
        <v/>
      </c>
      <c r="S758" s="7">
        <f>IF($B758="","",Q758-R758)</f>
        <v/>
      </c>
      <c r="T758" s="7">
        <f>IF($B758="","",S758-J758)</f>
        <v/>
      </c>
      <c r="W758">
        <f>IF($B758="","",IF($AI758=1,0,IF($AH758=1,Settings!$C$6,Settings!$C$7))*100)</f>
        <v/>
      </c>
      <c r="AA758" s="7" t="n"/>
      <c r="AD758" s="11" t="n"/>
      <c r="AF758">
        <f>IF($B758="","",IF(COUNTIF($B$2:$B758,$B758)=1,1,0))</f>
        <v/>
      </c>
      <c r="AG758">
        <f>IF($AF758=1,SUMPRODUCT(--($AJ$2:$AJ$1501&lt;$AJ758))+1,"")</f>
        <v/>
      </c>
      <c r="AH758">
        <f>IF($B758="","",IF(OR($M758=TRUE(),$M758="TRUE"),1,0))</f>
        <v/>
      </c>
      <c r="AI758">
        <f>IF($B758="","",IF($V758="Yes",1,0))</f>
        <v/>
      </c>
      <c r="AJ758">
        <f>IF($AF758=1,IFERROR(IF(VALUE($B758)&lt;100000000,VALUE($B758),1000000000),IFERROR(IF(VALUE(MID($B758,2,20))&lt;100000000,VALUE(MID($B758,2,20)),1000000000),1000000000))+ROW()/100000,"")</f>
        <v/>
      </c>
    </row>
    <row r="759">
      <c r="C759" s="11" t="n"/>
      <c r="J759" s="7">
        <f>IF($B759="","",I759*Q759/100)</f>
        <v/>
      </c>
      <c r="P759" s="7" t="n"/>
      <c r="Q759" s="7" t="n"/>
      <c r="R759" s="7">
        <f>IF($B759="","",Q759*W759/100)</f>
        <v/>
      </c>
      <c r="S759" s="7">
        <f>IF($B759="","",Q759-R759)</f>
        <v/>
      </c>
      <c r="T759" s="7">
        <f>IF($B759="","",S759-J759)</f>
        <v/>
      </c>
      <c r="W759">
        <f>IF($B759="","",IF($AI759=1,0,IF($AH759=1,Settings!$C$6,Settings!$C$7))*100)</f>
        <v/>
      </c>
      <c r="AA759" s="7" t="n"/>
      <c r="AD759" s="11" t="n"/>
      <c r="AF759">
        <f>IF($B759="","",IF(COUNTIF($B$2:$B759,$B759)=1,1,0))</f>
        <v/>
      </c>
      <c r="AG759">
        <f>IF($AF759=1,SUMPRODUCT(--($AJ$2:$AJ$1501&lt;$AJ759))+1,"")</f>
        <v/>
      </c>
      <c r="AH759">
        <f>IF($B759="","",IF(OR($M759=TRUE(),$M759="TRUE"),1,0))</f>
        <v/>
      </c>
      <c r="AI759">
        <f>IF($B759="","",IF($V759="Yes",1,0))</f>
        <v/>
      </c>
      <c r="AJ759">
        <f>IF($AF759=1,IFERROR(IF(VALUE($B759)&lt;100000000,VALUE($B759),1000000000),IFERROR(IF(VALUE(MID($B759,2,20))&lt;100000000,VALUE(MID($B759,2,20)),1000000000),1000000000))+ROW()/100000,"")</f>
        <v/>
      </c>
    </row>
    <row r="760">
      <c r="C760" s="11" t="n"/>
      <c r="J760" s="7">
        <f>IF($B760="","",I760*Q760/100)</f>
        <v/>
      </c>
      <c r="P760" s="7" t="n"/>
      <c r="Q760" s="7" t="n"/>
      <c r="R760" s="7">
        <f>IF($B760="","",Q760*W760/100)</f>
        <v/>
      </c>
      <c r="S760" s="7">
        <f>IF($B760="","",Q760-R760)</f>
        <v/>
      </c>
      <c r="T760" s="7">
        <f>IF($B760="","",S760-J760)</f>
        <v/>
      </c>
      <c r="W760">
        <f>IF($B760="","",IF($AI760=1,0,IF($AH760=1,Settings!$C$6,Settings!$C$7))*100)</f>
        <v/>
      </c>
      <c r="AA760" s="7" t="n"/>
      <c r="AD760" s="11" t="n"/>
      <c r="AF760">
        <f>IF($B760="","",IF(COUNTIF($B$2:$B760,$B760)=1,1,0))</f>
        <v/>
      </c>
      <c r="AG760">
        <f>IF($AF760=1,SUMPRODUCT(--($AJ$2:$AJ$1501&lt;$AJ760))+1,"")</f>
        <v/>
      </c>
      <c r="AH760">
        <f>IF($B760="","",IF(OR($M760=TRUE(),$M760="TRUE"),1,0))</f>
        <v/>
      </c>
      <c r="AI760">
        <f>IF($B760="","",IF($V760="Yes",1,0))</f>
        <v/>
      </c>
      <c r="AJ760">
        <f>IF($AF760=1,IFERROR(IF(VALUE($B760)&lt;100000000,VALUE($B760),1000000000),IFERROR(IF(VALUE(MID($B760,2,20))&lt;100000000,VALUE(MID($B760,2,20)),1000000000),1000000000))+ROW()/100000,"")</f>
        <v/>
      </c>
    </row>
    <row r="761">
      <c r="C761" s="11" t="n"/>
      <c r="J761" s="7">
        <f>IF($B761="","",I761*Q761/100)</f>
        <v/>
      </c>
      <c r="P761" s="7" t="n"/>
      <c r="Q761" s="7" t="n"/>
      <c r="R761" s="7">
        <f>IF($B761="","",Q761*W761/100)</f>
        <v/>
      </c>
      <c r="S761" s="7">
        <f>IF($B761="","",Q761-R761)</f>
        <v/>
      </c>
      <c r="T761" s="7">
        <f>IF($B761="","",S761-J761)</f>
        <v/>
      </c>
      <c r="W761">
        <f>IF($B761="","",IF($AI761=1,0,IF($AH761=1,Settings!$C$6,Settings!$C$7))*100)</f>
        <v/>
      </c>
      <c r="AA761" s="7" t="n"/>
      <c r="AD761" s="11" t="n"/>
      <c r="AF761">
        <f>IF($B761="","",IF(COUNTIF($B$2:$B761,$B761)=1,1,0))</f>
        <v/>
      </c>
      <c r="AG761">
        <f>IF($AF761=1,SUMPRODUCT(--($AJ$2:$AJ$1501&lt;$AJ761))+1,"")</f>
        <v/>
      </c>
      <c r="AH761">
        <f>IF($B761="","",IF(OR($M761=TRUE(),$M761="TRUE"),1,0))</f>
        <v/>
      </c>
      <c r="AI761">
        <f>IF($B761="","",IF($V761="Yes",1,0))</f>
        <v/>
      </c>
      <c r="AJ761">
        <f>IF($AF761=1,IFERROR(IF(VALUE($B761)&lt;100000000,VALUE($B761),1000000000),IFERROR(IF(VALUE(MID($B761,2,20))&lt;100000000,VALUE(MID($B761,2,20)),1000000000),1000000000))+ROW()/100000,"")</f>
        <v/>
      </c>
    </row>
    <row r="762">
      <c r="C762" s="11" t="n"/>
      <c r="J762" s="7">
        <f>IF($B762="","",I762*Q762/100)</f>
        <v/>
      </c>
      <c r="P762" s="7" t="n"/>
      <c r="Q762" s="7" t="n"/>
      <c r="R762" s="7">
        <f>IF($B762="","",Q762*W762/100)</f>
        <v/>
      </c>
      <c r="S762" s="7">
        <f>IF($B762="","",Q762-R762)</f>
        <v/>
      </c>
      <c r="T762" s="7">
        <f>IF($B762="","",S762-J762)</f>
        <v/>
      </c>
      <c r="W762">
        <f>IF($B762="","",IF($AI762=1,0,IF($AH762=1,Settings!$C$6,Settings!$C$7))*100)</f>
        <v/>
      </c>
      <c r="AA762" s="7" t="n"/>
      <c r="AD762" s="11" t="n"/>
      <c r="AF762">
        <f>IF($B762="","",IF(COUNTIF($B$2:$B762,$B762)=1,1,0))</f>
        <v/>
      </c>
      <c r="AG762">
        <f>IF($AF762=1,SUMPRODUCT(--($AJ$2:$AJ$1501&lt;$AJ762))+1,"")</f>
        <v/>
      </c>
      <c r="AH762">
        <f>IF($B762="","",IF(OR($M762=TRUE(),$M762="TRUE"),1,0))</f>
        <v/>
      </c>
      <c r="AI762">
        <f>IF($B762="","",IF($V762="Yes",1,0))</f>
        <v/>
      </c>
      <c r="AJ762">
        <f>IF($AF762=1,IFERROR(IF(VALUE($B762)&lt;100000000,VALUE($B762),1000000000),IFERROR(IF(VALUE(MID($B762,2,20))&lt;100000000,VALUE(MID($B762,2,20)),1000000000),1000000000))+ROW()/100000,"")</f>
        <v/>
      </c>
    </row>
    <row r="763">
      <c r="C763" s="11" t="n"/>
      <c r="J763" s="7">
        <f>IF($B763="","",I763*Q763/100)</f>
        <v/>
      </c>
      <c r="P763" s="7" t="n"/>
      <c r="Q763" s="7" t="n"/>
      <c r="R763" s="7">
        <f>IF($B763="","",Q763*W763/100)</f>
        <v/>
      </c>
      <c r="S763" s="7">
        <f>IF($B763="","",Q763-R763)</f>
        <v/>
      </c>
      <c r="T763" s="7">
        <f>IF($B763="","",S763-J763)</f>
        <v/>
      </c>
      <c r="W763">
        <f>IF($B763="","",IF($AI763=1,0,IF($AH763=1,Settings!$C$6,Settings!$C$7))*100)</f>
        <v/>
      </c>
      <c r="AA763" s="7" t="n"/>
      <c r="AD763" s="11" t="n"/>
      <c r="AF763">
        <f>IF($B763="","",IF(COUNTIF($B$2:$B763,$B763)=1,1,0))</f>
        <v/>
      </c>
      <c r="AG763">
        <f>IF($AF763=1,SUMPRODUCT(--($AJ$2:$AJ$1501&lt;$AJ763))+1,"")</f>
        <v/>
      </c>
      <c r="AH763">
        <f>IF($B763="","",IF(OR($M763=TRUE(),$M763="TRUE"),1,0))</f>
        <v/>
      </c>
      <c r="AI763">
        <f>IF($B763="","",IF($V763="Yes",1,0))</f>
        <v/>
      </c>
      <c r="AJ763">
        <f>IF($AF763=1,IFERROR(IF(VALUE($B763)&lt;100000000,VALUE($B763),1000000000),IFERROR(IF(VALUE(MID($B763,2,20))&lt;100000000,VALUE(MID($B763,2,20)),1000000000),1000000000))+ROW()/100000,"")</f>
        <v/>
      </c>
    </row>
    <row r="764">
      <c r="C764" s="11" t="n"/>
      <c r="J764" s="7">
        <f>IF($B764="","",I764*Q764/100)</f>
        <v/>
      </c>
      <c r="P764" s="7" t="n"/>
      <c r="Q764" s="7" t="n"/>
      <c r="R764" s="7">
        <f>IF($B764="","",Q764*W764/100)</f>
        <v/>
      </c>
      <c r="S764" s="7">
        <f>IF($B764="","",Q764-R764)</f>
        <v/>
      </c>
      <c r="T764" s="7">
        <f>IF($B764="","",S764-J764)</f>
        <v/>
      </c>
      <c r="W764">
        <f>IF($B764="","",IF($AI764=1,0,IF($AH764=1,Settings!$C$6,Settings!$C$7))*100)</f>
        <v/>
      </c>
      <c r="AA764" s="7" t="n"/>
      <c r="AD764" s="11" t="n"/>
      <c r="AF764">
        <f>IF($B764="","",IF(COUNTIF($B$2:$B764,$B764)=1,1,0))</f>
        <v/>
      </c>
      <c r="AG764">
        <f>IF($AF764=1,SUMPRODUCT(--($AJ$2:$AJ$1501&lt;$AJ764))+1,"")</f>
        <v/>
      </c>
      <c r="AH764">
        <f>IF($B764="","",IF(OR($M764=TRUE(),$M764="TRUE"),1,0))</f>
        <v/>
      </c>
      <c r="AI764">
        <f>IF($B764="","",IF($V764="Yes",1,0))</f>
        <v/>
      </c>
      <c r="AJ764">
        <f>IF($AF764=1,IFERROR(IF(VALUE($B764)&lt;100000000,VALUE($B764),1000000000),IFERROR(IF(VALUE(MID($B764,2,20))&lt;100000000,VALUE(MID($B764,2,20)),1000000000),1000000000))+ROW()/100000,"")</f>
        <v/>
      </c>
    </row>
    <row r="765">
      <c r="C765" s="11" t="n"/>
      <c r="J765" s="7">
        <f>IF($B765="","",I765*Q765/100)</f>
        <v/>
      </c>
      <c r="P765" s="7" t="n"/>
      <c r="Q765" s="7" t="n"/>
      <c r="R765" s="7">
        <f>IF($B765="","",Q765*W765/100)</f>
        <v/>
      </c>
      <c r="S765" s="7">
        <f>IF($B765="","",Q765-R765)</f>
        <v/>
      </c>
      <c r="T765" s="7">
        <f>IF($B765="","",S765-J765)</f>
        <v/>
      </c>
      <c r="W765">
        <f>IF($B765="","",IF($AI765=1,0,IF($AH765=1,Settings!$C$6,Settings!$C$7))*100)</f>
        <v/>
      </c>
      <c r="AA765" s="7" t="n"/>
      <c r="AD765" s="11" t="n"/>
      <c r="AF765">
        <f>IF($B765="","",IF(COUNTIF($B$2:$B765,$B765)=1,1,0))</f>
        <v/>
      </c>
      <c r="AG765">
        <f>IF($AF765=1,SUMPRODUCT(--($AJ$2:$AJ$1501&lt;$AJ765))+1,"")</f>
        <v/>
      </c>
      <c r="AH765">
        <f>IF($B765="","",IF(OR($M765=TRUE(),$M765="TRUE"),1,0))</f>
        <v/>
      </c>
      <c r="AI765">
        <f>IF($B765="","",IF($V765="Yes",1,0))</f>
        <v/>
      </c>
      <c r="AJ765">
        <f>IF($AF765=1,IFERROR(IF(VALUE($B765)&lt;100000000,VALUE($B765),1000000000),IFERROR(IF(VALUE(MID($B765,2,20))&lt;100000000,VALUE(MID($B765,2,20)),1000000000),1000000000))+ROW()/100000,"")</f>
        <v/>
      </c>
    </row>
    <row r="766">
      <c r="C766" s="11" t="n"/>
      <c r="J766" s="7">
        <f>IF($B766="","",I766*Q766/100)</f>
        <v/>
      </c>
      <c r="P766" s="7" t="n"/>
      <c r="Q766" s="7" t="n"/>
      <c r="R766" s="7">
        <f>IF($B766="","",Q766*W766/100)</f>
        <v/>
      </c>
      <c r="S766" s="7">
        <f>IF($B766="","",Q766-R766)</f>
        <v/>
      </c>
      <c r="T766" s="7">
        <f>IF($B766="","",S766-J766)</f>
        <v/>
      </c>
      <c r="W766">
        <f>IF($B766="","",IF($AI766=1,0,IF($AH766=1,Settings!$C$6,Settings!$C$7))*100)</f>
        <v/>
      </c>
      <c r="AA766" s="7" t="n"/>
      <c r="AD766" s="11" t="n"/>
      <c r="AF766">
        <f>IF($B766="","",IF(COUNTIF($B$2:$B766,$B766)=1,1,0))</f>
        <v/>
      </c>
      <c r="AG766">
        <f>IF($AF766=1,SUMPRODUCT(--($AJ$2:$AJ$1501&lt;$AJ766))+1,"")</f>
        <v/>
      </c>
      <c r="AH766">
        <f>IF($B766="","",IF(OR($M766=TRUE(),$M766="TRUE"),1,0))</f>
        <v/>
      </c>
      <c r="AI766">
        <f>IF($B766="","",IF($V766="Yes",1,0))</f>
        <v/>
      </c>
      <c r="AJ766">
        <f>IF($AF766=1,IFERROR(IF(VALUE($B766)&lt;100000000,VALUE($B766),1000000000),IFERROR(IF(VALUE(MID($B766,2,20))&lt;100000000,VALUE(MID($B766,2,20)),1000000000),1000000000))+ROW()/100000,"")</f>
        <v/>
      </c>
    </row>
    <row r="767">
      <c r="C767" s="11" t="n"/>
      <c r="J767" s="7">
        <f>IF($B767="","",I767*Q767/100)</f>
        <v/>
      </c>
      <c r="P767" s="7" t="n"/>
      <c r="Q767" s="7" t="n"/>
      <c r="R767" s="7">
        <f>IF($B767="","",Q767*W767/100)</f>
        <v/>
      </c>
      <c r="S767" s="7">
        <f>IF($B767="","",Q767-R767)</f>
        <v/>
      </c>
      <c r="T767" s="7">
        <f>IF($B767="","",S767-J767)</f>
        <v/>
      </c>
      <c r="W767">
        <f>IF($B767="","",IF($AI767=1,0,IF($AH767=1,Settings!$C$6,Settings!$C$7))*100)</f>
        <v/>
      </c>
      <c r="AA767" s="7" t="n"/>
      <c r="AD767" s="11" t="n"/>
      <c r="AF767">
        <f>IF($B767="","",IF(COUNTIF($B$2:$B767,$B767)=1,1,0))</f>
        <v/>
      </c>
      <c r="AG767">
        <f>IF($AF767=1,SUMPRODUCT(--($AJ$2:$AJ$1501&lt;$AJ767))+1,"")</f>
        <v/>
      </c>
      <c r="AH767">
        <f>IF($B767="","",IF(OR($M767=TRUE(),$M767="TRUE"),1,0))</f>
        <v/>
      </c>
      <c r="AI767">
        <f>IF($B767="","",IF($V767="Yes",1,0))</f>
        <v/>
      </c>
      <c r="AJ767">
        <f>IF($AF767=1,IFERROR(IF(VALUE($B767)&lt;100000000,VALUE($B767),1000000000),IFERROR(IF(VALUE(MID($B767,2,20))&lt;100000000,VALUE(MID($B767,2,20)),1000000000),1000000000))+ROW()/100000,"")</f>
        <v/>
      </c>
    </row>
    <row r="768">
      <c r="C768" s="11" t="n"/>
      <c r="J768" s="7">
        <f>IF($B768="","",I768*Q768/100)</f>
        <v/>
      </c>
      <c r="P768" s="7" t="n"/>
      <c r="Q768" s="7" t="n"/>
      <c r="R768" s="7">
        <f>IF($B768="","",Q768*W768/100)</f>
        <v/>
      </c>
      <c r="S768" s="7">
        <f>IF($B768="","",Q768-R768)</f>
        <v/>
      </c>
      <c r="T768" s="7">
        <f>IF($B768="","",S768-J768)</f>
        <v/>
      </c>
      <c r="W768">
        <f>IF($B768="","",IF($AI768=1,0,IF($AH768=1,Settings!$C$6,Settings!$C$7))*100)</f>
        <v/>
      </c>
      <c r="AA768" s="7" t="n"/>
      <c r="AD768" s="11" t="n"/>
      <c r="AF768">
        <f>IF($B768="","",IF(COUNTIF($B$2:$B768,$B768)=1,1,0))</f>
        <v/>
      </c>
      <c r="AG768">
        <f>IF($AF768=1,SUMPRODUCT(--($AJ$2:$AJ$1501&lt;$AJ768))+1,"")</f>
        <v/>
      </c>
      <c r="AH768">
        <f>IF($B768="","",IF(OR($M768=TRUE(),$M768="TRUE"),1,0))</f>
        <v/>
      </c>
      <c r="AI768">
        <f>IF($B768="","",IF($V768="Yes",1,0))</f>
        <v/>
      </c>
      <c r="AJ768">
        <f>IF($AF768=1,IFERROR(IF(VALUE($B768)&lt;100000000,VALUE($B768),1000000000),IFERROR(IF(VALUE(MID($B768,2,20))&lt;100000000,VALUE(MID($B768,2,20)),1000000000),1000000000))+ROW()/100000,"")</f>
        <v/>
      </c>
    </row>
    <row r="769">
      <c r="C769" s="11" t="n"/>
      <c r="J769" s="7">
        <f>IF($B769="","",I769*Q769/100)</f>
        <v/>
      </c>
      <c r="P769" s="7" t="n"/>
      <c r="Q769" s="7" t="n"/>
      <c r="R769" s="7">
        <f>IF($B769="","",Q769*W769/100)</f>
        <v/>
      </c>
      <c r="S769" s="7">
        <f>IF($B769="","",Q769-R769)</f>
        <v/>
      </c>
      <c r="T769" s="7">
        <f>IF($B769="","",S769-J769)</f>
        <v/>
      </c>
      <c r="W769">
        <f>IF($B769="","",IF($AI769=1,0,IF($AH769=1,Settings!$C$6,Settings!$C$7))*100)</f>
        <v/>
      </c>
      <c r="AA769" s="7" t="n"/>
      <c r="AD769" s="11" t="n"/>
      <c r="AF769">
        <f>IF($B769="","",IF(COUNTIF($B$2:$B769,$B769)=1,1,0))</f>
        <v/>
      </c>
      <c r="AG769">
        <f>IF($AF769=1,SUMPRODUCT(--($AJ$2:$AJ$1501&lt;$AJ769))+1,"")</f>
        <v/>
      </c>
      <c r="AH769">
        <f>IF($B769="","",IF(OR($M769=TRUE(),$M769="TRUE"),1,0))</f>
        <v/>
      </c>
      <c r="AI769">
        <f>IF($B769="","",IF($V769="Yes",1,0))</f>
        <v/>
      </c>
      <c r="AJ769">
        <f>IF($AF769=1,IFERROR(IF(VALUE($B769)&lt;100000000,VALUE($B769),1000000000),IFERROR(IF(VALUE(MID($B769,2,20))&lt;100000000,VALUE(MID($B769,2,20)),1000000000),1000000000))+ROW()/100000,"")</f>
        <v/>
      </c>
    </row>
    <row r="770">
      <c r="C770" s="11" t="n"/>
      <c r="J770" s="7">
        <f>IF($B770="","",I770*Q770/100)</f>
        <v/>
      </c>
      <c r="P770" s="7" t="n"/>
      <c r="Q770" s="7" t="n"/>
      <c r="R770" s="7">
        <f>IF($B770="","",Q770*W770/100)</f>
        <v/>
      </c>
      <c r="S770" s="7">
        <f>IF($B770="","",Q770-R770)</f>
        <v/>
      </c>
      <c r="T770" s="7">
        <f>IF($B770="","",S770-J770)</f>
        <v/>
      </c>
      <c r="W770">
        <f>IF($B770="","",IF($AI770=1,0,IF($AH770=1,Settings!$C$6,Settings!$C$7))*100)</f>
        <v/>
      </c>
      <c r="AA770" s="7" t="n"/>
      <c r="AD770" s="11" t="n"/>
      <c r="AF770">
        <f>IF($B770="","",IF(COUNTIF($B$2:$B770,$B770)=1,1,0))</f>
        <v/>
      </c>
      <c r="AG770">
        <f>IF($AF770=1,SUMPRODUCT(--($AJ$2:$AJ$1501&lt;$AJ770))+1,"")</f>
        <v/>
      </c>
      <c r="AH770">
        <f>IF($B770="","",IF(OR($M770=TRUE(),$M770="TRUE"),1,0))</f>
        <v/>
      </c>
      <c r="AI770">
        <f>IF($B770="","",IF($V770="Yes",1,0))</f>
        <v/>
      </c>
      <c r="AJ770">
        <f>IF($AF770=1,IFERROR(IF(VALUE($B770)&lt;100000000,VALUE($B770),1000000000),IFERROR(IF(VALUE(MID($B770,2,20))&lt;100000000,VALUE(MID($B770,2,20)),1000000000),1000000000))+ROW()/100000,"")</f>
        <v/>
      </c>
    </row>
    <row r="771">
      <c r="C771" s="11" t="n"/>
      <c r="J771" s="7">
        <f>IF($B771="","",I771*Q771/100)</f>
        <v/>
      </c>
      <c r="P771" s="7" t="n"/>
      <c r="Q771" s="7" t="n"/>
      <c r="R771" s="7">
        <f>IF($B771="","",Q771*W771/100)</f>
        <v/>
      </c>
      <c r="S771" s="7">
        <f>IF($B771="","",Q771-R771)</f>
        <v/>
      </c>
      <c r="T771" s="7">
        <f>IF($B771="","",S771-J771)</f>
        <v/>
      </c>
      <c r="W771">
        <f>IF($B771="","",IF($AI771=1,0,IF($AH771=1,Settings!$C$6,Settings!$C$7))*100)</f>
        <v/>
      </c>
      <c r="AA771" s="7" t="n"/>
      <c r="AD771" s="11" t="n"/>
      <c r="AF771">
        <f>IF($B771="","",IF(COUNTIF($B$2:$B771,$B771)=1,1,0))</f>
        <v/>
      </c>
      <c r="AG771">
        <f>IF($AF771=1,SUMPRODUCT(--($AJ$2:$AJ$1501&lt;$AJ771))+1,"")</f>
        <v/>
      </c>
      <c r="AH771">
        <f>IF($B771="","",IF(OR($M771=TRUE(),$M771="TRUE"),1,0))</f>
        <v/>
      </c>
      <c r="AI771">
        <f>IF($B771="","",IF($V771="Yes",1,0))</f>
        <v/>
      </c>
      <c r="AJ771">
        <f>IF($AF771=1,IFERROR(IF(VALUE($B771)&lt;100000000,VALUE($B771),1000000000),IFERROR(IF(VALUE(MID($B771,2,20))&lt;100000000,VALUE(MID($B771,2,20)),1000000000),1000000000))+ROW()/100000,"")</f>
        <v/>
      </c>
    </row>
    <row r="772">
      <c r="C772" s="11" t="n"/>
      <c r="J772" s="7">
        <f>IF($B772="","",I772*Q772/100)</f>
        <v/>
      </c>
      <c r="P772" s="7" t="n"/>
      <c r="Q772" s="7" t="n"/>
      <c r="R772" s="7">
        <f>IF($B772="","",Q772*W772/100)</f>
        <v/>
      </c>
      <c r="S772" s="7">
        <f>IF($B772="","",Q772-R772)</f>
        <v/>
      </c>
      <c r="T772" s="7">
        <f>IF($B772="","",S772-J772)</f>
        <v/>
      </c>
      <c r="W772">
        <f>IF($B772="","",IF($AI772=1,0,IF($AH772=1,Settings!$C$6,Settings!$C$7))*100)</f>
        <v/>
      </c>
      <c r="AA772" s="7" t="n"/>
      <c r="AD772" s="11" t="n"/>
      <c r="AF772">
        <f>IF($B772="","",IF(COUNTIF($B$2:$B772,$B772)=1,1,0))</f>
        <v/>
      </c>
      <c r="AG772">
        <f>IF($AF772=1,SUMPRODUCT(--($AJ$2:$AJ$1501&lt;$AJ772))+1,"")</f>
        <v/>
      </c>
      <c r="AH772">
        <f>IF($B772="","",IF(OR($M772=TRUE(),$M772="TRUE"),1,0))</f>
        <v/>
      </c>
      <c r="AI772">
        <f>IF($B772="","",IF($V772="Yes",1,0))</f>
        <v/>
      </c>
      <c r="AJ772">
        <f>IF($AF772=1,IFERROR(IF(VALUE($B772)&lt;100000000,VALUE($B772),1000000000),IFERROR(IF(VALUE(MID($B772,2,20))&lt;100000000,VALUE(MID($B772,2,20)),1000000000),1000000000))+ROW()/100000,"")</f>
        <v/>
      </c>
    </row>
    <row r="773">
      <c r="C773" s="11" t="n"/>
      <c r="J773" s="7">
        <f>IF($B773="","",I773*Q773/100)</f>
        <v/>
      </c>
      <c r="P773" s="7" t="n"/>
      <c r="Q773" s="7" t="n"/>
      <c r="R773" s="7">
        <f>IF($B773="","",Q773*W773/100)</f>
        <v/>
      </c>
      <c r="S773" s="7">
        <f>IF($B773="","",Q773-R773)</f>
        <v/>
      </c>
      <c r="T773" s="7">
        <f>IF($B773="","",S773-J773)</f>
        <v/>
      </c>
      <c r="W773">
        <f>IF($B773="","",IF($AI773=1,0,IF($AH773=1,Settings!$C$6,Settings!$C$7))*100)</f>
        <v/>
      </c>
      <c r="AA773" s="7" t="n"/>
      <c r="AD773" s="11" t="n"/>
      <c r="AF773">
        <f>IF($B773="","",IF(COUNTIF($B$2:$B773,$B773)=1,1,0))</f>
        <v/>
      </c>
      <c r="AG773">
        <f>IF($AF773=1,SUMPRODUCT(--($AJ$2:$AJ$1501&lt;$AJ773))+1,"")</f>
        <v/>
      </c>
      <c r="AH773">
        <f>IF($B773="","",IF(OR($M773=TRUE(),$M773="TRUE"),1,0))</f>
        <v/>
      </c>
      <c r="AI773">
        <f>IF($B773="","",IF($V773="Yes",1,0))</f>
        <v/>
      </c>
      <c r="AJ773">
        <f>IF($AF773=1,IFERROR(IF(VALUE($B773)&lt;100000000,VALUE($B773),1000000000),IFERROR(IF(VALUE(MID($B773,2,20))&lt;100000000,VALUE(MID($B773,2,20)),1000000000),1000000000))+ROW()/100000,"")</f>
        <v/>
      </c>
    </row>
    <row r="774">
      <c r="C774" s="11" t="n"/>
      <c r="J774" s="7">
        <f>IF($B774="","",I774*Q774/100)</f>
        <v/>
      </c>
      <c r="P774" s="7" t="n"/>
      <c r="Q774" s="7" t="n"/>
      <c r="R774" s="7">
        <f>IF($B774="","",Q774*W774/100)</f>
        <v/>
      </c>
      <c r="S774" s="7">
        <f>IF($B774="","",Q774-R774)</f>
        <v/>
      </c>
      <c r="T774" s="7">
        <f>IF($B774="","",S774-J774)</f>
        <v/>
      </c>
      <c r="W774">
        <f>IF($B774="","",IF($AI774=1,0,IF($AH774=1,Settings!$C$6,Settings!$C$7))*100)</f>
        <v/>
      </c>
      <c r="AA774" s="7" t="n"/>
      <c r="AD774" s="11" t="n"/>
      <c r="AF774">
        <f>IF($B774="","",IF(COUNTIF($B$2:$B774,$B774)=1,1,0))</f>
        <v/>
      </c>
      <c r="AG774">
        <f>IF($AF774=1,SUMPRODUCT(--($AJ$2:$AJ$1501&lt;$AJ774))+1,"")</f>
        <v/>
      </c>
      <c r="AH774">
        <f>IF($B774="","",IF(OR($M774=TRUE(),$M774="TRUE"),1,0))</f>
        <v/>
      </c>
      <c r="AI774">
        <f>IF($B774="","",IF($V774="Yes",1,0))</f>
        <v/>
      </c>
      <c r="AJ774">
        <f>IF($AF774=1,IFERROR(IF(VALUE($B774)&lt;100000000,VALUE($B774),1000000000),IFERROR(IF(VALUE(MID($B774,2,20))&lt;100000000,VALUE(MID($B774,2,20)),1000000000),1000000000))+ROW()/100000,"")</f>
        <v/>
      </c>
    </row>
    <row r="775">
      <c r="C775" s="11" t="n"/>
      <c r="J775" s="7">
        <f>IF($B775="","",I775*Q775/100)</f>
        <v/>
      </c>
      <c r="P775" s="7" t="n"/>
      <c r="Q775" s="7" t="n"/>
      <c r="R775" s="7">
        <f>IF($B775="","",Q775*W775/100)</f>
        <v/>
      </c>
      <c r="S775" s="7">
        <f>IF($B775="","",Q775-R775)</f>
        <v/>
      </c>
      <c r="T775" s="7">
        <f>IF($B775="","",S775-J775)</f>
        <v/>
      </c>
      <c r="W775">
        <f>IF($B775="","",IF($AI775=1,0,IF($AH775=1,Settings!$C$6,Settings!$C$7))*100)</f>
        <v/>
      </c>
      <c r="AA775" s="7" t="n"/>
      <c r="AD775" s="11" t="n"/>
      <c r="AF775">
        <f>IF($B775="","",IF(COUNTIF($B$2:$B775,$B775)=1,1,0))</f>
        <v/>
      </c>
      <c r="AG775">
        <f>IF($AF775=1,SUMPRODUCT(--($AJ$2:$AJ$1501&lt;$AJ775))+1,"")</f>
        <v/>
      </c>
      <c r="AH775">
        <f>IF($B775="","",IF(OR($M775=TRUE(),$M775="TRUE"),1,0))</f>
        <v/>
      </c>
      <c r="AI775">
        <f>IF($B775="","",IF($V775="Yes",1,0))</f>
        <v/>
      </c>
      <c r="AJ775">
        <f>IF($AF775=1,IFERROR(IF(VALUE($B775)&lt;100000000,VALUE($B775),1000000000),IFERROR(IF(VALUE(MID($B775,2,20))&lt;100000000,VALUE(MID($B775,2,20)),1000000000),1000000000))+ROW()/100000,"")</f>
        <v/>
      </c>
    </row>
    <row r="776">
      <c r="C776" s="11" t="n"/>
      <c r="J776" s="7">
        <f>IF($B776="","",I776*Q776/100)</f>
        <v/>
      </c>
      <c r="P776" s="7" t="n"/>
      <c r="Q776" s="7" t="n"/>
      <c r="R776" s="7">
        <f>IF($B776="","",Q776*W776/100)</f>
        <v/>
      </c>
      <c r="S776" s="7">
        <f>IF($B776="","",Q776-R776)</f>
        <v/>
      </c>
      <c r="T776" s="7">
        <f>IF($B776="","",S776-J776)</f>
        <v/>
      </c>
      <c r="W776">
        <f>IF($B776="","",IF($AI776=1,0,IF($AH776=1,Settings!$C$6,Settings!$C$7))*100)</f>
        <v/>
      </c>
      <c r="AA776" s="7" t="n"/>
      <c r="AD776" s="11" t="n"/>
      <c r="AF776">
        <f>IF($B776="","",IF(COUNTIF($B$2:$B776,$B776)=1,1,0))</f>
        <v/>
      </c>
      <c r="AG776">
        <f>IF($AF776=1,SUMPRODUCT(--($AJ$2:$AJ$1501&lt;$AJ776))+1,"")</f>
        <v/>
      </c>
      <c r="AH776">
        <f>IF($B776="","",IF(OR($M776=TRUE(),$M776="TRUE"),1,0))</f>
        <v/>
      </c>
      <c r="AI776">
        <f>IF($B776="","",IF($V776="Yes",1,0))</f>
        <v/>
      </c>
      <c r="AJ776">
        <f>IF($AF776=1,IFERROR(IF(VALUE($B776)&lt;100000000,VALUE($B776),1000000000),IFERROR(IF(VALUE(MID($B776,2,20))&lt;100000000,VALUE(MID($B776,2,20)),1000000000),1000000000))+ROW()/100000,"")</f>
        <v/>
      </c>
    </row>
    <row r="777">
      <c r="C777" s="11" t="n"/>
      <c r="J777" s="7">
        <f>IF($B777="","",I777*Q777/100)</f>
        <v/>
      </c>
      <c r="P777" s="7" t="n"/>
      <c r="Q777" s="7" t="n"/>
      <c r="R777" s="7">
        <f>IF($B777="","",Q777*W777/100)</f>
        <v/>
      </c>
      <c r="S777" s="7">
        <f>IF($B777="","",Q777-R777)</f>
        <v/>
      </c>
      <c r="T777" s="7">
        <f>IF($B777="","",S777-J777)</f>
        <v/>
      </c>
      <c r="W777">
        <f>IF($B777="","",IF($AI777=1,0,IF($AH777=1,Settings!$C$6,Settings!$C$7))*100)</f>
        <v/>
      </c>
      <c r="AA777" s="7" t="n"/>
      <c r="AD777" s="11" t="n"/>
      <c r="AF777">
        <f>IF($B777="","",IF(COUNTIF($B$2:$B777,$B777)=1,1,0))</f>
        <v/>
      </c>
      <c r="AG777">
        <f>IF($AF777=1,SUMPRODUCT(--($AJ$2:$AJ$1501&lt;$AJ777))+1,"")</f>
        <v/>
      </c>
      <c r="AH777">
        <f>IF($B777="","",IF(OR($M777=TRUE(),$M777="TRUE"),1,0))</f>
        <v/>
      </c>
      <c r="AI777">
        <f>IF($B777="","",IF($V777="Yes",1,0))</f>
        <v/>
      </c>
      <c r="AJ777">
        <f>IF($AF777=1,IFERROR(IF(VALUE($B777)&lt;100000000,VALUE($B777),1000000000),IFERROR(IF(VALUE(MID($B777,2,20))&lt;100000000,VALUE(MID($B777,2,20)),1000000000),1000000000))+ROW()/100000,"")</f>
        <v/>
      </c>
    </row>
    <row r="778">
      <c r="C778" s="11" t="n"/>
      <c r="J778" s="7">
        <f>IF($B778="","",I778*Q778/100)</f>
        <v/>
      </c>
      <c r="P778" s="7" t="n"/>
      <c r="Q778" s="7" t="n"/>
      <c r="R778" s="7">
        <f>IF($B778="","",Q778*W778/100)</f>
        <v/>
      </c>
      <c r="S778" s="7">
        <f>IF($B778="","",Q778-R778)</f>
        <v/>
      </c>
      <c r="T778" s="7">
        <f>IF($B778="","",S778-J778)</f>
        <v/>
      </c>
      <c r="W778">
        <f>IF($B778="","",IF($AI778=1,0,IF($AH778=1,Settings!$C$6,Settings!$C$7))*100)</f>
        <v/>
      </c>
      <c r="AA778" s="7" t="n"/>
      <c r="AD778" s="11" t="n"/>
      <c r="AF778">
        <f>IF($B778="","",IF(COUNTIF($B$2:$B778,$B778)=1,1,0))</f>
        <v/>
      </c>
      <c r="AG778">
        <f>IF($AF778=1,SUMPRODUCT(--($AJ$2:$AJ$1501&lt;$AJ778))+1,"")</f>
        <v/>
      </c>
      <c r="AH778">
        <f>IF($B778="","",IF(OR($M778=TRUE(),$M778="TRUE"),1,0))</f>
        <v/>
      </c>
      <c r="AI778">
        <f>IF($B778="","",IF($V778="Yes",1,0))</f>
        <v/>
      </c>
      <c r="AJ778">
        <f>IF($AF778=1,IFERROR(IF(VALUE($B778)&lt;100000000,VALUE($B778),1000000000),IFERROR(IF(VALUE(MID($B778,2,20))&lt;100000000,VALUE(MID($B778,2,20)),1000000000),1000000000))+ROW()/100000,"")</f>
        <v/>
      </c>
    </row>
    <row r="779">
      <c r="C779" s="11" t="n"/>
      <c r="J779" s="7">
        <f>IF($B779="","",I779*Q779/100)</f>
        <v/>
      </c>
      <c r="P779" s="7" t="n"/>
      <c r="Q779" s="7" t="n"/>
      <c r="R779" s="7">
        <f>IF($B779="","",Q779*W779/100)</f>
        <v/>
      </c>
      <c r="S779" s="7">
        <f>IF($B779="","",Q779-R779)</f>
        <v/>
      </c>
      <c r="T779" s="7">
        <f>IF($B779="","",S779-J779)</f>
        <v/>
      </c>
      <c r="W779">
        <f>IF($B779="","",IF($AI779=1,0,IF($AH779=1,Settings!$C$6,Settings!$C$7))*100)</f>
        <v/>
      </c>
      <c r="AA779" s="7" t="n"/>
      <c r="AD779" s="11" t="n"/>
      <c r="AF779">
        <f>IF($B779="","",IF(COUNTIF($B$2:$B779,$B779)=1,1,0))</f>
        <v/>
      </c>
      <c r="AG779">
        <f>IF($AF779=1,SUMPRODUCT(--($AJ$2:$AJ$1501&lt;$AJ779))+1,"")</f>
        <v/>
      </c>
      <c r="AH779">
        <f>IF($B779="","",IF(OR($M779=TRUE(),$M779="TRUE"),1,0))</f>
        <v/>
      </c>
      <c r="AI779">
        <f>IF($B779="","",IF($V779="Yes",1,0))</f>
        <v/>
      </c>
      <c r="AJ779">
        <f>IF($AF779=1,IFERROR(IF(VALUE($B779)&lt;100000000,VALUE($B779),1000000000),IFERROR(IF(VALUE(MID($B779,2,20))&lt;100000000,VALUE(MID($B779,2,20)),1000000000),1000000000))+ROW()/100000,"")</f>
        <v/>
      </c>
    </row>
    <row r="780">
      <c r="C780" s="11" t="n"/>
      <c r="J780" s="7">
        <f>IF($B780="","",I780*Q780/100)</f>
        <v/>
      </c>
      <c r="P780" s="7" t="n"/>
      <c r="Q780" s="7" t="n"/>
      <c r="R780" s="7">
        <f>IF($B780="","",Q780*W780/100)</f>
        <v/>
      </c>
      <c r="S780" s="7">
        <f>IF($B780="","",Q780-R780)</f>
        <v/>
      </c>
      <c r="T780" s="7">
        <f>IF($B780="","",S780-J780)</f>
        <v/>
      </c>
      <c r="W780">
        <f>IF($B780="","",IF($AI780=1,0,IF($AH780=1,Settings!$C$6,Settings!$C$7))*100)</f>
        <v/>
      </c>
      <c r="AA780" s="7" t="n"/>
      <c r="AD780" s="11" t="n"/>
      <c r="AF780">
        <f>IF($B780="","",IF(COUNTIF($B$2:$B780,$B780)=1,1,0))</f>
        <v/>
      </c>
      <c r="AG780">
        <f>IF($AF780=1,SUMPRODUCT(--($AJ$2:$AJ$1501&lt;$AJ780))+1,"")</f>
        <v/>
      </c>
      <c r="AH780">
        <f>IF($B780="","",IF(OR($M780=TRUE(),$M780="TRUE"),1,0))</f>
        <v/>
      </c>
      <c r="AI780">
        <f>IF($B780="","",IF($V780="Yes",1,0))</f>
        <v/>
      </c>
      <c r="AJ780">
        <f>IF($AF780=1,IFERROR(IF(VALUE($B780)&lt;100000000,VALUE($B780),1000000000),IFERROR(IF(VALUE(MID($B780,2,20))&lt;100000000,VALUE(MID($B780,2,20)),1000000000),1000000000))+ROW()/100000,"")</f>
        <v/>
      </c>
    </row>
    <row r="781">
      <c r="C781" s="11" t="n"/>
      <c r="J781" s="7">
        <f>IF($B781="","",I781*Q781/100)</f>
        <v/>
      </c>
      <c r="P781" s="7" t="n"/>
      <c r="Q781" s="7" t="n"/>
      <c r="R781" s="7">
        <f>IF($B781="","",Q781*W781/100)</f>
        <v/>
      </c>
      <c r="S781" s="7">
        <f>IF($B781="","",Q781-R781)</f>
        <v/>
      </c>
      <c r="T781" s="7">
        <f>IF($B781="","",S781-J781)</f>
        <v/>
      </c>
      <c r="W781">
        <f>IF($B781="","",IF($AI781=1,0,IF($AH781=1,Settings!$C$6,Settings!$C$7))*100)</f>
        <v/>
      </c>
      <c r="AA781" s="7" t="n"/>
      <c r="AD781" s="11" t="n"/>
      <c r="AF781">
        <f>IF($B781="","",IF(COUNTIF($B$2:$B781,$B781)=1,1,0))</f>
        <v/>
      </c>
      <c r="AG781">
        <f>IF($AF781=1,SUMPRODUCT(--($AJ$2:$AJ$1501&lt;$AJ781))+1,"")</f>
        <v/>
      </c>
      <c r="AH781">
        <f>IF($B781="","",IF(OR($M781=TRUE(),$M781="TRUE"),1,0))</f>
        <v/>
      </c>
      <c r="AI781">
        <f>IF($B781="","",IF($V781="Yes",1,0))</f>
        <v/>
      </c>
      <c r="AJ781">
        <f>IF($AF781=1,IFERROR(IF(VALUE($B781)&lt;100000000,VALUE($B781),1000000000),IFERROR(IF(VALUE(MID($B781,2,20))&lt;100000000,VALUE(MID($B781,2,20)),1000000000),1000000000))+ROW()/100000,"")</f>
        <v/>
      </c>
    </row>
    <row r="782">
      <c r="C782" s="11" t="n"/>
      <c r="J782" s="7">
        <f>IF($B782="","",I782*Q782/100)</f>
        <v/>
      </c>
      <c r="P782" s="7" t="n"/>
      <c r="Q782" s="7" t="n"/>
      <c r="R782" s="7">
        <f>IF($B782="","",Q782*W782/100)</f>
        <v/>
      </c>
      <c r="S782" s="7">
        <f>IF($B782="","",Q782-R782)</f>
        <v/>
      </c>
      <c r="T782" s="7">
        <f>IF($B782="","",S782-J782)</f>
        <v/>
      </c>
      <c r="W782">
        <f>IF($B782="","",IF($AI782=1,0,IF($AH782=1,Settings!$C$6,Settings!$C$7))*100)</f>
        <v/>
      </c>
      <c r="AA782" s="7" t="n"/>
      <c r="AD782" s="11" t="n"/>
      <c r="AF782">
        <f>IF($B782="","",IF(COUNTIF($B$2:$B782,$B782)=1,1,0))</f>
        <v/>
      </c>
      <c r="AG782">
        <f>IF($AF782=1,SUMPRODUCT(--($AJ$2:$AJ$1501&lt;$AJ782))+1,"")</f>
        <v/>
      </c>
      <c r="AH782">
        <f>IF($B782="","",IF(OR($M782=TRUE(),$M782="TRUE"),1,0))</f>
        <v/>
      </c>
      <c r="AI782">
        <f>IF($B782="","",IF($V782="Yes",1,0))</f>
        <v/>
      </c>
      <c r="AJ782">
        <f>IF($AF782=1,IFERROR(IF(VALUE($B782)&lt;100000000,VALUE($B782),1000000000),IFERROR(IF(VALUE(MID($B782,2,20))&lt;100000000,VALUE(MID($B782,2,20)),1000000000),1000000000))+ROW()/100000,"")</f>
        <v/>
      </c>
    </row>
    <row r="783">
      <c r="C783" s="11" t="n"/>
      <c r="J783" s="7">
        <f>IF($B783="","",I783*Q783/100)</f>
        <v/>
      </c>
      <c r="P783" s="7" t="n"/>
      <c r="Q783" s="7" t="n"/>
      <c r="R783" s="7">
        <f>IF($B783="","",Q783*W783/100)</f>
        <v/>
      </c>
      <c r="S783" s="7">
        <f>IF($B783="","",Q783-R783)</f>
        <v/>
      </c>
      <c r="T783" s="7">
        <f>IF($B783="","",S783-J783)</f>
        <v/>
      </c>
      <c r="W783">
        <f>IF($B783="","",IF($AI783=1,0,IF($AH783=1,Settings!$C$6,Settings!$C$7))*100)</f>
        <v/>
      </c>
      <c r="AA783" s="7" t="n"/>
      <c r="AD783" s="11" t="n"/>
      <c r="AF783">
        <f>IF($B783="","",IF(COUNTIF($B$2:$B783,$B783)=1,1,0))</f>
        <v/>
      </c>
      <c r="AG783">
        <f>IF($AF783=1,SUMPRODUCT(--($AJ$2:$AJ$1501&lt;$AJ783))+1,"")</f>
        <v/>
      </c>
      <c r="AH783">
        <f>IF($B783="","",IF(OR($M783=TRUE(),$M783="TRUE"),1,0))</f>
        <v/>
      </c>
      <c r="AI783">
        <f>IF($B783="","",IF($V783="Yes",1,0))</f>
        <v/>
      </c>
      <c r="AJ783">
        <f>IF($AF783=1,IFERROR(IF(VALUE($B783)&lt;100000000,VALUE($B783),1000000000),IFERROR(IF(VALUE(MID($B783,2,20))&lt;100000000,VALUE(MID($B783,2,20)),1000000000),1000000000))+ROW()/100000,"")</f>
        <v/>
      </c>
    </row>
    <row r="784">
      <c r="C784" s="11" t="n"/>
      <c r="J784" s="7">
        <f>IF($B784="","",I784*Q784/100)</f>
        <v/>
      </c>
      <c r="P784" s="7" t="n"/>
      <c r="Q784" s="7" t="n"/>
      <c r="R784" s="7">
        <f>IF($B784="","",Q784*W784/100)</f>
        <v/>
      </c>
      <c r="S784" s="7">
        <f>IF($B784="","",Q784-R784)</f>
        <v/>
      </c>
      <c r="T784" s="7">
        <f>IF($B784="","",S784-J784)</f>
        <v/>
      </c>
      <c r="W784">
        <f>IF($B784="","",IF($AI784=1,0,IF($AH784=1,Settings!$C$6,Settings!$C$7))*100)</f>
        <v/>
      </c>
      <c r="AA784" s="7" t="n"/>
      <c r="AD784" s="11" t="n"/>
      <c r="AF784">
        <f>IF($B784="","",IF(COUNTIF($B$2:$B784,$B784)=1,1,0))</f>
        <v/>
      </c>
      <c r="AG784">
        <f>IF($AF784=1,SUMPRODUCT(--($AJ$2:$AJ$1501&lt;$AJ784))+1,"")</f>
        <v/>
      </c>
      <c r="AH784">
        <f>IF($B784="","",IF(OR($M784=TRUE(),$M784="TRUE"),1,0))</f>
        <v/>
      </c>
      <c r="AI784">
        <f>IF($B784="","",IF($V784="Yes",1,0))</f>
        <v/>
      </c>
      <c r="AJ784">
        <f>IF($AF784=1,IFERROR(IF(VALUE($B784)&lt;100000000,VALUE($B784),1000000000),IFERROR(IF(VALUE(MID($B784,2,20))&lt;100000000,VALUE(MID($B784,2,20)),1000000000),1000000000))+ROW()/100000,"")</f>
        <v/>
      </c>
    </row>
    <row r="785">
      <c r="C785" s="11" t="n"/>
      <c r="J785" s="7">
        <f>IF($B785="","",I785*Q785/100)</f>
        <v/>
      </c>
      <c r="P785" s="7" t="n"/>
      <c r="Q785" s="7" t="n"/>
      <c r="R785" s="7">
        <f>IF($B785="","",Q785*W785/100)</f>
        <v/>
      </c>
      <c r="S785" s="7">
        <f>IF($B785="","",Q785-R785)</f>
        <v/>
      </c>
      <c r="T785" s="7">
        <f>IF($B785="","",S785-J785)</f>
        <v/>
      </c>
      <c r="W785">
        <f>IF($B785="","",IF($AI785=1,0,IF($AH785=1,Settings!$C$6,Settings!$C$7))*100)</f>
        <v/>
      </c>
      <c r="AA785" s="7" t="n"/>
      <c r="AD785" s="11" t="n"/>
      <c r="AF785">
        <f>IF($B785="","",IF(COUNTIF($B$2:$B785,$B785)=1,1,0))</f>
        <v/>
      </c>
      <c r="AG785">
        <f>IF($AF785=1,SUMPRODUCT(--($AJ$2:$AJ$1501&lt;$AJ785))+1,"")</f>
        <v/>
      </c>
      <c r="AH785">
        <f>IF($B785="","",IF(OR($M785=TRUE(),$M785="TRUE"),1,0))</f>
        <v/>
      </c>
      <c r="AI785">
        <f>IF($B785="","",IF($V785="Yes",1,0))</f>
        <v/>
      </c>
      <c r="AJ785">
        <f>IF($AF785=1,IFERROR(IF(VALUE($B785)&lt;100000000,VALUE($B785),1000000000),IFERROR(IF(VALUE(MID($B785,2,20))&lt;100000000,VALUE(MID($B785,2,20)),1000000000),1000000000))+ROW()/100000,"")</f>
        <v/>
      </c>
    </row>
    <row r="786">
      <c r="C786" s="11" t="n"/>
      <c r="J786" s="7">
        <f>IF($B786="","",I786*Q786/100)</f>
        <v/>
      </c>
      <c r="P786" s="7" t="n"/>
      <c r="Q786" s="7" t="n"/>
      <c r="R786" s="7">
        <f>IF($B786="","",Q786*W786/100)</f>
        <v/>
      </c>
      <c r="S786" s="7">
        <f>IF($B786="","",Q786-R786)</f>
        <v/>
      </c>
      <c r="T786" s="7">
        <f>IF($B786="","",S786-J786)</f>
        <v/>
      </c>
      <c r="W786">
        <f>IF($B786="","",IF($AI786=1,0,IF($AH786=1,Settings!$C$6,Settings!$C$7))*100)</f>
        <v/>
      </c>
      <c r="AA786" s="7" t="n"/>
      <c r="AD786" s="11" t="n"/>
      <c r="AF786">
        <f>IF($B786="","",IF(COUNTIF($B$2:$B786,$B786)=1,1,0))</f>
        <v/>
      </c>
      <c r="AG786">
        <f>IF($AF786=1,SUMPRODUCT(--($AJ$2:$AJ$1501&lt;$AJ786))+1,"")</f>
        <v/>
      </c>
      <c r="AH786">
        <f>IF($B786="","",IF(OR($M786=TRUE(),$M786="TRUE"),1,0))</f>
        <v/>
      </c>
      <c r="AI786">
        <f>IF($B786="","",IF($V786="Yes",1,0))</f>
        <v/>
      </c>
      <c r="AJ786">
        <f>IF($AF786=1,IFERROR(IF(VALUE($B786)&lt;100000000,VALUE($B786),1000000000),IFERROR(IF(VALUE(MID($B786,2,20))&lt;100000000,VALUE(MID($B786,2,20)),1000000000),1000000000))+ROW()/100000,"")</f>
        <v/>
      </c>
    </row>
    <row r="787">
      <c r="C787" s="11" t="n"/>
      <c r="J787" s="7">
        <f>IF($B787="","",I787*Q787/100)</f>
        <v/>
      </c>
      <c r="P787" s="7" t="n"/>
      <c r="Q787" s="7" t="n"/>
      <c r="R787" s="7">
        <f>IF($B787="","",Q787*W787/100)</f>
        <v/>
      </c>
      <c r="S787" s="7">
        <f>IF($B787="","",Q787-R787)</f>
        <v/>
      </c>
      <c r="T787" s="7">
        <f>IF($B787="","",S787-J787)</f>
        <v/>
      </c>
      <c r="W787">
        <f>IF($B787="","",IF($AI787=1,0,IF($AH787=1,Settings!$C$6,Settings!$C$7))*100)</f>
        <v/>
      </c>
      <c r="AA787" s="7" t="n"/>
      <c r="AD787" s="11" t="n"/>
      <c r="AF787">
        <f>IF($B787="","",IF(COUNTIF($B$2:$B787,$B787)=1,1,0))</f>
        <v/>
      </c>
      <c r="AG787">
        <f>IF($AF787=1,SUMPRODUCT(--($AJ$2:$AJ$1501&lt;$AJ787))+1,"")</f>
        <v/>
      </c>
      <c r="AH787">
        <f>IF($B787="","",IF(OR($M787=TRUE(),$M787="TRUE"),1,0))</f>
        <v/>
      </c>
      <c r="AI787">
        <f>IF($B787="","",IF($V787="Yes",1,0))</f>
        <v/>
      </c>
      <c r="AJ787">
        <f>IF($AF787=1,IFERROR(IF(VALUE($B787)&lt;100000000,VALUE($B787),1000000000),IFERROR(IF(VALUE(MID($B787,2,20))&lt;100000000,VALUE(MID($B787,2,20)),1000000000),1000000000))+ROW()/100000,"")</f>
        <v/>
      </c>
    </row>
    <row r="788">
      <c r="C788" s="11" t="n"/>
      <c r="J788" s="7">
        <f>IF($B788="","",I788*Q788/100)</f>
        <v/>
      </c>
      <c r="P788" s="7" t="n"/>
      <c r="Q788" s="7" t="n"/>
      <c r="R788" s="7">
        <f>IF($B788="","",Q788*W788/100)</f>
        <v/>
      </c>
      <c r="S788" s="7">
        <f>IF($B788="","",Q788-R788)</f>
        <v/>
      </c>
      <c r="T788" s="7">
        <f>IF($B788="","",S788-J788)</f>
        <v/>
      </c>
      <c r="W788">
        <f>IF($B788="","",IF($AI788=1,0,IF($AH788=1,Settings!$C$6,Settings!$C$7))*100)</f>
        <v/>
      </c>
      <c r="AA788" s="7" t="n"/>
      <c r="AD788" s="11" t="n"/>
      <c r="AF788">
        <f>IF($B788="","",IF(COUNTIF($B$2:$B788,$B788)=1,1,0))</f>
        <v/>
      </c>
      <c r="AG788">
        <f>IF($AF788=1,SUMPRODUCT(--($AJ$2:$AJ$1501&lt;$AJ788))+1,"")</f>
        <v/>
      </c>
      <c r="AH788">
        <f>IF($B788="","",IF(OR($M788=TRUE(),$M788="TRUE"),1,0))</f>
        <v/>
      </c>
      <c r="AI788">
        <f>IF($B788="","",IF($V788="Yes",1,0))</f>
        <v/>
      </c>
      <c r="AJ788">
        <f>IF($AF788=1,IFERROR(IF(VALUE($B788)&lt;100000000,VALUE($B788),1000000000),IFERROR(IF(VALUE(MID($B788,2,20))&lt;100000000,VALUE(MID($B788,2,20)),1000000000),1000000000))+ROW()/100000,"")</f>
        <v/>
      </c>
    </row>
    <row r="789">
      <c r="C789" s="11" t="n"/>
      <c r="J789" s="7">
        <f>IF($B789="","",I789*Q789/100)</f>
        <v/>
      </c>
      <c r="P789" s="7" t="n"/>
      <c r="Q789" s="7" t="n"/>
      <c r="R789" s="7">
        <f>IF($B789="","",Q789*W789/100)</f>
        <v/>
      </c>
      <c r="S789" s="7">
        <f>IF($B789="","",Q789-R789)</f>
        <v/>
      </c>
      <c r="T789" s="7">
        <f>IF($B789="","",S789-J789)</f>
        <v/>
      </c>
      <c r="W789">
        <f>IF($B789="","",IF($AI789=1,0,IF($AH789=1,Settings!$C$6,Settings!$C$7))*100)</f>
        <v/>
      </c>
      <c r="AA789" s="7" t="n"/>
      <c r="AD789" s="11" t="n"/>
      <c r="AF789">
        <f>IF($B789="","",IF(COUNTIF($B$2:$B789,$B789)=1,1,0))</f>
        <v/>
      </c>
      <c r="AG789">
        <f>IF($AF789=1,SUMPRODUCT(--($AJ$2:$AJ$1501&lt;$AJ789))+1,"")</f>
        <v/>
      </c>
      <c r="AH789">
        <f>IF($B789="","",IF(OR($M789=TRUE(),$M789="TRUE"),1,0))</f>
        <v/>
      </c>
      <c r="AI789">
        <f>IF($B789="","",IF($V789="Yes",1,0))</f>
        <v/>
      </c>
      <c r="AJ789">
        <f>IF($AF789=1,IFERROR(IF(VALUE($B789)&lt;100000000,VALUE($B789),1000000000),IFERROR(IF(VALUE(MID($B789,2,20))&lt;100000000,VALUE(MID($B789,2,20)),1000000000),1000000000))+ROW()/100000,"")</f>
        <v/>
      </c>
    </row>
    <row r="790">
      <c r="C790" s="11" t="n"/>
      <c r="J790" s="7">
        <f>IF($B790="","",I790*Q790/100)</f>
        <v/>
      </c>
      <c r="P790" s="7" t="n"/>
      <c r="Q790" s="7" t="n"/>
      <c r="R790" s="7">
        <f>IF($B790="","",Q790*W790/100)</f>
        <v/>
      </c>
      <c r="S790" s="7">
        <f>IF($B790="","",Q790-R790)</f>
        <v/>
      </c>
      <c r="T790" s="7">
        <f>IF($B790="","",S790-J790)</f>
        <v/>
      </c>
      <c r="W790">
        <f>IF($B790="","",IF($AI790=1,0,IF($AH790=1,Settings!$C$6,Settings!$C$7))*100)</f>
        <v/>
      </c>
      <c r="AA790" s="7" t="n"/>
      <c r="AD790" s="11" t="n"/>
      <c r="AF790">
        <f>IF($B790="","",IF(COUNTIF($B$2:$B790,$B790)=1,1,0))</f>
        <v/>
      </c>
      <c r="AG790">
        <f>IF($AF790=1,SUMPRODUCT(--($AJ$2:$AJ$1501&lt;$AJ790))+1,"")</f>
        <v/>
      </c>
      <c r="AH790">
        <f>IF($B790="","",IF(OR($M790=TRUE(),$M790="TRUE"),1,0))</f>
        <v/>
      </c>
      <c r="AI790">
        <f>IF($B790="","",IF($V790="Yes",1,0))</f>
        <v/>
      </c>
      <c r="AJ790">
        <f>IF($AF790=1,IFERROR(IF(VALUE($B790)&lt;100000000,VALUE($B790),1000000000),IFERROR(IF(VALUE(MID($B790,2,20))&lt;100000000,VALUE(MID($B790,2,20)),1000000000),1000000000))+ROW()/100000,"")</f>
        <v/>
      </c>
    </row>
    <row r="791">
      <c r="C791" s="11" t="n"/>
      <c r="J791" s="7">
        <f>IF($B791="","",I791*Q791/100)</f>
        <v/>
      </c>
      <c r="P791" s="7" t="n"/>
      <c r="Q791" s="7" t="n"/>
      <c r="R791" s="7">
        <f>IF($B791="","",Q791*W791/100)</f>
        <v/>
      </c>
      <c r="S791" s="7">
        <f>IF($B791="","",Q791-R791)</f>
        <v/>
      </c>
      <c r="T791" s="7">
        <f>IF($B791="","",S791-J791)</f>
        <v/>
      </c>
      <c r="W791">
        <f>IF($B791="","",IF($AI791=1,0,IF($AH791=1,Settings!$C$6,Settings!$C$7))*100)</f>
        <v/>
      </c>
      <c r="AA791" s="7" t="n"/>
      <c r="AD791" s="11" t="n"/>
      <c r="AF791">
        <f>IF($B791="","",IF(COUNTIF($B$2:$B791,$B791)=1,1,0))</f>
        <v/>
      </c>
      <c r="AG791">
        <f>IF($AF791=1,SUMPRODUCT(--($AJ$2:$AJ$1501&lt;$AJ791))+1,"")</f>
        <v/>
      </c>
      <c r="AH791">
        <f>IF($B791="","",IF(OR($M791=TRUE(),$M791="TRUE"),1,0))</f>
        <v/>
      </c>
      <c r="AI791">
        <f>IF($B791="","",IF($V791="Yes",1,0))</f>
        <v/>
      </c>
      <c r="AJ791">
        <f>IF($AF791=1,IFERROR(IF(VALUE($B791)&lt;100000000,VALUE($B791),1000000000),IFERROR(IF(VALUE(MID($B791,2,20))&lt;100000000,VALUE(MID($B791,2,20)),1000000000),1000000000))+ROW()/100000,"")</f>
        <v/>
      </c>
    </row>
    <row r="792">
      <c r="C792" s="11" t="n"/>
      <c r="J792" s="7">
        <f>IF($B792="","",I792*Q792/100)</f>
        <v/>
      </c>
      <c r="P792" s="7" t="n"/>
      <c r="Q792" s="7" t="n"/>
      <c r="R792" s="7">
        <f>IF($B792="","",Q792*W792/100)</f>
        <v/>
      </c>
      <c r="S792" s="7">
        <f>IF($B792="","",Q792-R792)</f>
        <v/>
      </c>
      <c r="T792" s="7">
        <f>IF($B792="","",S792-J792)</f>
        <v/>
      </c>
      <c r="W792">
        <f>IF($B792="","",IF($AI792=1,0,IF($AH792=1,Settings!$C$6,Settings!$C$7))*100)</f>
        <v/>
      </c>
      <c r="AA792" s="7" t="n"/>
      <c r="AD792" s="11" t="n"/>
      <c r="AF792">
        <f>IF($B792="","",IF(COUNTIF($B$2:$B792,$B792)=1,1,0))</f>
        <v/>
      </c>
      <c r="AG792">
        <f>IF($AF792=1,SUMPRODUCT(--($AJ$2:$AJ$1501&lt;$AJ792))+1,"")</f>
        <v/>
      </c>
      <c r="AH792">
        <f>IF($B792="","",IF(OR($M792=TRUE(),$M792="TRUE"),1,0))</f>
        <v/>
      </c>
      <c r="AI792">
        <f>IF($B792="","",IF($V792="Yes",1,0))</f>
        <v/>
      </c>
      <c r="AJ792">
        <f>IF($AF792=1,IFERROR(IF(VALUE($B792)&lt;100000000,VALUE($B792),1000000000),IFERROR(IF(VALUE(MID($B792,2,20))&lt;100000000,VALUE(MID($B792,2,20)),1000000000),1000000000))+ROW()/100000,"")</f>
        <v/>
      </c>
    </row>
    <row r="793">
      <c r="C793" s="11" t="n"/>
      <c r="J793" s="7">
        <f>IF($B793="","",I793*Q793/100)</f>
        <v/>
      </c>
      <c r="P793" s="7" t="n"/>
      <c r="Q793" s="7" t="n"/>
      <c r="R793" s="7">
        <f>IF($B793="","",Q793*W793/100)</f>
        <v/>
      </c>
      <c r="S793" s="7">
        <f>IF($B793="","",Q793-R793)</f>
        <v/>
      </c>
      <c r="T793" s="7">
        <f>IF($B793="","",S793-J793)</f>
        <v/>
      </c>
      <c r="W793">
        <f>IF($B793="","",IF($AI793=1,0,IF($AH793=1,Settings!$C$6,Settings!$C$7))*100)</f>
        <v/>
      </c>
      <c r="AA793" s="7" t="n"/>
      <c r="AD793" s="11" t="n"/>
      <c r="AF793">
        <f>IF($B793="","",IF(COUNTIF($B$2:$B793,$B793)=1,1,0))</f>
        <v/>
      </c>
      <c r="AG793">
        <f>IF($AF793=1,SUMPRODUCT(--($AJ$2:$AJ$1501&lt;$AJ793))+1,"")</f>
        <v/>
      </c>
      <c r="AH793">
        <f>IF($B793="","",IF(OR($M793=TRUE(),$M793="TRUE"),1,0))</f>
        <v/>
      </c>
      <c r="AI793">
        <f>IF($B793="","",IF($V793="Yes",1,0))</f>
        <v/>
      </c>
      <c r="AJ793">
        <f>IF($AF793=1,IFERROR(IF(VALUE($B793)&lt;100000000,VALUE($B793),1000000000),IFERROR(IF(VALUE(MID($B793,2,20))&lt;100000000,VALUE(MID($B793,2,20)),1000000000),1000000000))+ROW()/100000,"")</f>
        <v/>
      </c>
    </row>
    <row r="794">
      <c r="C794" s="11" t="n"/>
      <c r="J794" s="7">
        <f>IF($B794="","",I794*Q794/100)</f>
        <v/>
      </c>
      <c r="P794" s="7" t="n"/>
      <c r="Q794" s="7" t="n"/>
      <c r="R794" s="7">
        <f>IF($B794="","",Q794*W794/100)</f>
        <v/>
      </c>
      <c r="S794" s="7">
        <f>IF($B794="","",Q794-R794)</f>
        <v/>
      </c>
      <c r="T794" s="7">
        <f>IF($B794="","",S794-J794)</f>
        <v/>
      </c>
      <c r="W794">
        <f>IF($B794="","",IF($AI794=1,0,IF($AH794=1,Settings!$C$6,Settings!$C$7))*100)</f>
        <v/>
      </c>
      <c r="AA794" s="7" t="n"/>
      <c r="AD794" s="11" t="n"/>
      <c r="AF794">
        <f>IF($B794="","",IF(COUNTIF($B$2:$B794,$B794)=1,1,0))</f>
        <v/>
      </c>
      <c r="AG794">
        <f>IF($AF794=1,SUMPRODUCT(--($AJ$2:$AJ$1501&lt;$AJ794))+1,"")</f>
        <v/>
      </c>
      <c r="AH794">
        <f>IF($B794="","",IF(OR($M794=TRUE(),$M794="TRUE"),1,0))</f>
        <v/>
      </c>
      <c r="AI794">
        <f>IF($B794="","",IF($V794="Yes",1,0))</f>
        <v/>
      </c>
      <c r="AJ794">
        <f>IF($AF794=1,IFERROR(IF(VALUE($B794)&lt;100000000,VALUE($B794),1000000000),IFERROR(IF(VALUE(MID($B794,2,20))&lt;100000000,VALUE(MID($B794,2,20)),1000000000),1000000000))+ROW()/100000,"")</f>
        <v/>
      </c>
    </row>
    <row r="795">
      <c r="C795" s="11" t="n"/>
      <c r="J795" s="7">
        <f>IF($B795="","",I795*Q795/100)</f>
        <v/>
      </c>
      <c r="P795" s="7" t="n"/>
      <c r="Q795" s="7" t="n"/>
      <c r="R795" s="7">
        <f>IF($B795="","",Q795*W795/100)</f>
        <v/>
      </c>
      <c r="S795" s="7">
        <f>IF($B795="","",Q795-R795)</f>
        <v/>
      </c>
      <c r="T795" s="7">
        <f>IF($B795="","",S795-J795)</f>
        <v/>
      </c>
      <c r="W795">
        <f>IF($B795="","",IF($AI795=1,0,IF($AH795=1,Settings!$C$6,Settings!$C$7))*100)</f>
        <v/>
      </c>
      <c r="AA795" s="7" t="n"/>
      <c r="AD795" s="11" t="n"/>
      <c r="AF795">
        <f>IF($B795="","",IF(COUNTIF($B$2:$B795,$B795)=1,1,0))</f>
        <v/>
      </c>
      <c r="AG795">
        <f>IF($AF795=1,SUMPRODUCT(--($AJ$2:$AJ$1501&lt;$AJ795))+1,"")</f>
        <v/>
      </c>
      <c r="AH795">
        <f>IF($B795="","",IF(OR($M795=TRUE(),$M795="TRUE"),1,0))</f>
        <v/>
      </c>
      <c r="AI795">
        <f>IF($B795="","",IF($V795="Yes",1,0))</f>
        <v/>
      </c>
      <c r="AJ795">
        <f>IF($AF795=1,IFERROR(IF(VALUE($B795)&lt;100000000,VALUE($B795),1000000000),IFERROR(IF(VALUE(MID($B795,2,20))&lt;100000000,VALUE(MID($B795,2,20)),1000000000),1000000000))+ROW()/100000,"")</f>
        <v/>
      </c>
    </row>
    <row r="796">
      <c r="C796" s="11" t="n"/>
      <c r="J796" s="7">
        <f>IF($B796="","",I796*Q796/100)</f>
        <v/>
      </c>
      <c r="P796" s="7" t="n"/>
      <c r="Q796" s="7" t="n"/>
      <c r="R796" s="7">
        <f>IF($B796="","",Q796*W796/100)</f>
        <v/>
      </c>
      <c r="S796" s="7">
        <f>IF($B796="","",Q796-R796)</f>
        <v/>
      </c>
      <c r="T796" s="7">
        <f>IF($B796="","",S796-J796)</f>
        <v/>
      </c>
      <c r="W796">
        <f>IF($B796="","",IF($AI796=1,0,IF($AH796=1,Settings!$C$6,Settings!$C$7))*100)</f>
        <v/>
      </c>
      <c r="AA796" s="7" t="n"/>
      <c r="AD796" s="11" t="n"/>
      <c r="AF796">
        <f>IF($B796="","",IF(COUNTIF($B$2:$B796,$B796)=1,1,0))</f>
        <v/>
      </c>
      <c r="AG796">
        <f>IF($AF796=1,SUMPRODUCT(--($AJ$2:$AJ$1501&lt;$AJ796))+1,"")</f>
        <v/>
      </c>
      <c r="AH796">
        <f>IF($B796="","",IF(OR($M796=TRUE(),$M796="TRUE"),1,0))</f>
        <v/>
      </c>
      <c r="AI796">
        <f>IF($B796="","",IF($V796="Yes",1,0))</f>
        <v/>
      </c>
      <c r="AJ796">
        <f>IF($AF796=1,IFERROR(IF(VALUE($B796)&lt;100000000,VALUE($B796),1000000000),IFERROR(IF(VALUE(MID($B796,2,20))&lt;100000000,VALUE(MID($B796,2,20)),1000000000),1000000000))+ROW()/100000,"")</f>
        <v/>
      </c>
    </row>
    <row r="797">
      <c r="C797" s="11" t="n"/>
      <c r="J797" s="7">
        <f>IF($B797="","",I797*Q797/100)</f>
        <v/>
      </c>
      <c r="P797" s="7" t="n"/>
      <c r="Q797" s="7" t="n"/>
      <c r="R797" s="7">
        <f>IF($B797="","",Q797*W797/100)</f>
        <v/>
      </c>
      <c r="S797" s="7">
        <f>IF($B797="","",Q797-R797)</f>
        <v/>
      </c>
      <c r="T797" s="7">
        <f>IF($B797="","",S797-J797)</f>
        <v/>
      </c>
      <c r="W797">
        <f>IF($B797="","",IF($AI797=1,0,IF($AH797=1,Settings!$C$6,Settings!$C$7))*100)</f>
        <v/>
      </c>
      <c r="AA797" s="7" t="n"/>
      <c r="AD797" s="11" t="n"/>
      <c r="AF797">
        <f>IF($B797="","",IF(COUNTIF($B$2:$B797,$B797)=1,1,0))</f>
        <v/>
      </c>
      <c r="AG797">
        <f>IF($AF797=1,SUMPRODUCT(--($AJ$2:$AJ$1501&lt;$AJ797))+1,"")</f>
        <v/>
      </c>
      <c r="AH797">
        <f>IF($B797="","",IF(OR($M797=TRUE(),$M797="TRUE"),1,0))</f>
        <v/>
      </c>
      <c r="AI797">
        <f>IF($B797="","",IF($V797="Yes",1,0))</f>
        <v/>
      </c>
      <c r="AJ797">
        <f>IF($AF797=1,IFERROR(IF(VALUE($B797)&lt;100000000,VALUE($B797),1000000000),IFERROR(IF(VALUE(MID($B797,2,20))&lt;100000000,VALUE(MID($B797,2,20)),1000000000),1000000000))+ROW()/100000,"")</f>
        <v/>
      </c>
    </row>
    <row r="798">
      <c r="C798" s="11" t="n"/>
      <c r="J798" s="7">
        <f>IF($B798="","",I798*Q798/100)</f>
        <v/>
      </c>
      <c r="P798" s="7" t="n"/>
      <c r="Q798" s="7" t="n"/>
      <c r="R798" s="7">
        <f>IF($B798="","",Q798*W798/100)</f>
        <v/>
      </c>
      <c r="S798" s="7">
        <f>IF($B798="","",Q798-R798)</f>
        <v/>
      </c>
      <c r="T798" s="7">
        <f>IF($B798="","",S798-J798)</f>
        <v/>
      </c>
      <c r="W798">
        <f>IF($B798="","",IF($AI798=1,0,IF($AH798=1,Settings!$C$6,Settings!$C$7))*100)</f>
        <v/>
      </c>
      <c r="AA798" s="7" t="n"/>
      <c r="AD798" s="11" t="n"/>
      <c r="AF798">
        <f>IF($B798="","",IF(COUNTIF($B$2:$B798,$B798)=1,1,0))</f>
        <v/>
      </c>
      <c r="AG798">
        <f>IF($AF798=1,SUMPRODUCT(--($AJ$2:$AJ$1501&lt;$AJ798))+1,"")</f>
        <v/>
      </c>
      <c r="AH798">
        <f>IF($B798="","",IF(OR($M798=TRUE(),$M798="TRUE"),1,0))</f>
        <v/>
      </c>
      <c r="AI798">
        <f>IF($B798="","",IF($V798="Yes",1,0))</f>
        <v/>
      </c>
      <c r="AJ798">
        <f>IF($AF798=1,IFERROR(IF(VALUE($B798)&lt;100000000,VALUE($B798),1000000000),IFERROR(IF(VALUE(MID($B798,2,20))&lt;100000000,VALUE(MID($B798,2,20)),1000000000),1000000000))+ROW()/100000,"")</f>
        <v/>
      </c>
    </row>
    <row r="799">
      <c r="C799" s="11" t="n"/>
      <c r="J799" s="7">
        <f>IF($B799="","",I799*Q799/100)</f>
        <v/>
      </c>
      <c r="P799" s="7" t="n"/>
      <c r="Q799" s="7" t="n"/>
      <c r="R799" s="7">
        <f>IF($B799="","",Q799*W799/100)</f>
        <v/>
      </c>
      <c r="S799" s="7">
        <f>IF($B799="","",Q799-R799)</f>
        <v/>
      </c>
      <c r="T799" s="7">
        <f>IF($B799="","",S799-J799)</f>
        <v/>
      </c>
      <c r="W799">
        <f>IF($B799="","",IF($AI799=1,0,IF($AH799=1,Settings!$C$6,Settings!$C$7))*100)</f>
        <v/>
      </c>
      <c r="AA799" s="7" t="n"/>
      <c r="AD799" s="11" t="n"/>
      <c r="AF799">
        <f>IF($B799="","",IF(COUNTIF($B$2:$B799,$B799)=1,1,0))</f>
        <v/>
      </c>
      <c r="AG799">
        <f>IF($AF799=1,SUMPRODUCT(--($AJ$2:$AJ$1501&lt;$AJ799))+1,"")</f>
        <v/>
      </c>
      <c r="AH799">
        <f>IF($B799="","",IF(OR($M799=TRUE(),$M799="TRUE"),1,0))</f>
        <v/>
      </c>
      <c r="AI799">
        <f>IF($B799="","",IF($V799="Yes",1,0))</f>
        <v/>
      </c>
      <c r="AJ799">
        <f>IF($AF799=1,IFERROR(IF(VALUE($B799)&lt;100000000,VALUE($B799),1000000000),IFERROR(IF(VALUE(MID($B799,2,20))&lt;100000000,VALUE(MID($B799,2,20)),1000000000),1000000000))+ROW()/100000,"")</f>
        <v/>
      </c>
    </row>
    <row r="800">
      <c r="C800" s="11" t="n"/>
      <c r="J800" s="7">
        <f>IF($B800="","",I800*Q800/100)</f>
        <v/>
      </c>
      <c r="P800" s="7" t="n"/>
      <c r="Q800" s="7" t="n"/>
      <c r="R800" s="7">
        <f>IF($B800="","",Q800*W800/100)</f>
        <v/>
      </c>
      <c r="S800" s="7">
        <f>IF($B800="","",Q800-R800)</f>
        <v/>
      </c>
      <c r="T800" s="7">
        <f>IF($B800="","",S800-J800)</f>
        <v/>
      </c>
      <c r="W800">
        <f>IF($B800="","",IF($AI800=1,0,IF($AH800=1,Settings!$C$6,Settings!$C$7))*100)</f>
        <v/>
      </c>
      <c r="AA800" s="7" t="n"/>
      <c r="AD800" s="11" t="n"/>
      <c r="AF800">
        <f>IF($B800="","",IF(COUNTIF($B$2:$B800,$B800)=1,1,0))</f>
        <v/>
      </c>
      <c r="AG800">
        <f>IF($AF800=1,SUMPRODUCT(--($AJ$2:$AJ$1501&lt;$AJ800))+1,"")</f>
        <v/>
      </c>
      <c r="AH800">
        <f>IF($B800="","",IF(OR($M800=TRUE(),$M800="TRUE"),1,0))</f>
        <v/>
      </c>
      <c r="AI800">
        <f>IF($B800="","",IF($V800="Yes",1,0))</f>
        <v/>
      </c>
      <c r="AJ800">
        <f>IF($AF800=1,IFERROR(IF(VALUE($B800)&lt;100000000,VALUE($B800),1000000000),IFERROR(IF(VALUE(MID($B800,2,20))&lt;100000000,VALUE(MID($B800,2,20)),1000000000),1000000000))+ROW()/100000,"")</f>
        <v/>
      </c>
    </row>
    <row r="801">
      <c r="C801" s="11" t="n"/>
      <c r="J801" s="7">
        <f>IF($B801="","",I801*Q801/100)</f>
        <v/>
      </c>
      <c r="P801" s="7" t="n"/>
      <c r="Q801" s="7" t="n"/>
      <c r="R801" s="7">
        <f>IF($B801="","",Q801*W801/100)</f>
        <v/>
      </c>
      <c r="S801" s="7">
        <f>IF($B801="","",Q801-R801)</f>
        <v/>
      </c>
      <c r="T801" s="7">
        <f>IF($B801="","",S801-J801)</f>
        <v/>
      </c>
      <c r="W801">
        <f>IF($B801="","",IF($AI801=1,0,IF($AH801=1,Settings!$C$6,Settings!$C$7))*100)</f>
        <v/>
      </c>
      <c r="AA801" s="7" t="n"/>
      <c r="AD801" s="11" t="n"/>
      <c r="AF801">
        <f>IF($B801="","",IF(COUNTIF($B$2:$B801,$B801)=1,1,0))</f>
        <v/>
      </c>
      <c r="AG801">
        <f>IF($AF801=1,SUMPRODUCT(--($AJ$2:$AJ$1501&lt;$AJ801))+1,"")</f>
        <v/>
      </c>
      <c r="AH801">
        <f>IF($B801="","",IF(OR($M801=TRUE(),$M801="TRUE"),1,0))</f>
        <v/>
      </c>
      <c r="AI801">
        <f>IF($B801="","",IF($V801="Yes",1,0))</f>
        <v/>
      </c>
      <c r="AJ801">
        <f>IF($AF801=1,IFERROR(IF(VALUE($B801)&lt;100000000,VALUE($B801),1000000000),IFERROR(IF(VALUE(MID($B801,2,20))&lt;100000000,VALUE(MID($B801,2,20)),1000000000),1000000000))+ROW()/100000,"")</f>
        <v/>
      </c>
    </row>
    <row r="802">
      <c r="C802" s="11" t="n"/>
      <c r="J802" s="7">
        <f>IF($B802="","",I802*Q802/100)</f>
        <v/>
      </c>
      <c r="P802" s="7" t="n"/>
      <c r="Q802" s="7" t="n"/>
      <c r="R802" s="7">
        <f>IF($B802="","",Q802*W802/100)</f>
        <v/>
      </c>
      <c r="S802" s="7">
        <f>IF($B802="","",Q802-R802)</f>
        <v/>
      </c>
      <c r="T802" s="7">
        <f>IF($B802="","",S802-J802)</f>
        <v/>
      </c>
      <c r="W802">
        <f>IF($B802="","",IF($AI802=1,0,IF($AH802=1,Settings!$C$6,Settings!$C$7))*100)</f>
        <v/>
      </c>
      <c r="AA802" s="7" t="n"/>
      <c r="AD802" s="11" t="n"/>
      <c r="AF802">
        <f>IF($B802="","",IF(COUNTIF($B$2:$B802,$B802)=1,1,0))</f>
        <v/>
      </c>
      <c r="AG802">
        <f>IF($AF802=1,SUMPRODUCT(--($AJ$2:$AJ$1501&lt;$AJ802))+1,"")</f>
        <v/>
      </c>
      <c r="AH802">
        <f>IF($B802="","",IF(OR($M802=TRUE(),$M802="TRUE"),1,0))</f>
        <v/>
      </c>
      <c r="AI802">
        <f>IF($B802="","",IF($V802="Yes",1,0))</f>
        <v/>
      </c>
      <c r="AJ802">
        <f>IF($AF802=1,IFERROR(IF(VALUE($B802)&lt;100000000,VALUE($B802),1000000000),IFERROR(IF(VALUE(MID($B802,2,20))&lt;100000000,VALUE(MID($B802,2,20)),1000000000),1000000000))+ROW()/100000,"")</f>
        <v/>
      </c>
    </row>
    <row r="803">
      <c r="C803" s="11" t="n"/>
      <c r="J803" s="7">
        <f>IF($B803="","",I803*Q803/100)</f>
        <v/>
      </c>
      <c r="P803" s="7" t="n"/>
      <c r="Q803" s="7" t="n"/>
      <c r="R803" s="7">
        <f>IF($B803="","",Q803*W803/100)</f>
        <v/>
      </c>
      <c r="S803" s="7">
        <f>IF($B803="","",Q803-R803)</f>
        <v/>
      </c>
      <c r="T803" s="7">
        <f>IF($B803="","",S803-J803)</f>
        <v/>
      </c>
      <c r="W803">
        <f>IF($B803="","",IF($AI803=1,0,IF($AH803=1,Settings!$C$6,Settings!$C$7))*100)</f>
        <v/>
      </c>
      <c r="AA803" s="7" t="n"/>
      <c r="AD803" s="11" t="n"/>
      <c r="AF803">
        <f>IF($B803="","",IF(COUNTIF($B$2:$B803,$B803)=1,1,0))</f>
        <v/>
      </c>
      <c r="AG803">
        <f>IF($AF803=1,SUMPRODUCT(--($AJ$2:$AJ$1501&lt;$AJ803))+1,"")</f>
        <v/>
      </c>
      <c r="AH803">
        <f>IF($B803="","",IF(OR($M803=TRUE(),$M803="TRUE"),1,0))</f>
        <v/>
      </c>
      <c r="AI803">
        <f>IF($B803="","",IF($V803="Yes",1,0))</f>
        <v/>
      </c>
      <c r="AJ803">
        <f>IF($AF803=1,IFERROR(IF(VALUE($B803)&lt;100000000,VALUE($B803),1000000000),IFERROR(IF(VALUE(MID($B803,2,20))&lt;100000000,VALUE(MID($B803,2,20)),1000000000),1000000000))+ROW()/100000,"")</f>
        <v/>
      </c>
    </row>
    <row r="804">
      <c r="C804" s="11" t="n"/>
      <c r="J804" s="7">
        <f>IF($B804="","",I804*Q804/100)</f>
        <v/>
      </c>
      <c r="P804" s="7" t="n"/>
      <c r="Q804" s="7" t="n"/>
      <c r="R804" s="7">
        <f>IF($B804="","",Q804*W804/100)</f>
        <v/>
      </c>
      <c r="S804" s="7">
        <f>IF($B804="","",Q804-R804)</f>
        <v/>
      </c>
      <c r="T804" s="7">
        <f>IF($B804="","",S804-J804)</f>
        <v/>
      </c>
      <c r="W804">
        <f>IF($B804="","",IF($AI804=1,0,IF($AH804=1,Settings!$C$6,Settings!$C$7))*100)</f>
        <v/>
      </c>
      <c r="AA804" s="7" t="n"/>
      <c r="AD804" s="11" t="n"/>
      <c r="AF804">
        <f>IF($B804="","",IF(COUNTIF($B$2:$B804,$B804)=1,1,0))</f>
        <v/>
      </c>
      <c r="AG804">
        <f>IF($AF804=1,SUMPRODUCT(--($AJ$2:$AJ$1501&lt;$AJ804))+1,"")</f>
        <v/>
      </c>
      <c r="AH804">
        <f>IF($B804="","",IF(OR($M804=TRUE(),$M804="TRUE"),1,0))</f>
        <v/>
      </c>
      <c r="AI804">
        <f>IF($B804="","",IF($V804="Yes",1,0))</f>
        <v/>
      </c>
      <c r="AJ804">
        <f>IF($AF804=1,IFERROR(IF(VALUE($B804)&lt;100000000,VALUE($B804),1000000000),IFERROR(IF(VALUE(MID($B804,2,20))&lt;100000000,VALUE(MID($B804,2,20)),1000000000),1000000000))+ROW()/100000,"")</f>
        <v/>
      </c>
    </row>
    <row r="805">
      <c r="C805" s="11" t="n"/>
      <c r="J805" s="7">
        <f>IF($B805="","",I805*Q805/100)</f>
        <v/>
      </c>
      <c r="P805" s="7" t="n"/>
      <c r="Q805" s="7" t="n"/>
      <c r="R805" s="7">
        <f>IF($B805="","",Q805*W805/100)</f>
        <v/>
      </c>
      <c r="S805" s="7">
        <f>IF($B805="","",Q805-R805)</f>
        <v/>
      </c>
      <c r="T805" s="7">
        <f>IF($B805="","",S805-J805)</f>
        <v/>
      </c>
      <c r="W805">
        <f>IF($B805="","",IF($AI805=1,0,IF($AH805=1,Settings!$C$6,Settings!$C$7))*100)</f>
        <v/>
      </c>
      <c r="AA805" s="7" t="n"/>
      <c r="AD805" s="11" t="n"/>
      <c r="AF805">
        <f>IF($B805="","",IF(COUNTIF($B$2:$B805,$B805)=1,1,0))</f>
        <v/>
      </c>
      <c r="AG805">
        <f>IF($AF805=1,SUMPRODUCT(--($AJ$2:$AJ$1501&lt;$AJ805))+1,"")</f>
        <v/>
      </c>
      <c r="AH805">
        <f>IF($B805="","",IF(OR($M805=TRUE(),$M805="TRUE"),1,0))</f>
        <v/>
      </c>
      <c r="AI805">
        <f>IF($B805="","",IF($V805="Yes",1,0))</f>
        <v/>
      </c>
      <c r="AJ805">
        <f>IF($AF805=1,IFERROR(IF(VALUE($B805)&lt;100000000,VALUE($B805),1000000000),IFERROR(IF(VALUE(MID($B805,2,20))&lt;100000000,VALUE(MID($B805,2,20)),1000000000),1000000000))+ROW()/100000,"")</f>
        <v/>
      </c>
    </row>
    <row r="806">
      <c r="C806" s="11" t="n"/>
      <c r="J806" s="7">
        <f>IF($B806="","",I806*Q806/100)</f>
        <v/>
      </c>
      <c r="P806" s="7" t="n"/>
      <c r="Q806" s="7" t="n"/>
      <c r="R806" s="7">
        <f>IF($B806="","",Q806*W806/100)</f>
        <v/>
      </c>
      <c r="S806" s="7">
        <f>IF($B806="","",Q806-R806)</f>
        <v/>
      </c>
      <c r="T806" s="7">
        <f>IF($B806="","",S806-J806)</f>
        <v/>
      </c>
      <c r="W806">
        <f>IF($B806="","",IF($AI806=1,0,IF($AH806=1,Settings!$C$6,Settings!$C$7))*100)</f>
        <v/>
      </c>
      <c r="AA806" s="7" t="n"/>
      <c r="AD806" s="11" t="n"/>
      <c r="AF806">
        <f>IF($B806="","",IF(COUNTIF($B$2:$B806,$B806)=1,1,0))</f>
        <v/>
      </c>
      <c r="AG806">
        <f>IF($AF806=1,SUMPRODUCT(--($AJ$2:$AJ$1501&lt;$AJ806))+1,"")</f>
        <v/>
      </c>
      <c r="AH806">
        <f>IF($B806="","",IF(OR($M806=TRUE(),$M806="TRUE"),1,0))</f>
        <v/>
      </c>
      <c r="AI806">
        <f>IF($B806="","",IF($V806="Yes",1,0))</f>
        <v/>
      </c>
      <c r="AJ806">
        <f>IF($AF806=1,IFERROR(IF(VALUE($B806)&lt;100000000,VALUE($B806),1000000000),IFERROR(IF(VALUE(MID($B806,2,20))&lt;100000000,VALUE(MID($B806,2,20)),1000000000),1000000000))+ROW()/100000,"")</f>
        <v/>
      </c>
    </row>
    <row r="807">
      <c r="C807" s="11" t="n"/>
      <c r="J807" s="7">
        <f>IF($B807="","",I807*Q807/100)</f>
        <v/>
      </c>
      <c r="P807" s="7" t="n"/>
      <c r="Q807" s="7" t="n"/>
      <c r="R807" s="7">
        <f>IF($B807="","",Q807*W807/100)</f>
        <v/>
      </c>
      <c r="S807" s="7">
        <f>IF($B807="","",Q807-R807)</f>
        <v/>
      </c>
      <c r="T807" s="7">
        <f>IF($B807="","",S807-J807)</f>
        <v/>
      </c>
      <c r="W807">
        <f>IF($B807="","",IF($AI807=1,0,IF($AH807=1,Settings!$C$6,Settings!$C$7))*100)</f>
        <v/>
      </c>
      <c r="AA807" s="7" t="n"/>
      <c r="AD807" s="11" t="n"/>
      <c r="AF807">
        <f>IF($B807="","",IF(COUNTIF($B$2:$B807,$B807)=1,1,0))</f>
        <v/>
      </c>
      <c r="AG807">
        <f>IF($AF807=1,SUMPRODUCT(--($AJ$2:$AJ$1501&lt;$AJ807))+1,"")</f>
        <v/>
      </c>
      <c r="AH807">
        <f>IF($B807="","",IF(OR($M807=TRUE(),$M807="TRUE"),1,0))</f>
        <v/>
      </c>
      <c r="AI807">
        <f>IF($B807="","",IF($V807="Yes",1,0))</f>
        <v/>
      </c>
      <c r="AJ807">
        <f>IF($AF807=1,IFERROR(IF(VALUE($B807)&lt;100000000,VALUE($B807),1000000000),IFERROR(IF(VALUE(MID($B807,2,20))&lt;100000000,VALUE(MID($B807,2,20)),1000000000),1000000000))+ROW()/100000,"")</f>
        <v/>
      </c>
    </row>
    <row r="808">
      <c r="C808" s="11" t="n"/>
      <c r="J808" s="7">
        <f>IF($B808="","",I808*Q808/100)</f>
        <v/>
      </c>
      <c r="P808" s="7" t="n"/>
      <c r="Q808" s="7" t="n"/>
      <c r="R808" s="7">
        <f>IF($B808="","",Q808*W808/100)</f>
        <v/>
      </c>
      <c r="S808" s="7">
        <f>IF($B808="","",Q808-R808)</f>
        <v/>
      </c>
      <c r="T808" s="7">
        <f>IF($B808="","",S808-J808)</f>
        <v/>
      </c>
      <c r="W808">
        <f>IF($B808="","",IF($AI808=1,0,IF($AH808=1,Settings!$C$6,Settings!$C$7))*100)</f>
        <v/>
      </c>
      <c r="AA808" s="7" t="n"/>
      <c r="AD808" s="11" t="n"/>
      <c r="AF808">
        <f>IF($B808="","",IF(COUNTIF($B$2:$B808,$B808)=1,1,0))</f>
        <v/>
      </c>
      <c r="AG808">
        <f>IF($AF808=1,SUMPRODUCT(--($AJ$2:$AJ$1501&lt;$AJ808))+1,"")</f>
        <v/>
      </c>
      <c r="AH808">
        <f>IF($B808="","",IF(OR($M808=TRUE(),$M808="TRUE"),1,0))</f>
        <v/>
      </c>
      <c r="AI808">
        <f>IF($B808="","",IF($V808="Yes",1,0))</f>
        <v/>
      </c>
      <c r="AJ808">
        <f>IF($AF808=1,IFERROR(IF(VALUE($B808)&lt;100000000,VALUE($B808),1000000000),IFERROR(IF(VALUE(MID($B808,2,20))&lt;100000000,VALUE(MID($B808,2,20)),1000000000),1000000000))+ROW()/100000,"")</f>
        <v/>
      </c>
    </row>
    <row r="809">
      <c r="C809" s="11" t="n"/>
      <c r="J809" s="7">
        <f>IF($B809="","",I809*Q809/100)</f>
        <v/>
      </c>
      <c r="P809" s="7" t="n"/>
      <c r="Q809" s="7" t="n"/>
      <c r="R809" s="7">
        <f>IF($B809="","",Q809*W809/100)</f>
        <v/>
      </c>
      <c r="S809" s="7">
        <f>IF($B809="","",Q809-R809)</f>
        <v/>
      </c>
      <c r="T809" s="7">
        <f>IF($B809="","",S809-J809)</f>
        <v/>
      </c>
      <c r="W809">
        <f>IF($B809="","",IF($AI809=1,0,IF($AH809=1,Settings!$C$6,Settings!$C$7))*100)</f>
        <v/>
      </c>
      <c r="AA809" s="7" t="n"/>
      <c r="AD809" s="11" t="n"/>
      <c r="AF809">
        <f>IF($B809="","",IF(COUNTIF($B$2:$B809,$B809)=1,1,0))</f>
        <v/>
      </c>
      <c r="AG809">
        <f>IF($AF809=1,SUMPRODUCT(--($AJ$2:$AJ$1501&lt;$AJ809))+1,"")</f>
        <v/>
      </c>
      <c r="AH809">
        <f>IF($B809="","",IF(OR($M809=TRUE(),$M809="TRUE"),1,0))</f>
        <v/>
      </c>
      <c r="AI809">
        <f>IF($B809="","",IF($V809="Yes",1,0))</f>
        <v/>
      </c>
      <c r="AJ809">
        <f>IF($AF809=1,IFERROR(IF(VALUE($B809)&lt;100000000,VALUE($B809),1000000000),IFERROR(IF(VALUE(MID($B809,2,20))&lt;100000000,VALUE(MID($B809,2,20)),1000000000),1000000000))+ROW()/100000,"")</f>
        <v/>
      </c>
    </row>
    <row r="810">
      <c r="C810" s="11" t="n"/>
      <c r="J810" s="7">
        <f>IF($B810="","",I810*Q810/100)</f>
        <v/>
      </c>
      <c r="P810" s="7" t="n"/>
      <c r="Q810" s="7" t="n"/>
      <c r="R810" s="7">
        <f>IF($B810="","",Q810*W810/100)</f>
        <v/>
      </c>
      <c r="S810" s="7">
        <f>IF($B810="","",Q810-R810)</f>
        <v/>
      </c>
      <c r="T810" s="7">
        <f>IF($B810="","",S810-J810)</f>
        <v/>
      </c>
      <c r="W810">
        <f>IF($B810="","",IF($AI810=1,0,IF($AH810=1,Settings!$C$6,Settings!$C$7))*100)</f>
        <v/>
      </c>
      <c r="AA810" s="7" t="n"/>
      <c r="AD810" s="11" t="n"/>
      <c r="AF810">
        <f>IF($B810="","",IF(COUNTIF($B$2:$B810,$B810)=1,1,0))</f>
        <v/>
      </c>
      <c r="AG810">
        <f>IF($AF810=1,SUMPRODUCT(--($AJ$2:$AJ$1501&lt;$AJ810))+1,"")</f>
        <v/>
      </c>
      <c r="AH810">
        <f>IF($B810="","",IF(OR($M810=TRUE(),$M810="TRUE"),1,0))</f>
        <v/>
      </c>
      <c r="AI810">
        <f>IF($B810="","",IF($V810="Yes",1,0))</f>
        <v/>
      </c>
      <c r="AJ810">
        <f>IF($AF810=1,IFERROR(IF(VALUE($B810)&lt;100000000,VALUE($B810),1000000000),IFERROR(IF(VALUE(MID($B810,2,20))&lt;100000000,VALUE(MID($B810,2,20)),1000000000),1000000000))+ROW()/100000,"")</f>
        <v/>
      </c>
    </row>
    <row r="811">
      <c r="C811" s="11" t="n"/>
      <c r="J811" s="7">
        <f>IF($B811="","",I811*Q811/100)</f>
        <v/>
      </c>
      <c r="P811" s="7" t="n"/>
      <c r="Q811" s="7" t="n"/>
      <c r="R811" s="7">
        <f>IF($B811="","",Q811*W811/100)</f>
        <v/>
      </c>
      <c r="S811" s="7">
        <f>IF($B811="","",Q811-R811)</f>
        <v/>
      </c>
      <c r="T811" s="7">
        <f>IF($B811="","",S811-J811)</f>
        <v/>
      </c>
      <c r="W811">
        <f>IF($B811="","",IF($AI811=1,0,IF($AH811=1,Settings!$C$6,Settings!$C$7))*100)</f>
        <v/>
      </c>
      <c r="AA811" s="7" t="n"/>
      <c r="AD811" s="11" t="n"/>
      <c r="AF811">
        <f>IF($B811="","",IF(COUNTIF($B$2:$B811,$B811)=1,1,0))</f>
        <v/>
      </c>
      <c r="AG811">
        <f>IF($AF811=1,SUMPRODUCT(--($AJ$2:$AJ$1501&lt;$AJ811))+1,"")</f>
        <v/>
      </c>
      <c r="AH811">
        <f>IF($B811="","",IF(OR($M811=TRUE(),$M811="TRUE"),1,0))</f>
        <v/>
      </c>
      <c r="AI811">
        <f>IF($B811="","",IF($V811="Yes",1,0))</f>
        <v/>
      </c>
      <c r="AJ811">
        <f>IF($AF811=1,IFERROR(IF(VALUE($B811)&lt;100000000,VALUE($B811),1000000000),IFERROR(IF(VALUE(MID($B811,2,20))&lt;100000000,VALUE(MID($B811,2,20)),1000000000),1000000000))+ROW()/100000,"")</f>
        <v/>
      </c>
    </row>
    <row r="812">
      <c r="C812" s="11" t="n"/>
      <c r="J812" s="7">
        <f>IF($B812="","",I812*Q812/100)</f>
        <v/>
      </c>
      <c r="P812" s="7" t="n"/>
      <c r="Q812" s="7" t="n"/>
      <c r="R812" s="7">
        <f>IF($B812="","",Q812*W812/100)</f>
        <v/>
      </c>
      <c r="S812" s="7">
        <f>IF($B812="","",Q812-R812)</f>
        <v/>
      </c>
      <c r="T812" s="7">
        <f>IF($B812="","",S812-J812)</f>
        <v/>
      </c>
      <c r="W812">
        <f>IF($B812="","",IF($AI812=1,0,IF($AH812=1,Settings!$C$6,Settings!$C$7))*100)</f>
        <v/>
      </c>
      <c r="AA812" s="7" t="n"/>
      <c r="AD812" s="11" t="n"/>
      <c r="AF812">
        <f>IF($B812="","",IF(COUNTIF($B$2:$B812,$B812)=1,1,0))</f>
        <v/>
      </c>
      <c r="AG812">
        <f>IF($AF812=1,SUMPRODUCT(--($AJ$2:$AJ$1501&lt;$AJ812))+1,"")</f>
        <v/>
      </c>
      <c r="AH812">
        <f>IF($B812="","",IF(OR($M812=TRUE(),$M812="TRUE"),1,0))</f>
        <v/>
      </c>
      <c r="AI812">
        <f>IF($B812="","",IF($V812="Yes",1,0))</f>
        <v/>
      </c>
      <c r="AJ812">
        <f>IF($AF812=1,IFERROR(IF(VALUE($B812)&lt;100000000,VALUE($B812),1000000000),IFERROR(IF(VALUE(MID($B812,2,20))&lt;100000000,VALUE(MID($B812,2,20)),1000000000),1000000000))+ROW()/100000,"")</f>
        <v/>
      </c>
    </row>
    <row r="813">
      <c r="C813" s="11" t="n"/>
      <c r="J813" s="7">
        <f>IF($B813="","",I813*Q813/100)</f>
        <v/>
      </c>
      <c r="P813" s="7" t="n"/>
      <c r="Q813" s="7" t="n"/>
      <c r="R813" s="7">
        <f>IF($B813="","",Q813*W813/100)</f>
        <v/>
      </c>
      <c r="S813" s="7">
        <f>IF($B813="","",Q813-R813)</f>
        <v/>
      </c>
      <c r="T813" s="7">
        <f>IF($B813="","",S813-J813)</f>
        <v/>
      </c>
      <c r="W813">
        <f>IF($B813="","",IF($AI813=1,0,IF($AH813=1,Settings!$C$6,Settings!$C$7))*100)</f>
        <v/>
      </c>
      <c r="AA813" s="7" t="n"/>
      <c r="AD813" s="11" t="n"/>
      <c r="AF813">
        <f>IF($B813="","",IF(COUNTIF($B$2:$B813,$B813)=1,1,0))</f>
        <v/>
      </c>
      <c r="AG813">
        <f>IF($AF813=1,SUMPRODUCT(--($AJ$2:$AJ$1501&lt;$AJ813))+1,"")</f>
        <v/>
      </c>
      <c r="AH813">
        <f>IF($B813="","",IF(OR($M813=TRUE(),$M813="TRUE"),1,0))</f>
        <v/>
      </c>
      <c r="AI813">
        <f>IF($B813="","",IF($V813="Yes",1,0))</f>
        <v/>
      </c>
      <c r="AJ813">
        <f>IF($AF813=1,IFERROR(IF(VALUE($B813)&lt;100000000,VALUE($B813),1000000000),IFERROR(IF(VALUE(MID($B813,2,20))&lt;100000000,VALUE(MID($B813,2,20)),1000000000),1000000000))+ROW()/100000,"")</f>
        <v/>
      </c>
    </row>
    <row r="814">
      <c r="C814" s="11" t="n"/>
      <c r="J814" s="7">
        <f>IF($B814="","",I814*Q814/100)</f>
        <v/>
      </c>
      <c r="P814" s="7" t="n"/>
      <c r="Q814" s="7" t="n"/>
      <c r="R814" s="7">
        <f>IF($B814="","",Q814*W814/100)</f>
        <v/>
      </c>
      <c r="S814" s="7">
        <f>IF($B814="","",Q814-R814)</f>
        <v/>
      </c>
      <c r="T814" s="7">
        <f>IF($B814="","",S814-J814)</f>
        <v/>
      </c>
      <c r="W814">
        <f>IF($B814="","",IF($AI814=1,0,IF($AH814=1,Settings!$C$6,Settings!$C$7))*100)</f>
        <v/>
      </c>
      <c r="AA814" s="7" t="n"/>
      <c r="AD814" s="11" t="n"/>
      <c r="AF814">
        <f>IF($B814="","",IF(COUNTIF($B$2:$B814,$B814)=1,1,0))</f>
        <v/>
      </c>
      <c r="AG814">
        <f>IF($AF814=1,SUMPRODUCT(--($AJ$2:$AJ$1501&lt;$AJ814))+1,"")</f>
        <v/>
      </c>
      <c r="AH814">
        <f>IF($B814="","",IF(OR($M814=TRUE(),$M814="TRUE"),1,0))</f>
        <v/>
      </c>
      <c r="AI814">
        <f>IF($B814="","",IF($V814="Yes",1,0))</f>
        <v/>
      </c>
      <c r="AJ814">
        <f>IF($AF814=1,IFERROR(IF(VALUE($B814)&lt;100000000,VALUE($B814),1000000000),IFERROR(IF(VALUE(MID($B814,2,20))&lt;100000000,VALUE(MID($B814,2,20)),1000000000),1000000000))+ROW()/100000,"")</f>
        <v/>
      </c>
    </row>
    <row r="815">
      <c r="C815" s="11" t="n"/>
      <c r="J815" s="7">
        <f>IF($B815="","",I815*Q815/100)</f>
        <v/>
      </c>
      <c r="P815" s="7" t="n"/>
      <c r="Q815" s="7" t="n"/>
      <c r="R815" s="7">
        <f>IF($B815="","",Q815*W815/100)</f>
        <v/>
      </c>
      <c r="S815" s="7">
        <f>IF($B815="","",Q815-R815)</f>
        <v/>
      </c>
      <c r="T815" s="7">
        <f>IF($B815="","",S815-J815)</f>
        <v/>
      </c>
      <c r="W815">
        <f>IF($B815="","",IF($AI815=1,0,IF($AH815=1,Settings!$C$6,Settings!$C$7))*100)</f>
        <v/>
      </c>
      <c r="AA815" s="7" t="n"/>
      <c r="AD815" s="11" t="n"/>
      <c r="AF815">
        <f>IF($B815="","",IF(COUNTIF($B$2:$B815,$B815)=1,1,0))</f>
        <v/>
      </c>
      <c r="AG815">
        <f>IF($AF815=1,SUMPRODUCT(--($AJ$2:$AJ$1501&lt;$AJ815))+1,"")</f>
        <v/>
      </c>
      <c r="AH815">
        <f>IF($B815="","",IF(OR($M815=TRUE(),$M815="TRUE"),1,0))</f>
        <v/>
      </c>
      <c r="AI815">
        <f>IF($B815="","",IF($V815="Yes",1,0))</f>
        <v/>
      </c>
      <c r="AJ815">
        <f>IF($AF815=1,IFERROR(IF(VALUE($B815)&lt;100000000,VALUE($B815),1000000000),IFERROR(IF(VALUE(MID($B815,2,20))&lt;100000000,VALUE(MID($B815,2,20)),1000000000),1000000000))+ROW()/100000,"")</f>
        <v/>
      </c>
    </row>
    <row r="816">
      <c r="C816" s="11" t="n"/>
      <c r="J816" s="7">
        <f>IF($B816="","",I816*Q816/100)</f>
        <v/>
      </c>
      <c r="P816" s="7" t="n"/>
      <c r="Q816" s="7" t="n"/>
      <c r="R816" s="7">
        <f>IF($B816="","",Q816*W816/100)</f>
        <v/>
      </c>
      <c r="S816" s="7">
        <f>IF($B816="","",Q816-R816)</f>
        <v/>
      </c>
      <c r="T816" s="7">
        <f>IF($B816="","",S816-J816)</f>
        <v/>
      </c>
      <c r="W816">
        <f>IF($B816="","",IF($AI816=1,0,IF($AH816=1,Settings!$C$6,Settings!$C$7))*100)</f>
        <v/>
      </c>
      <c r="AA816" s="7" t="n"/>
      <c r="AD816" s="11" t="n"/>
      <c r="AF816">
        <f>IF($B816="","",IF(COUNTIF($B$2:$B816,$B816)=1,1,0))</f>
        <v/>
      </c>
      <c r="AG816">
        <f>IF($AF816=1,SUMPRODUCT(--($AJ$2:$AJ$1501&lt;$AJ816))+1,"")</f>
        <v/>
      </c>
      <c r="AH816">
        <f>IF($B816="","",IF(OR($M816=TRUE(),$M816="TRUE"),1,0))</f>
        <v/>
      </c>
      <c r="AI816">
        <f>IF($B816="","",IF($V816="Yes",1,0))</f>
        <v/>
      </c>
      <c r="AJ816">
        <f>IF($AF816=1,IFERROR(IF(VALUE($B816)&lt;100000000,VALUE($B816),1000000000),IFERROR(IF(VALUE(MID($B816,2,20))&lt;100000000,VALUE(MID($B816,2,20)),1000000000),1000000000))+ROW()/100000,"")</f>
        <v/>
      </c>
    </row>
    <row r="817">
      <c r="C817" s="11" t="n"/>
      <c r="J817" s="7">
        <f>IF($B817="","",I817*Q817/100)</f>
        <v/>
      </c>
      <c r="P817" s="7" t="n"/>
      <c r="Q817" s="7" t="n"/>
      <c r="R817" s="7">
        <f>IF($B817="","",Q817*W817/100)</f>
        <v/>
      </c>
      <c r="S817" s="7">
        <f>IF($B817="","",Q817-R817)</f>
        <v/>
      </c>
      <c r="T817" s="7">
        <f>IF($B817="","",S817-J817)</f>
        <v/>
      </c>
      <c r="W817">
        <f>IF($B817="","",IF($AI817=1,0,IF($AH817=1,Settings!$C$6,Settings!$C$7))*100)</f>
        <v/>
      </c>
      <c r="AA817" s="7" t="n"/>
      <c r="AD817" s="11" t="n"/>
      <c r="AF817">
        <f>IF($B817="","",IF(COUNTIF($B$2:$B817,$B817)=1,1,0))</f>
        <v/>
      </c>
      <c r="AG817">
        <f>IF($AF817=1,SUMPRODUCT(--($AJ$2:$AJ$1501&lt;$AJ817))+1,"")</f>
        <v/>
      </c>
      <c r="AH817">
        <f>IF($B817="","",IF(OR($M817=TRUE(),$M817="TRUE"),1,0))</f>
        <v/>
      </c>
      <c r="AI817">
        <f>IF($B817="","",IF($V817="Yes",1,0))</f>
        <v/>
      </c>
      <c r="AJ817">
        <f>IF($AF817=1,IFERROR(IF(VALUE($B817)&lt;100000000,VALUE($B817),1000000000),IFERROR(IF(VALUE(MID($B817,2,20))&lt;100000000,VALUE(MID($B817,2,20)),1000000000),1000000000))+ROW()/100000,"")</f>
        <v/>
      </c>
    </row>
    <row r="818">
      <c r="C818" s="11" t="n"/>
      <c r="J818" s="7">
        <f>IF($B818="","",I818*Q818/100)</f>
        <v/>
      </c>
      <c r="P818" s="7" t="n"/>
      <c r="Q818" s="7" t="n"/>
      <c r="R818" s="7">
        <f>IF($B818="","",Q818*W818/100)</f>
        <v/>
      </c>
      <c r="S818" s="7">
        <f>IF($B818="","",Q818-R818)</f>
        <v/>
      </c>
      <c r="T818" s="7">
        <f>IF($B818="","",S818-J818)</f>
        <v/>
      </c>
      <c r="W818">
        <f>IF($B818="","",IF($AI818=1,0,IF($AH818=1,Settings!$C$6,Settings!$C$7))*100)</f>
        <v/>
      </c>
      <c r="AA818" s="7" t="n"/>
      <c r="AD818" s="11" t="n"/>
      <c r="AF818">
        <f>IF($B818="","",IF(COUNTIF($B$2:$B818,$B818)=1,1,0))</f>
        <v/>
      </c>
      <c r="AG818">
        <f>IF($AF818=1,SUMPRODUCT(--($AJ$2:$AJ$1501&lt;$AJ818))+1,"")</f>
        <v/>
      </c>
      <c r="AH818">
        <f>IF($B818="","",IF(OR($M818=TRUE(),$M818="TRUE"),1,0))</f>
        <v/>
      </c>
      <c r="AI818">
        <f>IF($B818="","",IF($V818="Yes",1,0))</f>
        <v/>
      </c>
      <c r="AJ818">
        <f>IF($AF818=1,IFERROR(IF(VALUE($B818)&lt;100000000,VALUE($B818),1000000000),IFERROR(IF(VALUE(MID($B818,2,20))&lt;100000000,VALUE(MID($B818,2,20)),1000000000),1000000000))+ROW()/100000,"")</f>
        <v/>
      </c>
    </row>
    <row r="819">
      <c r="C819" s="11" t="n"/>
      <c r="J819" s="7">
        <f>IF($B819="","",I819*Q819/100)</f>
        <v/>
      </c>
      <c r="P819" s="7" t="n"/>
      <c r="Q819" s="7" t="n"/>
      <c r="R819" s="7">
        <f>IF($B819="","",Q819*W819/100)</f>
        <v/>
      </c>
      <c r="S819" s="7">
        <f>IF($B819="","",Q819-R819)</f>
        <v/>
      </c>
      <c r="T819" s="7">
        <f>IF($B819="","",S819-J819)</f>
        <v/>
      </c>
      <c r="W819">
        <f>IF($B819="","",IF($AI819=1,0,IF($AH819=1,Settings!$C$6,Settings!$C$7))*100)</f>
        <v/>
      </c>
      <c r="AA819" s="7" t="n"/>
      <c r="AD819" s="11" t="n"/>
      <c r="AF819">
        <f>IF($B819="","",IF(COUNTIF($B$2:$B819,$B819)=1,1,0))</f>
        <v/>
      </c>
      <c r="AG819">
        <f>IF($AF819=1,SUMPRODUCT(--($AJ$2:$AJ$1501&lt;$AJ819))+1,"")</f>
        <v/>
      </c>
      <c r="AH819">
        <f>IF($B819="","",IF(OR($M819=TRUE(),$M819="TRUE"),1,0))</f>
        <v/>
      </c>
      <c r="AI819">
        <f>IF($B819="","",IF($V819="Yes",1,0))</f>
        <v/>
      </c>
      <c r="AJ819">
        <f>IF($AF819=1,IFERROR(IF(VALUE($B819)&lt;100000000,VALUE($B819),1000000000),IFERROR(IF(VALUE(MID($B819,2,20))&lt;100000000,VALUE(MID($B819,2,20)),1000000000),1000000000))+ROW()/100000,"")</f>
        <v/>
      </c>
    </row>
    <row r="820">
      <c r="C820" s="11" t="n"/>
      <c r="J820" s="7">
        <f>IF($B820="","",I820*Q820/100)</f>
        <v/>
      </c>
      <c r="P820" s="7" t="n"/>
      <c r="Q820" s="7" t="n"/>
      <c r="R820" s="7">
        <f>IF($B820="","",Q820*W820/100)</f>
        <v/>
      </c>
      <c r="S820" s="7">
        <f>IF($B820="","",Q820-R820)</f>
        <v/>
      </c>
      <c r="T820" s="7">
        <f>IF($B820="","",S820-J820)</f>
        <v/>
      </c>
      <c r="W820">
        <f>IF($B820="","",IF($AI820=1,0,IF($AH820=1,Settings!$C$6,Settings!$C$7))*100)</f>
        <v/>
      </c>
      <c r="AA820" s="7" t="n"/>
      <c r="AD820" s="11" t="n"/>
      <c r="AF820">
        <f>IF($B820="","",IF(COUNTIF($B$2:$B820,$B820)=1,1,0))</f>
        <v/>
      </c>
      <c r="AG820">
        <f>IF($AF820=1,SUMPRODUCT(--($AJ$2:$AJ$1501&lt;$AJ820))+1,"")</f>
        <v/>
      </c>
      <c r="AH820">
        <f>IF($B820="","",IF(OR($M820=TRUE(),$M820="TRUE"),1,0))</f>
        <v/>
      </c>
      <c r="AI820">
        <f>IF($B820="","",IF($V820="Yes",1,0))</f>
        <v/>
      </c>
      <c r="AJ820">
        <f>IF($AF820=1,IFERROR(IF(VALUE($B820)&lt;100000000,VALUE($B820),1000000000),IFERROR(IF(VALUE(MID($B820,2,20))&lt;100000000,VALUE(MID($B820,2,20)),1000000000),1000000000))+ROW()/100000,"")</f>
        <v/>
      </c>
    </row>
    <row r="821">
      <c r="C821" s="11" t="n"/>
      <c r="J821" s="7">
        <f>IF($B821="","",I821*Q821/100)</f>
        <v/>
      </c>
      <c r="P821" s="7" t="n"/>
      <c r="Q821" s="7" t="n"/>
      <c r="R821" s="7">
        <f>IF($B821="","",Q821*W821/100)</f>
        <v/>
      </c>
      <c r="S821" s="7">
        <f>IF($B821="","",Q821-R821)</f>
        <v/>
      </c>
      <c r="T821" s="7">
        <f>IF($B821="","",S821-J821)</f>
        <v/>
      </c>
      <c r="W821">
        <f>IF($B821="","",IF($AI821=1,0,IF($AH821=1,Settings!$C$6,Settings!$C$7))*100)</f>
        <v/>
      </c>
      <c r="AA821" s="7" t="n"/>
      <c r="AD821" s="11" t="n"/>
      <c r="AF821">
        <f>IF($B821="","",IF(COUNTIF($B$2:$B821,$B821)=1,1,0))</f>
        <v/>
      </c>
      <c r="AG821">
        <f>IF($AF821=1,SUMPRODUCT(--($AJ$2:$AJ$1501&lt;$AJ821))+1,"")</f>
        <v/>
      </c>
      <c r="AH821">
        <f>IF($B821="","",IF(OR($M821=TRUE(),$M821="TRUE"),1,0))</f>
        <v/>
      </c>
      <c r="AI821">
        <f>IF($B821="","",IF($V821="Yes",1,0))</f>
        <v/>
      </c>
      <c r="AJ821">
        <f>IF($AF821=1,IFERROR(IF(VALUE($B821)&lt;100000000,VALUE($B821),1000000000),IFERROR(IF(VALUE(MID($B821,2,20))&lt;100000000,VALUE(MID($B821,2,20)),1000000000),1000000000))+ROW()/100000,"")</f>
        <v/>
      </c>
    </row>
    <row r="822">
      <c r="C822" s="11" t="n"/>
      <c r="J822" s="7">
        <f>IF($B822="","",I822*Q822/100)</f>
        <v/>
      </c>
      <c r="P822" s="7" t="n"/>
      <c r="Q822" s="7" t="n"/>
      <c r="R822" s="7">
        <f>IF($B822="","",Q822*W822/100)</f>
        <v/>
      </c>
      <c r="S822" s="7">
        <f>IF($B822="","",Q822-R822)</f>
        <v/>
      </c>
      <c r="T822" s="7">
        <f>IF($B822="","",S822-J822)</f>
        <v/>
      </c>
      <c r="W822">
        <f>IF($B822="","",IF($AI822=1,0,IF($AH822=1,Settings!$C$6,Settings!$C$7))*100)</f>
        <v/>
      </c>
      <c r="AA822" s="7" t="n"/>
      <c r="AD822" s="11" t="n"/>
      <c r="AF822">
        <f>IF($B822="","",IF(COUNTIF($B$2:$B822,$B822)=1,1,0))</f>
        <v/>
      </c>
      <c r="AG822">
        <f>IF($AF822=1,SUMPRODUCT(--($AJ$2:$AJ$1501&lt;$AJ822))+1,"")</f>
        <v/>
      </c>
      <c r="AH822">
        <f>IF($B822="","",IF(OR($M822=TRUE(),$M822="TRUE"),1,0))</f>
        <v/>
      </c>
      <c r="AI822">
        <f>IF($B822="","",IF($V822="Yes",1,0))</f>
        <v/>
      </c>
      <c r="AJ822">
        <f>IF($AF822=1,IFERROR(IF(VALUE($B822)&lt;100000000,VALUE($B822),1000000000),IFERROR(IF(VALUE(MID($B822,2,20))&lt;100000000,VALUE(MID($B822,2,20)),1000000000),1000000000))+ROW()/100000,"")</f>
        <v/>
      </c>
    </row>
    <row r="823">
      <c r="C823" s="11" t="n"/>
      <c r="J823" s="7">
        <f>IF($B823="","",I823*Q823/100)</f>
        <v/>
      </c>
      <c r="P823" s="7" t="n"/>
      <c r="Q823" s="7" t="n"/>
      <c r="R823" s="7">
        <f>IF($B823="","",Q823*W823/100)</f>
        <v/>
      </c>
      <c r="S823" s="7">
        <f>IF($B823="","",Q823-R823)</f>
        <v/>
      </c>
      <c r="T823" s="7">
        <f>IF($B823="","",S823-J823)</f>
        <v/>
      </c>
      <c r="W823">
        <f>IF($B823="","",IF($AI823=1,0,IF($AH823=1,Settings!$C$6,Settings!$C$7))*100)</f>
        <v/>
      </c>
      <c r="AA823" s="7" t="n"/>
      <c r="AD823" s="11" t="n"/>
      <c r="AF823">
        <f>IF($B823="","",IF(COUNTIF($B$2:$B823,$B823)=1,1,0))</f>
        <v/>
      </c>
      <c r="AG823">
        <f>IF($AF823=1,SUMPRODUCT(--($AJ$2:$AJ$1501&lt;$AJ823))+1,"")</f>
        <v/>
      </c>
      <c r="AH823">
        <f>IF($B823="","",IF(OR($M823=TRUE(),$M823="TRUE"),1,0))</f>
        <v/>
      </c>
      <c r="AI823">
        <f>IF($B823="","",IF($V823="Yes",1,0))</f>
        <v/>
      </c>
      <c r="AJ823">
        <f>IF($AF823=1,IFERROR(IF(VALUE($B823)&lt;100000000,VALUE($B823),1000000000),IFERROR(IF(VALUE(MID($B823,2,20))&lt;100000000,VALUE(MID($B823,2,20)),1000000000),1000000000))+ROW()/100000,"")</f>
        <v/>
      </c>
    </row>
    <row r="824">
      <c r="C824" s="11" t="n"/>
      <c r="J824" s="7">
        <f>IF($B824="","",I824*Q824/100)</f>
        <v/>
      </c>
      <c r="P824" s="7" t="n"/>
      <c r="Q824" s="7" t="n"/>
      <c r="R824" s="7">
        <f>IF($B824="","",Q824*W824/100)</f>
        <v/>
      </c>
      <c r="S824" s="7">
        <f>IF($B824="","",Q824-R824)</f>
        <v/>
      </c>
      <c r="T824" s="7">
        <f>IF($B824="","",S824-J824)</f>
        <v/>
      </c>
      <c r="W824">
        <f>IF($B824="","",IF($AI824=1,0,IF($AH824=1,Settings!$C$6,Settings!$C$7))*100)</f>
        <v/>
      </c>
      <c r="AA824" s="7" t="n"/>
      <c r="AD824" s="11" t="n"/>
      <c r="AF824">
        <f>IF($B824="","",IF(COUNTIF($B$2:$B824,$B824)=1,1,0))</f>
        <v/>
      </c>
      <c r="AG824">
        <f>IF($AF824=1,SUMPRODUCT(--($AJ$2:$AJ$1501&lt;$AJ824))+1,"")</f>
        <v/>
      </c>
      <c r="AH824">
        <f>IF($B824="","",IF(OR($M824=TRUE(),$M824="TRUE"),1,0))</f>
        <v/>
      </c>
      <c r="AI824">
        <f>IF($B824="","",IF($V824="Yes",1,0))</f>
        <v/>
      </c>
      <c r="AJ824">
        <f>IF($AF824=1,IFERROR(IF(VALUE($B824)&lt;100000000,VALUE($B824),1000000000),IFERROR(IF(VALUE(MID($B824,2,20))&lt;100000000,VALUE(MID($B824,2,20)),1000000000),1000000000))+ROW()/100000,"")</f>
        <v/>
      </c>
    </row>
    <row r="825">
      <c r="C825" s="11" t="n"/>
      <c r="J825" s="7">
        <f>IF($B825="","",I825*Q825/100)</f>
        <v/>
      </c>
      <c r="P825" s="7" t="n"/>
      <c r="Q825" s="7" t="n"/>
      <c r="R825" s="7">
        <f>IF($B825="","",Q825*W825/100)</f>
        <v/>
      </c>
      <c r="S825" s="7">
        <f>IF($B825="","",Q825-R825)</f>
        <v/>
      </c>
      <c r="T825" s="7">
        <f>IF($B825="","",S825-J825)</f>
        <v/>
      </c>
      <c r="W825">
        <f>IF($B825="","",IF($AI825=1,0,IF($AH825=1,Settings!$C$6,Settings!$C$7))*100)</f>
        <v/>
      </c>
      <c r="AA825" s="7" t="n"/>
      <c r="AD825" s="11" t="n"/>
      <c r="AF825">
        <f>IF($B825="","",IF(COUNTIF($B$2:$B825,$B825)=1,1,0))</f>
        <v/>
      </c>
      <c r="AG825">
        <f>IF($AF825=1,SUMPRODUCT(--($AJ$2:$AJ$1501&lt;$AJ825))+1,"")</f>
        <v/>
      </c>
      <c r="AH825">
        <f>IF($B825="","",IF(OR($M825=TRUE(),$M825="TRUE"),1,0))</f>
        <v/>
      </c>
      <c r="AI825">
        <f>IF($B825="","",IF($V825="Yes",1,0))</f>
        <v/>
      </c>
      <c r="AJ825">
        <f>IF($AF825=1,IFERROR(IF(VALUE($B825)&lt;100000000,VALUE($B825),1000000000),IFERROR(IF(VALUE(MID($B825,2,20))&lt;100000000,VALUE(MID($B825,2,20)),1000000000),1000000000))+ROW()/100000,"")</f>
        <v/>
      </c>
    </row>
    <row r="826">
      <c r="C826" s="11" t="n"/>
      <c r="J826" s="7">
        <f>IF($B826="","",I826*Q826/100)</f>
        <v/>
      </c>
      <c r="P826" s="7" t="n"/>
      <c r="Q826" s="7" t="n"/>
      <c r="R826" s="7">
        <f>IF($B826="","",Q826*W826/100)</f>
        <v/>
      </c>
      <c r="S826" s="7">
        <f>IF($B826="","",Q826-R826)</f>
        <v/>
      </c>
      <c r="T826" s="7">
        <f>IF($B826="","",S826-J826)</f>
        <v/>
      </c>
      <c r="W826">
        <f>IF($B826="","",IF($AI826=1,0,IF($AH826=1,Settings!$C$6,Settings!$C$7))*100)</f>
        <v/>
      </c>
      <c r="AA826" s="7" t="n"/>
      <c r="AD826" s="11" t="n"/>
      <c r="AF826">
        <f>IF($B826="","",IF(COUNTIF($B$2:$B826,$B826)=1,1,0))</f>
        <v/>
      </c>
      <c r="AG826">
        <f>IF($AF826=1,SUMPRODUCT(--($AJ$2:$AJ$1501&lt;$AJ826))+1,"")</f>
        <v/>
      </c>
      <c r="AH826">
        <f>IF($B826="","",IF(OR($M826=TRUE(),$M826="TRUE"),1,0))</f>
        <v/>
      </c>
      <c r="AI826">
        <f>IF($B826="","",IF($V826="Yes",1,0))</f>
        <v/>
      </c>
      <c r="AJ826">
        <f>IF($AF826=1,IFERROR(IF(VALUE($B826)&lt;100000000,VALUE($B826),1000000000),IFERROR(IF(VALUE(MID($B826,2,20))&lt;100000000,VALUE(MID($B826,2,20)),1000000000),1000000000))+ROW()/100000,"")</f>
        <v/>
      </c>
    </row>
    <row r="827">
      <c r="C827" s="11" t="n"/>
      <c r="J827" s="7">
        <f>IF($B827="","",I827*Q827/100)</f>
        <v/>
      </c>
      <c r="P827" s="7" t="n"/>
      <c r="Q827" s="7" t="n"/>
      <c r="R827" s="7">
        <f>IF($B827="","",Q827*W827/100)</f>
        <v/>
      </c>
      <c r="S827" s="7">
        <f>IF($B827="","",Q827-R827)</f>
        <v/>
      </c>
      <c r="T827" s="7">
        <f>IF($B827="","",S827-J827)</f>
        <v/>
      </c>
      <c r="W827">
        <f>IF($B827="","",IF($AI827=1,0,IF($AH827=1,Settings!$C$6,Settings!$C$7))*100)</f>
        <v/>
      </c>
      <c r="AA827" s="7" t="n"/>
      <c r="AD827" s="11" t="n"/>
      <c r="AF827">
        <f>IF($B827="","",IF(COUNTIF($B$2:$B827,$B827)=1,1,0))</f>
        <v/>
      </c>
      <c r="AG827">
        <f>IF($AF827=1,SUMPRODUCT(--($AJ$2:$AJ$1501&lt;$AJ827))+1,"")</f>
        <v/>
      </c>
      <c r="AH827">
        <f>IF($B827="","",IF(OR($M827=TRUE(),$M827="TRUE"),1,0))</f>
        <v/>
      </c>
      <c r="AI827">
        <f>IF($B827="","",IF($V827="Yes",1,0))</f>
        <v/>
      </c>
      <c r="AJ827">
        <f>IF($AF827=1,IFERROR(IF(VALUE($B827)&lt;100000000,VALUE($B827),1000000000),IFERROR(IF(VALUE(MID($B827,2,20))&lt;100000000,VALUE(MID($B827,2,20)),1000000000),1000000000))+ROW()/100000,"")</f>
        <v/>
      </c>
    </row>
    <row r="828">
      <c r="C828" s="11" t="n"/>
      <c r="J828" s="7">
        <f>IF($B828="","",I828*Q828/100)</f>
        <v/>
      </c>
      <c r="P828" s="7" t="n"/>
      <c r="Q828" s="7" t="n"/>
      <c r="R828" s="7">
        <f>IF($B828="","",Q828*W828/100)</f>
        <v/>
      </c>
      <c r="S828" s="7">
        <f>IF($B828="","",Q828-R828)</f>
        <v/>
      </c>
      <c r="T828" s="7">
        <f>IF($B828="","",S828-J828)</f>
        <v/>
      </c>
      <c r="W828">
        <f>IF($B828="","",IF($AI828=1,0,IF($AH828=1,Settings!$C$6,Settings!$C$7))*100)</f>
        <v/>
      </c>
      <c r="AA828" s="7" t="n"/>
      <c r="AD828" s="11" t="n"/>
      <c r="AF828">
        <f>IF($B828="","",IF(COUNTIF($B$2:$B828,$B828)=1,1,0))</f>
        <v/>
      </c>
      <c r="AG828">
        <f>IF($AF828=1,SUMPRODUCT(--($AJ$2:$AJ$1501&lt;$AJ828))+1,"")</f>
        <v/>
      </c>
      <c r="AH828">
        <f>IF($B828="","",IF(OR($M828=TRUE(),$M828="TRUE"),1,0))</f>
        <v/>
      </c>
      <c r="AI828">
        <f>IF($B828="","",IF($V828="Yes",1,0))</f>
        <v/>
      </c>
      <c r="AJ828">
        <f>IF($AF828=1,IFERROR(IF(VALUE($B828)&lt;100000000,VALUE($B828),1000000000),IFERROR(IF(VALUE(MID($B828,2,20))&lt;100000000,VALUE(MID($B828,2,20)),1000000000),1000000000))+ROW()/100000,"")</f>
        <v/>
      </c>
    </row>
    <row r="829">
      <c r="C829" s="11" t="n"/>
      <c r="J829" s="7">
        <f>IF($B829="","",I829*Q829/100)</f>
        <v/>
      </c>
      <c r="P829" s="7" t="n"/>
      <c r="Q829" s="7" t="n"/>
      <c r="R829" s="7">
        <f>IF($B829="","",Q829*W829/100)</f>
        <v/>
      </c>
      <c r="S829" s="7">
        <f>IF($B829="","",Q829-R829)</f>
        <v/>
      </c>
      <c r="T829" s="7">
        <f>IF($B829="","",S829-J829)</f>
        <v/>
      </c>
      <c r="W829">
        <f>IF($B829="","",IF($AI829=1,0,IF($AH829=1,Settings!$C$6,Settings!$C$7))*100)</f>
        <v/>
      </c>
      <c r="AA829" s="7" t="n"/>
      <c r="AD829" s="11" t="n"/>
      <c r="AF829">
        <f>IF($B829="","",IF(COUNTIF($B$2:$B829,$B829)=1,1,0))</f>
        <v/>
      </c>
      <c r="AG829">
        <f>IF($AF829=1,SUMPRODUCT(--($AJ$2:$AJ$1501&lt;$AJ829))+1,"")</f>
        <v/>
      </c>
      <c r="AH829">
        <f>IF($B829="","",IF(OR($M829=TRUE(),$M829="TRUE"),1,0))</f>
        <v/>
      </c>
      <c r="AI829">
        <f>IF($B829="","",IF($V829="Yes",1,0))</f>
        <v/>
      </c>
      <c r="AJ829">
        <f>IF($AF829=1,IFERROR(IF(VALUE($B829)&lt;100000000,VALUE($B829),1000000000),IFERROR(IF(VALUE(MID($B829,2,20))&lt;100000000,VALUE(MID($B829,2,20)),1000000000),1000000000))+ROW()/100000,"")</f>
        <v/>
      </c>
    </row>
    <row r="830">
      <c r="C830" s="11" t="n"/>
      <c r="J830" s="7">
        <f>IF($B830="","",I830*Q830/100)</f>
        <v/>
      </c>
      <c r="P830" s="7" t="n"/>
      <c r="Q830" s="7" t="n"/>
      <c r="R830" s="7">
        <f>IF($B830="","",Q830*W830/100)</f>
        <v/>
      </c>
      <c r="S830" s="7">
        <f>IF($B830="","",Q830-R830)</f>
        <v/>
      </c>
      <c r="T830" s="7">
        <f>IF($B830="","",S830-J830)</f>
        <v/>
      </c>
      <c r="W830">
        <f>IF($B830="","",IF($AI830=1,0,IF($AH830=1,Settings!$C$6,Settings!$C$7))*100)</f>
        <v/>
      </c>
      <c r="AA830" s="7" t="n"/>
      <c r="AD830" s="11" t="n"/>
      <c r="AF830">
        <f>IF($B830="","",IF(COUNTIF($B$2:$B830,$B830)=1,1,0))</f>
        <v/>
      </c>
      <c r="AG830">
        <f>IF($AF830=1,SUMPRODUCT(--($AJ$2:$AJ$1501&lt;$AJ830))+1,"")</f>
        <v/>
      </c>
      <c r="AH830">
        <f>IF($B830="","",IF(OR($M830=TRUE(),$M830="TRUE"),1,0))</f>
        <v/>
      </c>
      <c r="AI830">
        <f>IF($B830="","",IF($V830="Yes",1,0))</f>
        <v/>
      </c>
      <c r="AJ830">
        <f>IF($AF830=1,IFERROR(IF(VALUE($B830)&lt;100000000,VALUE($B830),1000000000),IFERROR(IF(VALUE(MID($B830,2,20))&lt;100000000,VALUE(MID($B830,2,20)),1000000000),1000000000))+ROW()/100000,"")</f>
        <v/>
      </c>
    </row>
    <row r="831">
      <c r="C831" s="11" t="n"/>
      <c r="J831" s="7">
        <f>IF($B831="","",I831*Q831/100)</f>
        <v/>
      </c>
      <c r="P831" s="7" t="n"/>
      <c r="Q831" s="7" t="n"/>
      <c r="R831" s="7">
        <f>IF($B831="","",Q831*W831/100)</f>
        <v/>
      </c>
      <c r="S831" s="7">
        <f>IF($B831="","",Q831-R831)</f>
        <v/>
      </c>
      <c r="T831" s="7">
        <f>IF($B831="","",S831-J831)</f>
        <v/>
      </c>
      <c r="W831">
        <f>IF($B831="","",IF($AI831=1,0,IF($AH831=1,Settings!$C$6,Settings!$C$7))*100)</f>
        <v/>
      </c>
      <c r="AA831" s="7" t="n"/>
      <c r="AD831" s="11" t="n"/>
      <c r="AF831">
        <f>IF($B831="","",IF(COUNTIF($B$2:$B831,$B831)=1,1,0))</f>
        <v/>
      </c>
      <c r="AG831">
        <f>IF($AF831=1,SUMPRODUCT(--($AJ$2:$AJ$1501&lt;$AJ831))+1,"")</f>
        <v/>
      </c>
      <c r="AH831">
        <f>IF($B831="","",IF(OR($M831=TRUE(),$M831="TRUE"),1,0))</f>
        <v/>
      </c>
      <c r="AI831">
        <f>IF($B831="","",IF($V831="Yes",1,0))</f>
        <v/>
      </c>
      <c r="AJ831">
        <f>IF($AF831=1,IFERROR(IF(VALUE($B831)&lt;100000000,VALUE($B831),1000000000),IFERROR(IF(VALUE(MID($B831,2,20))&lt;100000000,VALUE(MID($B831,2,20)),1000000000),1000000000))+ROW()/100000,"")</f>
        <v/>
      </c>
    </row>
    <row r="832">
      <c r="C832" s="11" t="n"/>
      <c r="J832" s="7">
        <f>IF($B832="","",I832*Q832/100)</f>
        <v/>
      </c>
      <c r="P832" s="7" t="n"/>
      <c r="Q832" s="7" t="n"/>
      <c r="R832" s="7">
        <f>IF($B832="","",Q832*W832/100)</f>
        <v/>
      </c>
      <c r="S832" s="7">
        <f>IF($B832="","",Q832-R832)</f>
        <v/>
      </c>
      <c r="T832" s="7">
        <f>IF($B832="","",S832-J832)</f>
        <v/>
      </c>
      <c r="W832">
        <f>IF($B832="","",IF($AI832=1,0,IF($AH832=1,Settings!$C$6,Settings!$C$7))*100)</f>
        <v/>
      </c>
      <c r="AA832" s="7" t="n"/>
      <c r="AD832" s="11" t="n"/>
      <c r="AF832">
        <f>IF($B832="","",IF(COUNTIF($B$2:$B832,$B832)=1,1,0))</f>
        <v/>
      </c>
      <c r="AG832">
        <f>IF($AF832=1,SUMPRODUCT(--($AJ$2:$AJ$1501&lt;$AJ832))+1,"")</f>
        <v/>
      </c>
      <c r="AH832">
        <f>IF($B832="","",IF(OR($M832=TRUE(),$M832="TRUE"),1,0))</f>
        <v/>
      </c>
      <c r="AI832">
        <f>IF($B832="","",IF($V832="Yes",1,0))</f>
        <v/>
      </c>
      <c r="AJ832">
        <f>IF($AF832=1,IFERROR(IF(VALUE($B832)&lt;100000000,VALUE($B832),1000000000),IFERROR(IF(VALUE(MID($B832,2,20))&lt;100000000,VALUE(MID($B832,2,20)),1000000000),1000000000))+ROW()/100000,"")</f>
        <v/>
      </c>
    </row>
    <row r="833">
      <c r="C833" s="11" t="n"/>
      <c r="J833" s="7">
        <f>IF($B833="","",I833*Q833/100)</f>
        <v/>
      </c>
      <c r="P833" s="7" t="n"/>
      <c r="Q833" s="7" t="n"/>
      <c r="R833" s="7">
        <f>IF($B833="","",Q833*W833/100)</f>
        <v/>
      </c>
      <c r="S833" s="7">
        <f>IF($B833="","",Q833-R833)</f>
        <v/>
      </c>
      <c r="T833" s="7">
        <f>IF($B833="","",S833-J833)</f>
        <v/>
      </c>
      <c r="W833">
        <f>IF($B833="","",IF($AI833=1,0,IF($AH833=1,Settings!$C$6,Settings!$C$7))*100)</f>
        <v/>
      </c>
      <c r="AA833" s="7" t="n"/>
      <c r="AD833" s="11" t="n"/>
      <c r="AF833">
        <f>IF($B833="","",IF(COUNTIF($B$2:$B833,$B833)=1,1,0))</f>
        <v/>
      </c>
      <c r="AG833">
        <f>IF($AF833=1,SUMPRODUCT(--($AJ$2:$AJ$1501&lt;$AJ833))+1,"")</f>
        <v/>
      </c>
      <c r="AH833">
        <f>IF($B833="","",IF(OR($M833=TRUE(),$M833="TRUE"),1,0))</f>
        <v/>
      </c>
      <c r="AI833">
        <f>IF($B833="","",IF($V833="Yes",1,0))</f>
        <v/>
      </c>
      <c r="AJ833">
        <f>IF($AF833=1,IFERROR(IF(VALUE($B833)&lt;100000000,VALUE($B833),1000000000),IFERROR(IF(VALUE(MID($B833,2,20))&lt;100000000,VALUE(MID($B833,2,20)),1000000000),1000000000))+ROW()/100000,"")</f>
        <v/>
      </c>
    </row>
    <row r="834">
      <c r="C834" s="11" t="n"/>
      <c r="J834" s="7">
        <f>IF($B834="","",I834*Q834/100)</f>
        <v/>
      </c>
      <c r="P834" s="7" t="n"/>
      <c r="Q834" s="7" t="n"/>
      <c r="R834" s="7">
        <f>IF($B834="","",Q834*W834/100)</f>
        <v/>
      </c>
      <c r="S834" s="7">
        <f>IF($B834="","",Q834-R834)</f>
        <v/>
      </c>
      <c r="T834" s="7">
        <f>IF($B834="","",S834-J834)</f>
        <v/>
      </c>
      <c r="W834">
        <f>IF($B834="","",IF($AI834=1,0,IF($AH834=1,Settings!$C$6,Settings!$C$7))*100)</f>
        <v/>
      </c>
      <c r="AA834" s="7" t="n"/>
      <c r="AD834" s="11" t="n"/>
      <c r="AF834">
        <f>IF($B834="","",IF(COUNTIF($B$2:$B834,$B834)=1,1,0))</f>
        <v/>
      </c>
      <c r="AG834">
        <f>IF($AF834=1,SUMPRODUCT(--($AJ$2:$AJ$1501&lt;$AJ834))+1,"")</f>
        <v/>
      </c>
      <c r="AH834">
        <f>IF($B834="","",IF(OR($M834=TRUE(),$M834="TRUE"),1,0))</f>
        <v/>
      </c>
      <c r="AI834">
        <f>IF($B834="","",IF($V834="Yes",1,0))</f>
        <v/>
      </c>
      <c r="AJ834">
        <f>IF($AF834=1,IFERROR(IF(VALUE($B834)&lt;100000000,VALUE($B834),1000000000),IFERROR(IF(VALUE(MID($B834,2,20))&lt;100000000,VALUE(MID($B834,2,20)),1000000000),1000000000))+ROW()/100000,"")</f>
        <v/>
      </c>
    </row>
    <row r="835">
      <c r="C835" s="11" t="n"/>
      <c r="J835" s="7">
        <f>IF($B835="","",I835*Q835/100)</f>
        <v/>
      </c>
      <c r="P835" s="7" t="n"/>
      <c r="Q835" s="7" t="n"/>
      <c r="R835" s="7">
        <f>IF($B835="","",Q835*W835/100)</f>
        <v/>
      </c>
      <c r="S835" s="7">
        <f>IF($B835="","",Q835-R835)</f>
        <v/>
      </c>
      <c r="T835" s="7">
        <f>IF($B835="","",S835-J835)</f>
        <v/>
      </c>
      <c r="W835">
        <f>IF($B835="","",IF($AI835=1,0,IF($AH835=1,Settings!$C$6,Settings!$C$7))*100)</f>
        <v/>
      </c>
      <c r="AA835" s="7" t="n"/>
      <c r="AD835" s="11" t="n"/>
      <c r="AF835">
        <f>IF($B835="","",IF(COUNTIF($B$2:$B835,$B835)=1,1,0))</f>
        <v/>
      </c>
      <c r="AG835">
        <f>IF($AF835=1,SUMPRODUCT(--($AJ$2:$AJ$1501&lt;$AJ835))+1,"")</f>
        <v/>
      </c>
      <c r="AH835">
        <f>IF($B835="","",IF(OR($M835=TRUE(),$M835="TRUE"),1,0))</f>
        <v/>
      </c>
      <c r="AI835">
        <f>IF($B835="","",IF($V835="Yes",1,0))</f>
        <v/>
      </c>
      <c r="AJ835">
        <f>IF($AF835=1,IFERROR(IF(VALUE($B835)&lt;100000000,VALUE($B835),1000000000),IFERROR(IF(VALUE(MID($B835,2,20))&lt;100000000,VALUE(MID($B835,2,20)),1000000000),1000000000))+ROW()/100000,"")</f>
        <v/>
      </c>
    </row>
    <row r="836">
      <c r="C836" s="11" t="n"/>
      <c r="J836" s="7">
        <f>IF($B836="","",I836*Q836/100)</f>
        <v/>
      </c>
      <c r="P836" s="7" t="n"/>
      <c r="Q836" s="7" t="n"/>
      <c r="R836" s="7">
        <f>IF($B836="","",Q836*W836/100)</f>
        <v/>
      </c>
      <c r="S836" s="7">
        <f>IF($B836="","",Q836-R836)</f>
        <v/>
      </c>
      <c r="T836" s="7">
        <f>IF($B836="","",S836-J836)</f>
        <v/>
      </c>
      <c r="W836">
        <f>IF($B836="","",IF($AI836=1,0,IF($AH836=1,Settings!$C$6,Settings!$C$7))*100)</f>
        <v/>
      </c>
      <c r="AA836" s="7" t="n"/>
      <c r="AD836" s="11" t="n"/>
      <c r="AF836">
        <f>IF($B836="","",IF(COUNTIF($B$2:$B836,$B836)=1,1,0))</f>
        <v/>
      </c>
      <c r="AG836">
        <f>IF($AF836=1,SUMPRODUCT(--($AJ$2:$AJ$1501&lt;$AJ836))+1,"")</f>
        <v/>
      </c>
      <c r="AH836">
        <f>IF($B836="","",IF(OR($M836=TRUE(),$M836="TRUE"),1,0))</f>
        <v/>
      </c>
      <c r="AI836">
        <f>IF($B836="","",IF($V836="Yes",1,0))</f>
        <v/>
      </c>
      <c r="AJ836">
        <f>IF($AF836=1,IFERROR(IF(VALUE($B836)&lt;100000000,VALUE($B836),1000000000),IFERROR(IF(VALUE(MID($B836,2,20))&lt;100000000,VALUE(MID($B836,2,20)),1000000000),1000000000))+ROW()/100000,"")</f>
        <v/>
      </c>
    </row>
    <row r="837">
      <c r="C837" s="11" t="n"/>
      <c r="J837" s="7">
        <f>IF($B837="","",I837*Q837/100)</f>
        <v/>
      </c>
      <c r="P837" s="7" t="n"/>
      <c r="Q837" s="7" t="n"/>
      <c r="R837" s="7">
        <f>IF($B837="","",Q837*W837/100)</f>
        <v/>
      </c>
      <c r="S837" s="7">
        <f>IF($B837="","",Q837-R837)</f>
        <v/>
      </c>
      <c r="T837" s="7">
        <f>IF($B837="","",S837-J837)</f>
        <v/>
      </c>
      <c r="W837">
        <f>IF($B837="","",IF($AI837=1,0,IF($AH837=1,Settings!$C$6,Settings!$C$7))*100)</f>
        <v/>
      </c>
      <c r="AA837" s="7" t="n"/>
      <c r="AD837" s="11" t="n"/>
      <c r="AF837">
        <f>IF($B837="","",IF(COUNTIF($B$2:$B837,$B837)=1,1,0))</f>
        <v/>
      </c>
      <c r="AG837">
        <f>IF($AF837=1,SUMPRODUCT(--($AJ$2:$AJ$1501&lt;$AJ837))+1,"")</f>
        <v/>
      </c>
      <c r="AH837">
        <f>IF($B837="","",IF(OR($M837=TRUE(),$M837="TRUE"),1,0))</f>
        <v/>
      </c>
      <c r="AI837">
        <f>IF($B837="","",IF($V837="Yes",1,0))</f>
        <v/>
      </c>
      <c r="AJ837">
        <f>IF($AF837=1,IFERROR(IF(VALUE($B837)&lt;100000000,VALUE($B837),1000000000),IFERROR(IF(VALUE(MID($B837,2,20))&lt;100000000,VALUE(MID($B837,2,20)),1000000000),1000000000))+ROW()/100000,"")</f>
        <v/>
      </c>
    </row>
    <row r="838">
      <c r="C838" s="11" t="n"/>
      <c r="J838" s="7">
        <f>IF($B838="","",I838*Q838/100)</f>
        <v/>
      </c>
      <c r="P838" s="7" t="n"/>
      <c r="Q838" s="7" t="n"/>
      <c r="R838" s="7">
        <f>IF($B838="","",Q838*W838/100)</f>
        <v/>
      </c>
      <c r="S838" s="7">
        <f>IF($B838="","",Q838-R838)</f>
        <v/>
      </c>
      <c r="T838" s="7">
        <f>IF($B838="","",S838-J838)</f>
        <v/>
      </c>
      <c r="W838">
        <f>IF($B838="","",IF($AI838=1,0,IF($AH838=1,Settings!$C$6,Settings!$C$7))*100)</f>
        <v/>
      </c>
      <c r="AA838" s="7" t="n"/>
      <c r="AD838" s="11" t="n"/>
      <c r="AF838">
        <f>IF($B838="","",IF(COUNTIF($B$2:$B838,$B838)=1,1,0))</f>
        <v/>
      </c>
      <c r="AG838">
        <f>IF($AF838=1,SUMPRODUCT(--($AJ$2:$AJ$1501&lt;$AJ838))+1,"")</f>
        <v/>
      </c>
      <c r="AH838">
        <f>IF($B838="","",IF(OR($M838=TRUE(),$M838="TRUE"),1,0))</f>
        <v/>
      </c>
      <c r="AI838">
        <f>IF($B838="","",IF($V838="Yes",1,0))</f>
        <v/>
      </c>
      <c r="AJ838">
        <f>IF($AF838=1,IFERROR(IF(VALUE($B838)&lt;100000000,VALUE($B838),1000000000),IFERROR(IF(VALUE(MID($B838,2,20))&lt;100000000,VALUE(MID($B838,2,20)),1000000000),1000000000))+ROW()/100000,"")</f>
        <v/>
      </c>
    </row>
    <row r="839">
      <c r="C839" s="11" t="n"/>
      <c r="J839" s="7">
        <f>IF($B839="","",I839*Q839/100)</f>
        <v/>
      </c>
      <c r="P839" s="7" t="n"/>
      <c r="Q839" s="7" t="n"/>
      <c r="R839" s="7">
        <f>IF($B839="","",Q839*W839/100)</f>
        <v/>
      </c>
      <c r="S839" s="7">
        <f>IF($B839="","",Q839-R839)</f>
        <v/>
      </c>
      <c r="T839" s="7">
        <f>IF($B839="","",S839-J839)</f>
        <v/>
      </c>
      <c r="W839">
        <f>IF($B839="","",IF($AI839=1,0,IF($AH839=1,Settings!$C$6,Settings!$C$7))*100)</f>
        <v/>
      </c>
      <c r="AA839" s="7" t="n"/>
      <c r="AD839" s="11" t="n"/>
      <c r="AF839">
        <f>IF($B839="","",IF(COUNTIF($B$2:$B839,$B839)=1,1,0))</f>
        <v/>
      </c>
      <c r="AG839">
        <f>IF($AF839=1,SUMPRODUCT(--($AJ$2:$AJ$1501&lt;$AJ839))+1,"")</f>
        <v/>
      </c>
      <c r="AH839">
        <f>IF($B839="","",IF(OR($M839=TRUE(),$M839="TRUE"),1,0))</f>
        <v/>
      </c>
      <c r="AI839">
        <f>IF($B839="","",IF($V839="Yes",1,0))</f>
        <v/>
      </c>
      <c r="AJ839">
        <f>IF($AF839=1,IFERROR(IF(VALUE($B839)&lt;100000000,VALUE($B839),1000000000),IFERROR(IF(VALUE(MID($B839,2,20))&lt;100000000,VALUE(MID($B839,2,20)),1000000000),1000000000))+ROW()/100000,"")</f>
        <v/>
      </c>
    </row>
    <row r="840">
      <c r="C840" s="11" t="n"/>
      <c r="J840" s="7">
        <f>IF($B840="","",I840*Q840/100)</f>
        <v/>
      </c>
      <c r="P840" s="7" t="n"/>
      <c r="Q840" s="7" t="n"/>
      <c r="R840" s="7">
        <f>IF($B840="","",Q840*W840/100)</f>
        <v/>
      </c>
      <c r="S840" s="7">
        <f>IF($B840="","",Q840-R840)</f>
        <v/>
      </c>
      <c r="T840" s="7">
        <f>IF($B840="","",S840-J840)</f>
        <v/>
      </c>
      <c r="W840">
        <f>IF($B840="","",IF($AI840=1,0,IF($AH840=1,Settings!$C$6,Settings!$C$7))*100)</f>
        <v/>
      </c>
      <c r="AA840" s="7" t="n"/>
      <c r="AD840" s="11" t="n"/>
      <c r="AF840">
        <f>IF($B840="","",IF(COUNTIF($B$2:$B840,$B840)=1,1,0))</f>
        <v/>
      </c>
      <c r="AG840">
        <f>IF($AF840=1,SUMPRODUCT(--($AJ$2:$AJ$1501&lt;$AJ840))+1,"")</f>
        <v/>
      </c>
      <c r="AH840">
        <f>IF($B840="","",IF(OR($M840=TRUE(),$M840="TRUE"),1,0))</f>
        <v/>
      </c>
      <c r="AI840">
        <f>IF($B840="","",IF($V840="Yes",1,0))</f>
        <v/>
      </c>
      <c r="AJ840">
        <f>IF($AF840=1,IFERROR(IF(VALUE($B840)&lt;100000000,VALUE($B840),1000000000),IFERROR(IF(VALUE(MID($B840,2,20))&lt;100000000,VALUE(MID($B840,2,20)),1000000000),1000000000))+ROW()/100000,"")</f>
        <v/>
      </c>
    </row>
    <row r="841">
      <c r="C841" s="11" t="n"/>
      <c r="J841" s="7">
        <f>IF($B841="","",I841*Q841/100)</f>
        <v/>
      </c>
      <c r="P841" s="7" t="n"/>
      <c r="Q841" s="7" t="n"/>
      <c r="R841" s="7">
        <f>IF($B841="","",Q841*W841/100)</f>
        <v/>
      </c>
      <c r="S841" s="7">
        <f>IF($B841="","",Q841-R841)</f>
        <v/>
      </c>
      <c r="T841" s="7">
        <f>IF($B841="","",S841-J841)</f>
        <v/>
      </c>
      <c r="W841">
        <f>IF($B841="","",IF($AI841=1,0,IF($AH841=1,Settings!$C$6,Settings!$C$7))*100)</f>
        <v/>
      </c>
      <c r="AA841" s="7" t="n"/>
      <c r="AD841" s="11" t="n"/>
      <c r="AF841">
        <f>IF($B841="","",IF(COUNTIF($B$2:$B841,$B841)=1,1,0))</f>
        <v/>
      </c>
      <c r="AG841">
        <f>IF($AF841=1,SUMPRODUCT(--($AJ$2:$AJ$1501&lt;$AJ841))+1,"")</f>
        <v/>
      </c>
      <c r="AH841">
        <f>IF($B841="","",IF(OR($M841=TRUE(),$M841="TRUE"),1,0))</f>
        <v/>
      </c>
      <c r="AI841">
        <f>IF($B841="","",IF($V841="Yes",1,0))</f>
        <v/>
      </c>
      <c r="AJ841">
        <f>IF($AF841=1,IFERROR(IF(VALUE($B841)&lt;100000000,VALUE($B841),1000000000),IFERROR(IF(VALUE(MID($B841,2,20))&lt;100000000,VALUE(MID($B841,2,20)),1000000000),1000000000))+ROW()/100000,"")</f>
        <v/>
      </c>
    </row>
    <row r="842">
      <c r="C842" s="11" t="n"/>
      <c r="J842" s="7">
        <f>IF($B842="","",I842*Q842/100)</f>
        <v/>
      </c>
      <c r="P842" s="7" t="n"/>
      <c r="Q842" s="7" t="n"/>
      <c r="R842" s="7">
        <f>IF($B842="","",Q842*W842/100)</f>
        <v/>
      </c>
      <c r="S842" s="7">
        <f>IF($B842="","",Q842-R842)</f>
        <v/>
      </c>
      <c r="T842" s="7">
        <f>IF($B842="","",S842-J842)</f>
        <v/>
      </c>
      <c r="W842">
        <f>IF($B842="","",IF($AI842=1,0,IF($AH842=1,Settings!$C$6,Settings!$C$7))*100)</f>
        <v/>
      </c>
      <c r="AA842" s="7" t="n"/>
      <c r="AD842" s="11" t="n"/>
      <c r="AF842">
        <f>IF($B842="","",IF(COUNTIF($B$2:$B842,$B842)=1,1,0))</f>
        <v/>
      </c>
      <c r="AG842">
        <f>IF($AF842=1,SUMPRODUCT(--($AJ$2:$AJ$1501&lt;$AJ842))+1,"")</f>
        <v/>
      </c>
      <c r="AH842">
        <f>IF($B842="","",IF(OR($M842=TRUE(),$M842="TRUE"),1,0))</f>
        <v/>
      </c>
      <c r="AI842">
        <f>IF($B842="","",IF($V842="Yes",1,0))</f>
        <v/>
      </c>
      <c r="AJ842">
        <f>IF($AF842=1,IFERROR(IF(VALUE($B842)&lt;100000000,VALUE($B842),1000000000),IFERROR(IF(VALUE(MID($B842,2,20))&lt;100000000,VALUE(MID($B842,2,20)),1000000000),1000000000))+ROW()/100000,"")</f>
        <v/>
      </c>
    </row>
    <row r="843">
      <c r="C843" s="11" t="n"/>
      <c r="J843" s="7">
        <f>IF($B843="","",I843*Q843/100)</f>
        <v/>
      </c>
      <c r="P843" s="7" t="n"/>
      <c r="Q843" s="7" t="n"/>
      <c r="R843" s="7">
        <f>IF($B843="","",Q843*W843/100)</f>
        <v/>
      </c>
      <c r="S843" s="7">
        <f>IF($B843="","",Q843-R843)</f>
        <v/>
      </c>
      <c r="T843" s="7">
        <f>IF($B843="","",S843-J843)</f>
        <v/>
      </c>
      <c r="W843">
        <f>IF($B843="","",IF($AI843=1,0,IF($AH843=1,Settings!$C$6,Settings!$C$7))*100)</f>
        <v/>
      </c>
      <c r="AA843" s="7" t="n"/>
      <c r="AD843" s="11" t="n"/>
      <c r="AF843">
        <f>IF($B843="","",IF(COUNTIF($B$2:$B843,$B843)=1,1,0))</f>
        <v/>
      </c>
      <c r="AG843">
        <f>IF($AF843=1,SUMPRODUCT(--($AJ$2:$AJ$1501&lt;$AJ843))+1,"")</f>
        <v/>
      </c>
      <c r="AH843">
        <f>IF($B843="","",IF(OR($M843=TRUE(),$M843="TRUE"),1,0))</f>
        <v/>
      </c>
      <c r="AI843">
        <f>IF($B843="","",IF($V843="Yes",1,0))</f>
        <v/>
      </c>
      <c r="AJ843">
        <f>IF($AF843=1,IFERROR(IF(VALUE($B843)&lt;100000000,VALUE($B843),1000000000),IFERROR(IF(VALUE(MID($B843,2,20))&lt;100000000,VALUE(MID($B843,2,20)),1000000000),1000000000))+ROW()/100000,"")</f>
        <v/>
      </c>
    </row>
    <row r="844">
      <c r="C844" s="11" t="n"/>
      <c r="J844" s="7">
        <f>IF($B844="","",I844*Q844/100)</f>
        <v/>
      </c>
      <c r="P844" s="7" t="n"/>
      <c r="Q844" s="7" t="n"/>
      <c r="R844" s="7">
        <f>IF($B844="","",Q844*W844/100)</f>
        <v/>
      </c>
      <c r="S844" s="7">
        <f>IF($B844="","",Q844-R844)</f>
        <v/>
      </c>
      <c r="T844" s="7">
        <f>IF($B844="","",S844-J844)</f>
        <v/>
      </c>
      <c r="W844">
        <f>IF($B844="","",IF($AI844=1,0,IF($AH844=1,Settings!$C$6,Settings!$C$7))*100)</f>
        <v/>
      </c>
      <c r="AA844" s="7" t="n"/>
      <c r="AD844" s="11" t="n"/>
      <c r="AF844">
        <f>IF($B844="","",IF(COUNTIF($B$2:$B844,$B844)=1,1,0))</f>
        <v/>
      </c>
      <c r="AG844">
        <f>IF($AF844=1,SUMPRODUCT(--($AJ$2:$AJ$1501&lt;$AJ844))+1,"")</f>
        <v/>
      </c>
      <c r="AH844">
        <f>IF($B844="","",IF(OR($M844=TRUE(),$M844="TRUE"),1,0))</f>
        <v/>
      </c>
      <c r="AI844">
        <f>IF($B844="","",IF($V844="Yes",1,0))</f>
        <v/>
      </c>
      <c r="AJ844">
        <f>IF($AF844=1,IFERROR(IF(VALUE($B844)&lt;100000000,VALUE($B844),1000000000),IFERROR(IF(VALUE(MID($B844,2,20))&lt;100000000,VALUE(MID($B844,2,20)),1000000000),1000000000))+ROW()/100000,"")</f>
        <v/>
      </c>
    </row>
    <row r="845">
      <c r="C845" s="11" t="n"/>
      <c r="J845" s="7">
        <f>IF($B845="","",I845*Q845/100)</f>
        <v/>
      </c>
      <c r="P845" s="7" t="n"/>
      <c r="Q845" s="7" t="n"/>
      <c r="R845" s="7">
        <f>IF($B845="","",Q845*W845/100)</f>
        <v/>
      </c>
      <c r="S845" s="7">
        <f>IF($B845="","",Q845-R845)</f>
        <v/>
      </c>
      <c r="T845" s="7">
        <f>IF($B845="","",S845-J845)</f>
        <v/>
      </c>
      <c r="W845">
        <f>IF($B845="","",IF($AI845=1,0,IF($AH845=1,Settings!$C$6,Settings!$C$7))*100)</f>
        <v/>
      </c>
      <c r="AA845" s="7" t="n"/>
      <c r="AD845" s="11" t="n"/>
      <c r="AF845">
        <f>IF($B845="","",IF(COUNTIF($B$2:$B845,$B845)=1,1,0))</f>
        <v/>
      </c>
      <c r="AG845">
        <f>IF($AF845=1,SUMPRODUCT(--($AJ$2:$AJ$1501&lt;$AJ845))+1,"")</f>
        <v/>
      </c>
      <c r="AH845">
        <f>IF($B845="","",IF(OR($M845=TRUE(),$M845="TRUE"),1,0))</f>
        <v/>
      </c>
      <c r="AI845">
        <f>IF($B845="","",IF($V845="Yes",1,0))</f>
        <v/>
      </c>
      <c r="AJ845">
        <f>IF($AF845=1,IFERROR(IF(VALUE($B845)&lt;100000000,VALUE($B845),1000000000),IFERROR(IF(VALUE(MID($B845,2,20))&lt;100000000,VALUE(MID($B845,2,20)),1000000000),1000000000))+ROW()/100000,"")</f>
        <v/>
      </c>
    </row>
    <row r="846">
      <c r="C846" s="11" t="n"/>
      <c r="J846" s="7">
        <f>IF($B846="","",I846*Q846/100)</f>
        <v/>
      </c>
      <c r="P846" s="7" t="n"/>
      <c r="Q846" s="7" t="n"/>
      <c r="R846" s="7">
        <f>IF($B846="","",Q846*W846/100)</f>
        <v/>
      </c>
      <c r="S846" s="7">
        <f>IF($B846="","",Q846-R846)</f>
        <v/>
      </c>
      <c r="T846" s="7">
        <f>IF($B846="","",S846-J846)</f>
        <v/>
      </c>
      <c r="W846">
        <f>IF($B846="","",IF($AI846=1,0,IF($AH846=1,Settings!$C$6,Settings!$C$7))*100)</f>
        <v/>
      </c>
      <c r="AA846" s="7" t="n"/>
      <c r="AD846" s="11" t="n"/>
      <c r="AF846">
        <f>IF($B846="","",IF(COUNTIF($B$2:$B846,$B846)=1,1,0))</f>
        <v/>
      </c>
      <c r="AG846">
        <f>IF($AF846=1,SUMPRODUCT(--($AJ$2:$AJ$1501&lt;$AJ846))+1,"")</f>
        <v/>
      </c>
      <c r="AH846">
        <f>IF($B846="","",IF(OR($M846=TRUE(),$M846="TRUE"),1,0))</f>
        <v/>
      </c>
      <c r="AI846">
        <f>IF($B846="","",IF($V846="Yes",1,0))</f>
        <v/>
      </c>
      <c r="AJ846">
        <f>IF($AF846=1,IFERROR(IF(VALUE($B846)&lt;100000000,VALUE($B846),1000000000),IFERROR(IF(VALUE(MID($B846,2,20))&lt;100000000,VALUE(MID($B846,2,20)),1000000000),1000000000))+ROW()/100000,"")</f>
        <v/>
      </c>
    </row>
    <row r="847">
      <c r="C847" s="11" t="n"/>
      <c r="J847" s="7">
        <f>IF($B847="","",I847*Q847/100)</f>
        <v/>
      </c>
      <c r="P847" s="7" t="n"/>
      <c r="Q847" s="7" t="n"/>
      <c r="R847" s="7">
        <f>IF($B847="","",Q847*W847/100)</f>
        <v/>
      </c>
      <c r="S847" s="7">
        <f>IF($B847="","",Q847-R847)</f>
        <v/>
      </c>
      <c r="T847" s="7">
        <f>IF($B847="","",S847-J847)</f>
        <v/>
      </c>
      <c r="W847">
        <f>IF($B847="","",IF($AI847=1,0,IF($AH847=1,Settings!$C$6,Settings!$C$7))*100)</f>
        <v/>
      </c>
      <c r="AA847" s="7" t="n"/>
      <c r="AD847" s="11" t="n"/>
      <c r="AF847">
        <f>IF($B847="","",IF(COUNTIF($B$2:$B847,$B847)=1,1,0))</f>
        <v/>
      </c>
      <c r="AG847">
        <f>IF($AF847=1,SUMPRODUCT(--($AJ$2:$AJ$1501&lt;$AJ847))+1,"")</f>
        <v/>
      </c>
      <c r="AH847">
        <f>IF($B847="","",IF(OR($M847=TRUE(),$M847="TRUE"),1,0))</f>
        <v/>
      </c>
      <c r="AI847">
        <f>IF($B847="","",IF($V847="Yes",1,0))</f>
        <v/>
      </c>
      <c r="AJ847">
        <f>IF($AF847=1,IFERROR(IF(VALUE($B847)&lt;100000000,VALUE($B847),1000000000),IFERROR(IF(VALUE(MID($B847,2,20))&lt;100000000,VALUE(MID($B847,2,20)),1000000000),1000000000))+ROW()/100000,"")</f>
        <v/>
      </c>
    </row>
    <row r="848">
      <c r="C848" s="11" t="n"/>
      <c r="J848" s="7">
        <f>IF($B848="","",I848*Q848/100)</f>
        <v/>
      </c>
      <c r="P848" s="7" t="n"/>
      <c r="Q848" s="7" t="n"/>
      <c r="R848" s="7">
        <f>IF($B848="","",Q848*W848/100)</f>
        <v/>
      </c>
      <c r="S848" s="7">
        <f>IF($B848="","",Q848-R848)</f>
        <v/>
      </c>
      <c r="T848" s="7">
        <f>IF($B848="","",S848-J848)</f>
        <v/>
      </c>
      <c r="W848">
        <f>IF($B848="","",IF($AI848=1,0,IF($AH848=1,Settings!$C$6,Settings!$C$7))*100)</f>
        <v/>
      </c>
      <c r="AA848" s="7" t="n"/>
      <c r="AD848" s="11" t="n"/>
      <c r="AF848">
        <f>IF($B848="","",IF(COUNTIF($B$2:$B848,$B848)=1,1,0))</f>
        <v/>
      </c>
      <c r="AG848">
        <f>IF($AF848=1,SUMPRODUCT(--($AJ$2:$AJ$1501&lt;$AJ848))+1,"")</f>
        <v/>
      </c>
      <c r="AH848">
        <f>IF($B848="","",IF(OR($M848=TRUE(),$M848="TRUE"),1,0))</f>
        <v/>
      </c>
      <c r="AI848">
        <f>IF($B848="","",IF($V848="Yes",1,0))</f>
        <v/>
      </c>
      <c r="AJ848">
        <f>IF($AF848=1,IFERROR(IF(VALUE($B848)&lt;100000000,VALUE($B848),1000000000),IFERROR(IF(VALUE(MID($B848,2,20))&lt;100000000,VALUE(MID($B848,2,20)),1000000000),1000000000))+ROW()/100000,"")</f>
        <v/>
      </c>
    </row>
    <row r="849">
      <c r="C849" s="11" t="n"/>
      <c r="J849" s="7">
        <f>IF($B849="","",I849*Q849/100)</f>
        <v/>
      </c>
      <c r="P849" s="7" t="n"/>
      <c r="Q849" s="7" t="n"/>
      <c r="R849" s="7">
        <f>IF($B849="","",Q849*W849/100)</f>
        <v/>
      </c>
      <c r="S849" s="7">
        <f>IF($B849="","",Q849-R849)</f>
        <v/>
      </c>
      <c r="T849" s="7">
        <f>IF($B849="","",S849-J849)</f>
        <v/>
      </c>
      <c r="W849">
        <f>IF($B849="","",IF($AI849=1,0,IF($AH849=1,Settings!$C$6,Settings!$C$7))*100)</f>
        <v/>
      </c>
      <c r="AA849" s="7" t="n"/>
      <c r="AD849" s="11" t="n"/>
      <c r="AF849">
        <f>IF($B849="","",IF(COUNTIF($B$2:$B849,$B849)=1,1,0))</f>
        <v/>
      </c>
      <c r="AG849">
        <f>IF($AF849=1,SUMPRODUCT(--($AJ$2:$AJ$1501&lt;$AJ849))+1,"")</f>
        <v/>
      </c>
      <c r="AH849">
        <f>IF($B849="","",IF(OR($M849=TRUE(),$M849="TRUE"),1,0))</f>
        <v/>
      </c>
      <c r="AI849">
        <f>IF($B849="","",IF($V849="Yes",1,0))</f>
        <v/>
      </c>
      <c r="AJ849">
        <f>IF($AF849=1,IFERROR(IF(VALUE($B849)&lt;100000000,VALUE($B849),1000000000),IFERROR(IF(VALUE(MID($B849,2,20))&lt;100000000,VALUE(MID($B849,2,20)),1000000000),1000000000))+ROW()/100000,"")</f>
        <v/>
      </c>
    </row>
    <row r="850">
      <c r="C850" s="11" t="n"/>
      <c r="J850" s="7">
        <f>IF($B850="","",I850*Q850/100)</f>
        <v/>
      </c>
      <c r="P850" s="7" t="n"/>
      <c r="Q850" s="7" t="n"/>
      <c r="R850" s="7">
        <f>IF($B850="","",Q850*W850/100)</f>
        <v/>
      </c>
      <c r="S850" s="7">
        <f>IF($B850="","",Q850-R850)</f>
        <v/>
      </c>
      <c r="T850" s="7">
        <f>IF($B850="","",S850-J850)</f>
        <v/>
      </c>
      <c r="W850">
        <f>IF($B850="","",IF($AI850=1,0,IF($AH850=1,Settings!$C$6,Settings!$C$7))*100)</f>
        <v/>
      </c>
      <c r="AA850" s="7" t="n"/>
      <c r="AD850" s="11" t="n"/>
      <c r="AF850">
        <f>IF($B850="","",IF(COUNTIF($B$2:$B850,$B850)=1,1,0))</f>
        <v/>
      </c>
      <c r="AG850">
        <f>IF($AF850=1,SUMPRODUCT(--($AJ$2:$AJ$1501&lt;$AJ850))+1,"")</f>
        <v/>
      </c>
      <c r="AH850">
        <f>IF($B850="","",IF(OR($M850=TRUE(),$M850="TRUE"),1,0))</f>
        <v/>
      </c>
      <c r="AI850">
        <f>IF($B850="","",IF($V850="Yes",1,0))</f>
        <v/>
      </c>
      <c r="AJ850">
        <f>IF($AF850=1,IFERROR(IF(VALUE($B850)&lt;100000000,VALUE($B850),1000000000),IFERROR(IF(VALUE(MID($B850,2,20))&lt;100000000,VALUE(MID($B850,2,20)),1000000000),1000000000))+ROW()/100000,"")</f>
        <v/>
      </c>
    </row>
    <row r="851">
      <c r="C851" s="11" t="n"/>
      <c r="J851" s="7">
        <f>IF($B851="","",I851*Q851/100)</f>
        <v/>
      </c>
      <c r="P851" s="7" t="n"/>
      <c r="Q851" s="7" t="n"/>
      <c r="R851" s="7">
        <f>IF($B851="","",Q851*W851/100)</f>
        <v/>
      </c>
      <c r="S851" s="7">
        <f>IF($B851="","",Q851-R851)</f>
        <v/>
      </c>
      <c r="T851" s="7">
        <f>IF($B851="","",S851-J851)</f>
        <v/>
      </c>
      <c r="W851">
        <f>IF($B851="","",IF($AI851=1,0,IF($AH851=1,Settings!$C$6,Settings!$C$7))*100)</f>
        <v/>
      </c>
      <c r="AA851" s="7" t="n"/>
      <c r="AD851" s="11" t="n"/>
      <c r="AF851">
        <f>IF($B851="","",IF(COUNTIF($B$2:$B851,$B851)=1,1,0))</f>
        <v/>
      </c>
      <c r="AG851">
        <f>IF($AF851=1,SUMPRODUCT(--($AJ$2:$AJ$1501&lt;$AJ851))+1,"")</f>
        <v/>
      </c>
      <c r="AH851">
        <f>IF($B851="","",IF(OR($M851=TRUE(),$M851="TRUE"),1,0))</f>
        <v/>
      </c>
      <c r="AI851">
        <f>IF($B851="","",IF($V851="Yes",1,0))</f>
        <v/>
      </c>
      <c r="AJ851">
        <f>IF($AF851=1,IFERROR(IF(VALUE($B851)&lt;100000000,VALUE($B851),1000000000),IFERROR(IF(VALUE(MID($B851,2,20))&lt;100000000,VALUE(MID($B851,2,20)),1000000000),1000000000))+ROW()/100000,"")</f>
        <v/>
      </c>
    </row>
    <row r="852">
      <c r="C852" s="11" t="n"/>
      <c r="J852" s="7">
        <f>IF($B852="","",I852*Q852/100)</f>
        <v/>
      </c>
      <c r="P852" s="7" t="n"/>
      <c r="Q852" s="7" t="n"/>
      <c r="R852" s="7">
        <f>IF($B852="","",Q852*W852/100)</f>
        <v/>
      </c>
      <c r="S852" s="7">
        <f>IF($B852="","",Q852-R852)</f>
        <v/>
      </c>
      <c r="T852" s="7">
        <f>IF($B852="","",S852-J852)</f>
        <v/>
      </c>
      <c r="W852">
        <f>IF($B852="","",IF($AI852=1,0,IF($AH852=1,Settings!$C$6,Settings!$C$7))*100)</f>
        <v/>
      </c>
      <c r="AA852" s="7" t="n"/>
      <c r="AD852" s="11" t="n"/>
      <c r="AF852">
        <f>IF($B852="","",IF(COUNTIF($B$2:$B852,$B852)=1,1,0))</f>
        <v/>
      </c>
      <c r="AG852">
        <f>IF($AF852=1,SUMPRODUCT(--($AJ$2:$AJ$1501&lt;$AJ852))+1,"")</f>
        <v/>
      </c>
      <c r="AH852">
        <f>IF($B852="","",IF(OR($M852=TRUE(),$M852="TRUE"),1,0))</f>
        <v/>
      </c>
      <c r="AI852">
        <f>IF($B852="","",IF($V852="Yes",1,0))</f>
        <v/>
      </c>
      <c r="AJ852">
        <f>IF($AF852=1,IFERROR(IF(VALUE($B852)&lt;100000000,VALUE($B852),1000000000),IFERROR(IF(VALUE(MID($B852,2,20))&lt;100000000,VALUE(MID($B852,2,20)),1000000000),1000000000))+ROW()/100000,"")</f>
        <v/>
      </c>
    </row>
    <row r="853">
      <c r="C853" s="11" t="n"/>
      <c r="J853" s="7">
        <f>IF($B853="","",I853*Q853/100)</f>
        <v/>
      </c>
      <c r="P853" s="7" t="n"/>
      <c r="Q853" s="7" t="n"/>
      <c r="R853" s="7">
        <f>IF($B853="","",Q853*W853/100)</f>
        <v/>
      </c>
      <c r="S853" s="7">
        <f>IF($B853="","",Q853-R853)</f>
        <v/>
      </c>
      <c r="T853" s="7">
        <f>IF($B853="","",S853-J853)</f>
        <v/>
      </c>
      <c r="W853">
        <f>IF($B853="","",IF($AI853=1,0,IF($AH853=1,Settings!$C$6,Settings!$C$7))*100)</f>
        <v/>
      </c>
      <c r="AA853" s="7" t="n"/>
      <c r="AD853" s="11" t="n"/>
      <c r="AF853">
        <f>IF($B853="","",IF(COUNTIF($B$2:$B853,$B853)=1,1,0))</f>
        <v/>
      </c>
      <c r="AG853">
        <f>IF($AF853=1,SUMPRODUCT(--($AJ$2:$AJ$1501&lt;$AJ853))+1,"")</f>
        <v/>
      </c>
      <c r="AH853">
        <f>IF($B853="","",IF(OR($M853=TRUE(),$M853="TRUE"),1,0))</f>
        <v/>
      </c>
      <c r="AI853">
        <f>IF($B853="","",IF($V853="Yes",1,0))</f>
        <v/>
      </c>
      <c r="AJ853">
        <f>IF($AF853=1,IFERROR(IF(VALUE($B853)&lt;100000000,VALUE($B853),1000000000),IFERROR(IF(VALUE(MID($B853,2,20))&lt;100000000,VALUE(MID($B853,2,20)),1000000000),1000000000))+ROW()/100000,"")</f>
        <v/>
      </c>
    </row>
    <row r="854">
      <c r="C854" s="11" t="n"/>
      <c r="J854" s="7">
        <f>IF($B854="","",I854*Q854/100)</f>
        <v/>
      </c>
      <c r="P854" s="7" t="n"/>
      <c r="Q854" s="7" t="n"/>
      <c r="R854" s="7">
        <f>IF($B854="","",Q854*W854/100)</f>
        <v/>
      </c>
      <c r="S854" s="7">
        <f>IF($B854="","",Q854-R854)</f>
        <v/>
      </c>
      <c r="T854" s="7">
        <f>IF($B854="","",S854-J854)</f>
        <v/>
      </c>
      <c r="W854">
        <f>IF($B854="","",IF($AI854=1,0,IF($AH854=1,Settings!$C$6,Settings!$C$7))*100)</f>
        <v/>
      </c>
      <c r="AA854" s="7" t="n"/>
      <c r="AD854" s="11" t="n"/>
      <c r="AF854">
        <f>IF($B854="","",IF(COUNTIF($B$2:$B854,$B854)=1,1,0))</f>
        <v/>
      </c>
      <c r="AG854">
        <f>IF($AF854=1,SUMPRODUCT(--($AJ$2:$AJ$1501&lt;$AJ854))+1,"")</f>
        <v/>
      </c>
      <c r="AH854">
        <f>IF($B854="","",IF(OR($M854=TRUE(),$M854="TRUE"),1,0))</f>
        <v/>
      </c>
      <c r="AI854">
        <f>IF($B854="","",IF($V854="Yes",1,0))</f>
        <v/>
      </c>
      <c r="AJ854">
        <f>IF($AF854=1,IFERROR(IF(VALUE($B854)&lt;100000000,VALUE($B854),1000000000),IFERROR(IF(VALUE(MID($B854,2,20))&lt;100000000,VALUE(MID($B854,2,20)),1000000000),1000000000))+ROW()/100000,"")</f>
        <v/>
      </c>
    </row>
    <row r="855">
      <c r="C855" s="11" t="n"/>
      <c r="J855" s="7">
        <f>IF($B855="","",I855*Q855/100)</f>
        <v/>
      </c>
      <c r="P855" s="7" t="n"/>
      <c r="Q855" s="7" t="n"/>
      <c r="R855" s="7">
        <f>IF($B855="","",Q855*W855/100)</f>
        <v/>
      </c>
      <c r="S855" s="7">
        <f>IF($B855="","",Q855-R855)</f>
        <v/>
      </c>
      <c r="T855" s="7">
        <f>IF($B855="","",S855-J855)</f>
        <v/>
      </c>
      <c r="W855">
        <f>IF($B855="","",IF($AI855=1,0,IF($AH855=1,Settings!$C$6,Settings!$C$7))*100)</f>
        <v/>
      </c>
      <c r="AA855" s="7" t="n"/>
      <c r="AD855" s="11" t="n"/>
      <c r="AF855">
        <f>IF($B855="","",IF(COUNTIF($B$2:$B855,$B855)=1,1,0))</f>
        <v/>
      </c>
      <c r="AG855">
        <f>IF($AF855=1,SUMPRODUCT(--($AJ$2:$AJ$1501&lt;$AJ855))+1,"")</f>
        <v/>
      </c>
      <c r="AH855">
        <f>IF($B855="","",IF(OR($M855=TRUE(),$M855="TRUE"),1,0))</f>
        <v/>
      </c>
      <c r="AI855">
        <f>IF($B855="","",IF($V855="Yes",1,0))</f>
        <v/>
      </c>
      <c r="AJ855">
        <f>IF($AF855=1,IFERROR(IF(VALUE($B855)&lt;100000000,VALUE($B855),1000000000),IFERROR(IF(VALUE(MID($B855,2,20))&lt;100000000,VALUE(MID($B855,2,20)),1000000000),1000000000))+ROW()/100000,"")</f>
        <v/>
      </c>
    </row>
    <row r="856">
      <c r="C856" s="11" t="n"/>
      <c r="J856" s="7">
        <f>IF($B856="","",I856*Q856/100)</f>
        <v/>
      </c>
      <c r="P856" s="7" t="n"/>
      <c r="Q856" s="7" t="n"/>
      <c r="R856" s="7">
        <f>IF($B856="","",Q856*W856/100)</f>
        <v/>
      </c>
      <c r="S856" s="7">
        <f>IF($B856="","",Q856-R856)</f>
        <v/>
      </c>
      <c r="T856" s="7">
        <f>IF($B856="","",S856-J856)</f>
        <v/>
      </c>
      <c r="W856">
        <f>IF($B856="","",IF($AI856=1,0,IF($AH856=1,Settings!$C$6,Settings!$C$7))*100)</f>
        <v/>
      </c>
      <c r="AA856" s="7" t="n"/>
      <c r="AD856" s="11" t="n"/>
      <c r="AF856">
        <f>IF($B856="","",IF(COUNTIF($B$2:$B856,$B856)=1,1,0))</f>
        <v/>
      </c>
      <c r="AG856">
        <f>IF($AF856=1,SUMPRODUCT(--($AJ$2:$AJ$1501&lt;$AJ856))+1,"")</f>
        <v/>
      </c>
      <c r="AH856">
        <f>IF($B856="","",IF(OR($M856=TRUE(),$M856="TRUE"),1,0))</f>
        <v/>
      </c>
      <c r="AI856">
        <f>IF($B856="","",IF($V856="Yes",1,0))</f>
        <v/>
      </c>
      <c r="AJ856">
        <f>IF($AF856=1,IFERROR(IF(VALUE($B856)&lt;100000000,VALUE($B856),1000000000),IFERROR(IF(VALUE(MID($B856,2,20))&lt;100000000,VALUE(MID($B856,2,20)),1000000000),1000000000))+ROW()/100000,"")</f>
        <v/>
      </c>
    </row>
    <row r="857">
      <c r="C857" s="11" t="n"/>
      <c r="J857" s="7">
        <f>IF($B857="","",I857*Q857/100)</f>
        <v/>
      </c>
      <c r="P857" s="7" t="n"/>
      <c r="Q857" s="7" t="n"/>
      <c r="R857" s="7">
        <f>IF($B857="","",Q857*W857/100)</f>
        <v/>
      </c>
      <c r="S857" s="7">
        <f>IF($B857="","",Q857-R857)</f>
        <v/>
      </c>
      <c r="T857" s="7">
        <f>IF($B857="","",S857-J857)</f>
        <v/>
      </c>
      <c r="W857">
        <f>IF($B857="","",IF($AI857=1,0,IF($AH857=1,Settings!$C$6,Settings!$C$7))*100)</f>
        <v/>
      </c>
      <c r="AA857" s="7" t="n"/>
      <c r="AD857" s="11" t="n"/>
      <c r="AF857">
        <f>IF($B857="","",IF(COUNTIF($B$2:$B857,$B857)=1,1,0))</f>
        <v/>
      </c>
      <c r="AG857">
        <f>IF($AF857=1,SUMPRODUCT(--($AJ$2:$AJ$1501&lt;$AJ857))+1,"")</f>
        <v/>
      </c>
      <c r="AH857">
        <f>IF($B857="","",IF(OR($M857=TRUE(),$M857="TRUE"),1,0))</f>
        <v/>
      </c>
      <c r="AI857">
        <f>IF($B857="","",IF($V857="Yes",1,0))</f>
        <v/>
      </c>
      <c r="AJ857">
        <f>IF($AF857=1,IFERROR(IF(VALUE($B857)&lt;100000000,VALUE($B857),1000000000),IFERROR(IF(VALUE(MID($B857,2,20))&lt;100000000,VALUE(MID($B857,2,20)),1000000000),1000000000))+ROW()/100000,"")</f>
        <v/>
      </c>
    </row>
    <row r="858">
      <c r="C858" s="11" t="n"/>
      <c r="J858" s="7">
        <f>IF($B858="","",I858*Q858/100)</f>
        <v/>
      </c>
      <c r="P858" s="7" t="n"/>
      <c r="Q858" s="7" t="n"/>
      <c r="R858" s="7">
        <f>IF($B858="","",Q858*W858/100)</f>
        <v/>
      </c>
      <c r="S858" s="7">
        <f>IF($B858="","",Q858-R858)</f>
        <v/>
      </c>
      <c r="T858" s="7">
        <f>IF($B858="","",S858-J858)</f>
        <v/>
      </c>
      <c r="W858">
        <f>IF($B858="","",IF($AI858=1,0,IF($AH858=1,Settings!$C$6,Settings!$C$7))*100)</f>
        <v/>
      </c>
      <c r="AA858" s="7" t="n"/>
      <c r="AD858" s="11" t="n"/>
      <c r="AF858">
        <f>IF($B858="","",IF(COUNTIF($B$2:$B858,$B858)=1,1,0))</f>
        <v/>
      </c>
      <c r="AG858">
        <f>IF($AF858=1,SUMPRODUCT(--($AJ$2:$AJ$1501&lt;$AJ858))+1,"")</f>
        <v/>
      </c>
      <c r="AH858">
        <f>IF($B858="","",IF(OR($M858=TRUE(),$M858="TRUE"),1,0))</f>
        <v/>
      </c>
      <c r="AI858">
        <f>IF($B858="","",IF($V858="Yes",1,0))</f>
        <v/>
      </c>
      <c r="AJ858">
        <f>IF($AF858=1,IFERROR(IF(VALUE($B858)&lt;100000000,VALUE($B858),1000000000),IFERROR(IF(VALUE(MID($B858,2,20))&lt;100000000,VALUE(MID($B858,2,20)),1000000000),1000000000))+ROW()/100000,"")</f>
        <v/>
      </c>
    </row>
    <row r="859">
      <c r="C859" s="11" t="n"/>
      <c r="J859" s="7">
        <f>IF($B859="","",I859*Q859/100)</f>
        <v/>
      </c>
      <c r="P859" s="7" t="n"/>
      <c r="Q859" s="7" t="n"/>
      <c r="R859" s="7">
        <f>IF($B859="","",Q859*W859/100)</f>
        <v/>
      </c>
      <c r="S859" s="7">
        <f>IF($B859="","",Q859-R859)</f>
        <v/>
      </c>
      <c r="T859" s="7">
        <f>IF($B859="","",S859-J859)</f>
        <v/>
      </c>
      <c r="W859">
        <f>IF($B859="","",IF($AI859=1,0,IF($AH859=1,Settings!$C$6,Settings!$C$7))*100)</f>
        <v/>
      </c>
      <c r="AA859" s="7" t="n"/>
      <c r="AD859" s="11" t="n"/>
      <c r="AF859">
        <f>IF($B859="","",IF(COUNTIF($B$2:$B859,$B859)=1,1,0))</f>
        <v/>
      </c>
      <c r="AG859">
        <f>IF($AF859=1,SUMPRODUCT(--($AJ$2:$AJ$1501&lt;$AJ859))+1,"")</f>
        <v/>
      </c>
      <c r="AH859">
        <f>IF($B859="","",IF(OR($M859=TRUE(),$M859="TRUE"),1,0))</f>
        <v/>
      </c>
      <c r="AI859">
        <f>IF($B859="","",IF($V859="Yes",1,0))</f>
        <v/>
      </c>
      <c r="AJ859">
        <f>IF($AF859=1,IFERROR(IF(VALUE($B859)&lt;100000000,VALUE($B859),1000000000),IFERROR(IF(VALUE(MID($B859,2,20))&lt;100000000,VALUE(MID($B859,2,20)),1000000000),1000000000))+ROW()/100000,"")</f>
        <v/>
      </c>
    </row>
    <row r="860">
      <c r="C860" s="11" t="n"/>
      <c r="J860" s="7">
        <f>IF($B860="","",I860*Q860/100)</f>
        <v/>
      </c>
      <c r="P860" s="7" t="n"/>
      <c r="Q860" s="7" t="n"/>
      <c r="R860" s="7">
        <f>IF($B860="","",Q860*W860/100)</f>
        <v/>
      </c>
      <c r="S860" s="7">
        <f>IF($B860="","",Q860-R860)</f>
        <v/>
      </c>
      <c r="T860" s="7">
        <f>IF($B860="","",S860-J860)</f>
        <v/>
      </c>
      <c r="W860">
        <f>IF($B860="","",IF($AI860=1,0,IF($AH860=1,Settings!$C$6,Settings!$C$7))*100)</f>
        <v/>
      </c>
      <c r="AA860" s="7" t="n"/>
      <c r="AD860" s="11" t="n"/>
      <c r="AF860">
        <f>IF($B860="","",IF(COUNTIF($B$2:$B860,$B860)=1,1,0))</f>
        <v/>
      </c>
      <c r="AG860">
        <f>IF($AF860=1,SUMPRODUCT(--($AJ$2:$AJ$1501&lt;$AJ860))+1,"")</f>
        <v/>
      </c>
      <c r="AH860">
        <f>IF($B860="","",IF(OR($M860=TRUE(),$M860="TRUE"),1,0))</f>
        <v/>
      </c>
      <c r="AI860">
        <f>IF($B860="","",IF($V860="Yes",1,0))</f>
        <v/>
      </c>
      <c r="AJ860">
        <f>IF($AF860=1,IFERROR(IF(VALUE($B860)&lt;100000000,VALUE($B860),1000000000),IFERROR(IF(VALUE(MID($B860,2,20))&lt;100000000,VALUE(MID($B860,2,20)),1000000000),1000000000))+ROW()/100000,"")</f>
        <v/>
      </c>
    </row>
    <row r="861">
      <c r="C861" s="11" t="n"/>
      <c r="J861" s="7">
        <f>IF($B861="","",I861*Q861/100)</f>
        <v/>
      </c>
      <c r="P861" s="7" t="n"/>
      <c r="Q861" s="7" t="n"/>
      <c r="R861" s="7">
        <f>IF($B861="","",Q861*W861/100)</f>
        <v/>
      </c>
      <c r="S861" s="7">
        <f>IF($B861="","",Q861-R861)</f>
        <v/>
      </c>
      <c r="T861" s="7">
        <f>IF($B861="","",S861-J861)</f>
        <v/>
      </c>
      <c r="W861">
        <f>IF($B861="","",IF($AI861=1,0,IF($AH861=1,Settings!$C$6,Settings!$C$7))*100)</f>
        <v/>
      </c>
      <c r="AA861" s="7" t="n"/>
      <c r="AD861" s="11" t="n"/>
      <c r="AF861">
        <f>IF($B861="","",IF(COUNTIF($B$2:$B861,$B861)=1,1,0))</f>
        <v/>
      </c>
      <c r="AG861">
        <f>IF($AF861=1,SUMPRODUCT(--($AJ$2:$AJ$1501&lt;$AJ861))+1,"")</f>
        <v/>
      </c>
      <c r="AH861">
        <f>IF($B861="","",IF(OR($M861=TRUE(),$M861="TRUE"),1,0))</f>
        <v/>
      </c>
      <c r="AI861">
        <f>IF($B861="","",IF($V861="Yes",1,0))</f>
        <v/>
      </c>
      <c r="AJ861">
        <f>IF($AF861=1,IFERROR(IF(VALUE($B861)&lt;100000000,VALUE($B861),1000000000),IFERROR(IF(VALUE(MID($B861,2,20))&lt;100000000,VALUE(MID($B861,2,20)),1000000000),1000000000))+ROW()/100000,"")</f>
        <v/>
      </c>
    </row>
    <row r="862">
      <c r="C862" s="11" t="n"/>
      <c r="J862" s="7">
        <f>IF($B862="","",I862*Q862/100)</f>
        <v/>
      </c>
      <c r="P862" s="7" t="n"/>
      <c r="Q862" s="7" t="n"/>
      <c r="R862" s="7">
        <f>IF($B862="","",Q862*W862/100)</f>
        <v/>
      </c>
      <c r="S862" s="7">
        <f>IF($B862="","",Q862-R862)</f>
        <v/>
      </c>
      <c r="T862" s="7">
        <f>IF($B862="","",S862-J862)</f>
        <v/>
      </c>
      <c r="W862">
        <f>IF($B862="","",IF($AI862=1,0,IF($AH862=1,Settings!$C$6,Settings!$C$7))*100)</f>
        <v/>
      </c>
      <c r="AA862" s="7" t="n"/>
      <c r="AD862" s="11" t="n"/>
      <c r="AF862">
        <f>IF($B862="","",IF(COUNTIF($B$2:$B862,$B862)=1,1,0))</f>
        <v/>
      </c>
      <c r="AG862">
        <f>IF($AF862=1,SUMPRODUCT(--($AJ$2:$AJ$1501&lt;$AJ862))+1,"")</f>
        <v/>
      </c>
      <c r="AH862">
        <f>IF($B862="","",IF(OR($M862=TRUE(),$M862="TRUE"),1,0))</f>
        <v/>
      </c>
      <c r="AI862">
        <f>IF($B862="","",IF($V862="Yes",1,0))</f>
        <v/>
      </c>
      <c r="AJ862">
        <f>IF($AF862=1,IFERROR(IF(VALUE($B862)&lt;100000000,VALUE($B862),1000000000),IFERROR(IF(VALUE(MID($B862,2,20))&lt;100000000,VALUE(MID($B862,2,20)),1000000000),1000000000))+ROW()/100000,"")</f>
        <v/>
      </c>
    </row>
    <row r="863">
      <c r="C863" s="11" t="n"/>
      <c r="J863" s="7">
        <f>IF($B863="","",I863*Q863/100)</f>
        <v/>
      </c>
      <c r="P863" s="7" t="n"/>
      <c r="Q863" s="7" t="n"/>
      <c r="R863" s="7">
        <f>IF($B863="","",Q863*W863/100)</f>
        <v/>
      </c>
      <c r="S863" s="7">
        <f>IF($B863="","",Q863-R863)</f>
        <v/>
      </c>
      <c r="T863" s="7">
        <f>IF($B863="","",S863-J863)</f>
        <v/>
      </c>
      <c r="W863">
        <f>IF($B863="","",IF($AI863=1,0,IF($AH863=1,Settings!$C$6,Settings!$C$7))*100)</f>
        <v/>
      </c>
      <c r="AA863" s="7" t="n"/>
      <c r="AD863" s="11" t="n"/>
      <c r="AF863">
        <f>IF($B863="","",IF(COUNTIF($B$2:$B863,$B863)=1,1,0))</f>
        <v/>
      </c>
      <c r="AG863">
        <f>IF($AF863=1,SUMPRODUCT(--($AJ$2:$AJ$1501&lt;$AJ863))+1,"")</f>
        <v/>
      </c>
      <c r="AH863">
        <f>IF($B863="","",IF(OR($M863=TRUE(),$M863="TRUE"),1,0))</f>
        <v/>
      </c>
      <c r="AI863">
        <f>IF($B863="","",IF($V863="Yes",1,0))</f>
        <v/>
      </c>
      <c r="AJ863">
        <f>IF($AF863=1,IFERROR(IF(VALUE($B863)&lt;100000000,VALUE($B863),1000000000),IFERROR(IF(VALUE(MID($B863,2,20))&lt;100000000,VALUE(MID($B863,2,20)),1000000000),1000000000))+ROW()/100000,"")</f>
        <v/>
      </c>
    </row>
    <row r="864">
      <c r="C864" s="11" t="n"/>
      <c r="J864" s="7">
        <f>IF($B864="","",I864*Q864/100)</f>
        <v/>
      </c>
      <c r="P864" s="7" t="n"/>
      <c r="Q864" s="7" t="n"/>
      <c r="R864" s="7">
        <f>IF($B864="","",Q864*W864/100)</f>
        <v/>
      </c>
      <c r="S864" s="7">
        <f>IF($B864="","",Q864-R864)</f>
        <v/>
      </c>
      <c r="T864" s="7">
        <f>IF($B864="","",S864-J864)</f>
        <v/>
      </c>
      <c r="W864">
        <f>IF($B864="","",IF($AI864=1,0,IF($AH864=1,Settings!$C$6,Settings!$C$7))*100)</f>
        <v/>
      </c>
      <c r="AA864" s="7" t="n"/>
      <c r="AD864" s="11" t="n"/>
      <c r="AF864">
        <f>IF($B864="","",IF(COUNTIF($B$2:$B864,$B864)=1,1,0))</f>
        <v/>
      </c>
      <c r="AG864">
        <f>IF($AF864=1,SUMPRODUCT(--($AJ$2:$AJ$1501&lt;$AJ864))+1,"")</f>
        <v/>
      </c>
      <c r="AH864">
        <f>IF($B864="","",IF(OR($M864=TRUE(),$M864="TRUE"),1,0))</f>
        <v/>
      </c>
      <c r="AI864">
        <f>IF($B864="","",IF($V864="Yes",1,0))</f>
        <v/>
      </c>
      <c r="AJ864">
        <f>IF($AF864=1,IFERROR(IF(VALUE($B864)&lt;100000000,VALUE($B864),1000000000),IFERROR(IF(VALUE(MID($B864,2,20))&lt;100000000,VALUE(MID($B864,2,20)),1000000000),1000000000))+ROW()/100000,"")</f>
        <v/>
      </c>
    </row>
    <row r="865">
      <c r="C865" s="11" t="n"/>
      <c r="J865" s="7">
        <f>IF($B865="","",I865*Q865/100)</f>
        <v/>
      </c>
      <c r="P865" s="7" t="n"/>
      <c r="Q865" s="7" t="n"/>
      <c r="R865" s="7">
        <f>IF($B865="","",Q865*W865/100)</f>
        <v/>
      </c>
      <c r="S865" s="7">
        <f>IF($B865="","",Q865-R865)</f>
        <v/>
      </c>
      <c r="T865" s="7">
        <f>IF($B865="","",S865-J865)</f>
        <v/>
      </c>
      <c r="W865">
        <f>IF($B865="","",IF($AI865=1,0,IF($AH865=1,Settings!$C$6,Settings!$C$7))*100)</f>
        <v/>
      </c>
      <c r="AA865" s="7" t="n"/>
      <c r="AD865" s="11" t="n"/>
      <c r="AF865">
        <f>IF($B865="","",IF(COUNTIF($B$2:$B865,$B865)=1,1,0))</f>
        <v/>
      </c>
      <c r="AG865">
        <f>IF($AF865=1,SUMPRODUCT(--($AJ$2:$AJ$1501&lt;$AJ865))+1,"")</f>
        <v/>
      </c>
      <c r="AH865">
        <f>IF($B865="","",IF(OR($M865=TRUE(),$M865="TRUE"),1,0))</f>
        <v/>
      </c>
      <c r="AI865">
        <f>IF($B865="","",IF($V865="Yes",1,0))</f>
        <v/>
      </c>
      <c r="AJ865">
        <f>IF($AF865=1,IFERROR(IF(VALUE($B865)&lt;100000000,VALUE($B865),1000000000),IFERROR(IF(VALUE(MID($B865,2,20))&lt;100000000,VALUE(MID($B865,2,20)),1000000000),1000000000))+ROW()/100000,"")</f>
        <v/>
      </c>
    </row>
    <row r="866">
      <c r="C866" s="11" t="n"/>
      <c r="J866" s="7">
        <f>IF($B866="","",I866*Q866/100)</f>
        <v/>
      </c>
      <c r="P866" s="7" t="n"/>
      <c r="Q866" s="7" t="n"/>
      <c r="R866" s="7">
        <f>IF($B866="","",Q866*W866/100)</f>
        <v/>
      </c>
      <c r="S866" s="7">
        <f>IF($B866="","",Q866-R866)</f>
        <v/>
      </c>
      <c r="T866" s="7">
        <f>IF($B866="","",S866-J866)</f>
        <v/>
      </c>
      <c r="W866">
        <f>IF($B866="","",IF($AI866=1,0,IF($AH866=1,Settings!$C$6,Settings!$C$7))*100)</f>
        <v/>
      </c>
      <c r="AA866" s="7" t="n"/>
      <c r="AD866" s="11" t="n"/>
      <c r="AF866">
        <f>IF($B866="","",IF(COUNTIF($B$2:$B866,$B866)=1,1,0))</f>
        <v/>
      </c>
      <c r="AG866">
        <f>IF($AF866=1,SUMPRODUCT(--($AJ$2:$AJ$1501&lt;$AJ866))+1,"")</f>
        <v/>
      </c>
      <c r="AH866">
        <f>IF($B866="","",IF(OR($M866=TRUE(),$M866="TRUE"),1,0))</f>
        <v/>
      </c>
      <c r="AI866">
        <f>IF($B866="","",IF($V866="Yes",1,0))</f>
        <v/>
      </c>
      <c r="AJ866">
        <f>IF($AF866=1,IFERROR(IF(VALUE($B866)&lt;100000000,VALUE($B866),1000000000),IFERROR(IF(VALUE(MID($B866,2,20))&lt;100000000,VALUE(MID($B866,2,20)),1000000000),1000000000))+ROW()/100000,"")</f>
        <v/>
      </c>
    </row>
    <row r="867">
      <c r="C867" s="11" t="n"/>
      <c r="J867" s="7">
        <f>IF($B867="","",I867*Q867/100)</f>
        <v/>
      </c>
      <c r="P867" s="7" t="n"/>
      <c r="Q867" s="7" t="n"/>
      <c r="R867" s="7">
        <f>IF($B867="","",Q867*W867/100)</f>
        <v/>
      </c>
      <c r="S867" s="7">
        <f>IF($B867="","",Q867-R867)</f>
        <v/>
      </c>
      <c r="T867" s="7">
        <f>IF($B867="","",S867-J867)</f>
        <v/>
      </c>
      <c r="W867">
        <f>IF($B867="","",IF($AI867=1,0,IF($AH867=1,Settings!$C$6,Settings!$C$7))*100)</f>
        <v/>
      </c>
      <c r="AA867" s="7" t="n"/>
      <c r="AD867" s="11" t="n"/>
      <c r="AF867">
        <f>IF($B867="","",IF(COUNTIF($B$2:$B867,$B867)=1,1,0))</f>
        <v/>
      </c>
      <c r="AG867">
        <f>IF($AF867=1,SUMPRODUCT(--($AJ$2:$AJ$1501&lt;$AJ867))+1,"")</f>
        <v/>
      </c>
      <c r="AH867">
        <f>IF($B867="","",IF(OR($M867=TRUE(),$M867="TRUE"),1,0))</f>
        <v/>
      </c>
      <c r="AI867">
        <f>IF($B867="","",IF($V867="Yes",1,0))</f>
        <v/>
      </c>
      <c r="AJ867">
        <f>IF($AF867=1,IFERROR(IF(VALUE($B867)&lt;100000000,VALUE($B867),1000000000),IFERROR(IF(VALUE(MID($B867,2,20))&lt;100000000,VALUE(MID($B867,2,20)),1000000000),1000000000))+ROW()/100000,"")</f>
        <v/>
      </c>
    </row>
    <row r="868">
      <c r="C868" s="11" t="n"/>
      <c r="J868" s="7">
        <f>IF($B868="","",I868*Q868/100)</f>
        <v/>
      </c>
      <c r="P868" s="7" t="n"/>
      <c r="Q868" s="7" t="n"/>
      <c r="R868" s="7">
        <f>IF($B868="","",Q868*W868/100)</f>
        <v/>
      </c>
      <c r="S868" s="7">
        <f>IF($B868="","",Q868-R868)</f>
        <v/>
      </c>
      <c r="T868" s="7">
        <f>IF($B868="","",S868-J868)</f>
        <v/>
      </c>
      <c r="W868">
        <f>IF($B868="","",IF($AI868=1,0,IF($AH868=1,Settings!$C$6,Settings!$C$7))*100)</f>
        <v/>
      </c>
      <c r="AA868" s="7" t="n"/>
      <c r="AD868" s="11" t="n"/>
      <c r="AF868">
        <f>IF($B868="","",IF(COUNTIF($B$2:$B868,$B868)=1,1,0))</f>
        <v/>
      </c>
      <c r="AG868">
        <f>IF($AF868=1,SUMPRODUCT(--($AJ$2:$AJ$1501&lt;$AJ868))+1,"")</f>
        <v/>
      </c>
      <c r="AH868">
        <f>IF($B868="","",IF(OR($M868=TRUE(),$M868="TRUE"),1,0))</f>
        <v/>
      </c>
      <c r="AI868">
        <f>IF($B868="","",IF($V868="Yes",1,0))</f>
        <v/>
      </c>
      <c r="AJ868">
        <f>IF($AF868=1,IFERROR(IF(VALUE($B868)&lt;100000000,VALUE($B868),1000000000),IFERROR(IF(VALUE(MID($B868,2,20))&lt;100000000,VALUE(MID($B868,2,20)),1000000000),1000000000))+ROW()/100000,"")</f>
        <v/>
      </c>
    </row>
    <row r="869">
      <c r="C869" s="11" t="n"/>
      <c r="J869" s="7">
        <f>IF($B869="","",I869*Q869/100)</f>
        <v/>
      </c>
      <c r="P869" s="7" t="n"/>
      <c r="Q869" s="7" t="n"/>
      <c r="R869" s="7">
        <f>IF($B869="","",Q869*W869/100)</f>
        <v/>
      </c>
      <c r="S869" s="7">
        <f>IF($B869="","",Q869-R869)</f>
        <v/>
      </c>
      <c r="T869" s="7">
        <f>IF($B869="","",S869-J869)</f>
        <v/>
      </c>
      <c r="W869">
        <f>IF($B869="","",IF($AI869=1,0,IF($AH869=1,Settings!$C$6,Settings!$C$7))*100)</f>
        <v/>
      </c>
      <c r="AA869" s="7" t="n"/>
      <c r="AD869" s="11" t="n"/>
      <c r="AF869">
        <f>IF($B869="","",IF(COUNTIF($B$2:$B869,$B869)=1,1,0))</f>
        <v/>
      </c>
      <c r="AG869">
        <f>IF($AF869=1,SUMPRODUCT(--($AJ$2:$AJ$1501&lt;$AJ869))+1,"")</f>
        <v/>
      </c>
      <c r="AH869">
        <f>IF($B869="","",IF(OR($M869=TRUE(),$M869="TRUE"),1,0))</f>
        <v/>
      </c>
      <c r="AI869">
        <f>IF($B869="","",IF($V869="Yes",1,0))</f>
        <v/>
      </c>
      <c r="AJ869">
        <f>IF($AF869=1,IFERROR(IF(VALUE($B869)&lt;100000000,VALUE($B869),1000000000),IFERROR(IF(VALUE(MID($B869,2,20))&lt;100000000,VALUE(MID($B869,2,20)),1000000000),1000000000))+ROW()/100000,"")</f>
        <v/>
      </c>
    </row>
    <row r="870">
      <c r="C870" s="11" t="n"/>
      <c r="J870" s="7">
        <f>IF($B870="","",I870*Q870/100)</f>
        <v/>
      </c>
      <c r="P870" s="7" t="n"/>
      <c r="Q870" s="7" t="n"/>
      <c r="R870" s="7">
        <f>IF($B870="","",Q870*W870/100)</f>
        <v/>
      </c>
      <c r="S870" s="7">
        <f>IF($B870="","",Q870-R870)</f>
        <v/>
      </c>
      <c r="T870" s="7">
        <f>IF($B870="","",S870-J870)</f>
        <v/>
      </c>
      <c r="W870">
        <f>IF($B870="","",IF($AI870=1,0,IF($AH870=1,Settings!$C$6,Settings!$C$7))*100)</f>
        <v/>
      </c>
      <c r="AA870" s="7" t="n"/>
      <c r="AD870" s="11" t="n"/>
      <c r="AF870">
        <f>IF($B870="","",IF(COUNTIF($B$2:$B870,$B870)=1,1,0))</f>
        <v/>
      </c>
      <c r="AG870">
        <f>IF($AF870=1,SUMPRODUCT(--($AJ$2:$AJ$1501&lt;$AJ870))+1,"")</f>
        <v/>
      </c>
      <c r="AH870">
        <f>IF($B870="","",IF(OR($M870=TRUE(),$M870="TRUE"),1,0))</f>
        <v/>
      </c>
      <c r="AI870">
        <f>IF($B870="","",IF($V870="Yes",1,0))</f>
        <v/>
      </c>
      <c r="AJ870">
        <f>IF($AF870=1,IFERROR(IF(VALUE($B870)&lt;100000000,VALUE($B870),1000000000),IFERROR(IF(VALUE(MID($B870,2,20))&lt;100000000,VALUE(MID($B870,2,20)),1000000000),1000000000))+ROW()/100000,"")</f>
        <v/>
      </c>
    </row>
    <row r="871">
      <c r="C871" s="11" t="n"/>
      <c r="J871" s="7">
        <f>IF($B871="","",I871*Q871/100)</f>
        <v/>
      </c>
      <c r="P871" s="7" t="n"/>
      <c r="Q871" s="7" t="n"/>
      <c r="R871" s="7">
        <f>IF($B871="","",Q871*W871/100)</f>
        <v/>
      </c>
      <c r="S871" s="7">
        <f>IF($B871="","",Q871-R871)</f>
        <v/>
      </c>
      <c r="T871" s="7">
        <f>IF($B871="","",S871-J871)</f>
        <v/>
      </c>
      <c r="W871">
        <f>IF($B871="","",IF($AI871=1,0,IF($AH871=1,Settings!$C$6,Settings!$C$7))*100)</f>
        <v/>
      </c>
      <c r="AA871" s="7" t="n"/>
      <c r="AD871" s="11" t="n"/>
      <c r="AF871">
        <f>IF($B871="","",IF(COUNTIF($B$2:$B871,$B871)=1,1,0))</f>
        <v/>
      </c>
      <c r="AG871">
        <f>IF($AF871=1,SUMPRODUCT(--($AJ$2:$AJ$1501&lt;$AJ871))+1,"")</f>
        <v/>
      </c>
      <c r="AH871">
        <f>IF($B871="","",IF(OR($M871=TRUE(),$M871="TRUE"),1,0))</f>
        <v/>
      </c>
      <c r="AI871">
        <f>IF($B871="","",IF($V871="Yes",1,0))</f>
        <v/>
      </c>
      <c r="AJ871">
        <f>IF($AF871=1,IFERROR(IF(VALUE($B871)&lt;100000000,VALUE($B871),1000000000),IFERROR(IF(VALUE(MID($B871,2,20))&lt;100000000,VALUE(MID($B871,2,20)),1000000000),1000000000))+ROW()/100000,"")</f>
        <v/>
      </c>
    </row>
    <row r="872">
      <c r="C872" s="11" t="n"/>
      <c r="J872" s="7">
        <f>IF($B872="","",I872*Q872/100)</f>
        <v/>
      </c>
      <c r="P872" s="7" t="n"/>
      <c r="Q872" s="7" t="n"/>
      <c r="R872" s="7">
        <f>IF($B872="","",Q872*W872/100)</f>
        <v/>
      </c>
      <c r="S872" s="7">
        <f>IF($B872="","",Q872-R872)</f>
        <v/>
      </c>
      <c r="T872" s="7">
        <f>IF($B872="","",S872-J872)</f>
        <v/>
      </c>
      <c r="W872">
        <f>IF($B872="","",IF($AI872=1,0,IF($AH872=1,Settings!$C$6,Settings!$C$7))*100)</f>
        <v/>
      </c>
      <c r="AA872" s="7" t="n"/>
      <c r="AD872" s="11" t="n"/>
      <c r="AF872">
        <f>IF($B872="","",IF(COUNTIF($B$2:$B872,$B872)=1,1,0))</f>
        <v/>
      </c>
      <c r="AG872">
        <f>IF($AF872=1,SUMPRODUCT(--($AJ$2:$AJ$1501&lt;$AJ872))+1,"")</f>
        <v/>
      </c>
      <c r="AH872">
        <f>IF($B872="","",IF(OR($M872=TRUE(),$M872="TRUE"),1,0))</f>
        <v/>
      </c>
      <c r="AI872">
        <f>IF($B872="","",IF($V872="Yes",1,0))</f>
        <v/>
      </c>
      <c r="AJ872">
        <f>IF($AF872=1,IFERROR(IF(VALUE($B872)&lt;100000000,VALUE($B872),1000000000),IFERROR(IF(VALUE(MID($B872,2,20))&lt;100000000,VALUE(MID($B872,2,20)),1000000000),1000000000))+ROW()/100000,"")</f>
        <v/>
      </c>
    </row>
    <row r="873">
      <c r="C873" s="11" t="n"/>
      <c r="J873" s="7">
        <f>IF($B873="","",I873*Q873/100)</f>
        <v/>
      </c>
      <c r="P873" s="7" t="n"/>
      <c r="Q873" s="7" t="n"/>
      <c r="R873" s="7">
        <f>IF($B873="","",Q873*W873/100)</f>
        <v/>
      </c>
      <c r="S873" s="7">
        <f>IF($B873="","",Q873-R873)</f>
        <v/>
      </c>
      <c r="T873" s="7">
        <f>IF($B873="","",S873-J873)</f>
        <v/>
      </c>
      <c r="W873">
        <f>IF($B873="","",IF($AI873=1,0,IF($AH873=1,Settings!$C$6,Settings!$C$7))*100)</f>
        <v/>
      </c>
      <c r="AA873" s="7" t="n"/>
      <c r="AD873" s="11" t="n"/>
      <c r="AF873">
        <f>IF($B873="","",IF(COUNTIF($B$2:$B873,$B873)=1,1,0))</f>
        <v/>
      </c>
      <c r="AG873">
        <f>IF($AF873=1,SUMPRODUCT(--($AJ$2:$AJ$1501&lt;$AJ873))+1,"")</f>
        <v/>
      </c>
      <c r="AH873">
        <f>IF($B873="","",IF(OR($M873=TRUE(),$M873="TRUE"),1,0))</f>
        <v/>
      </c>
      <c r="AI873">
        <f>IF($B873="","",IF($V873="Yes",1,0))</f>
        <v/>
      </c>
      <c r="AJ873">
        <f>IF($AF873=1,IFERROR(IF(VALUE($B873)&lt;100000000,VALUE($B873),1000000000),IFERROR(IF(VALUE(MID($B873,2,20))&lt;100000000,VALUE(MID($B873,2,20)),1000000000),1000000000))+ROW()/100000,"")</f>
        <v/>
      </c>
    </row>
    <row r="874">
      <c r="C874" s="11" t="n"/>
      <c r="J874" s="7">
        <f>IF($B874="","",I874*Q874/100)</f>
        <v/>
      </c>
      <c r="P874" s="7" t="n"/>
      <c r="Q874" s="7" t="n"/>
      <c r="R874" s="7">
        <f>IF($B874="","",Q874*W874/100)</f>
        <v/>
      </c>
      <c r="S874" s="7">
        <f>IF($B874="","",Q874-R874)</f>
        <v/>
      </c>
      <c r="T874" s="7">
        <f>IF($B874="","",S874-J874)</f>
        <v/>
      </c>
      <c r="W874">
        <f>IF($B874="","",IF($AI874=1,0,IF($AH874=1,Settings!$C$6,Settings!$C$7))*100)</f>
        <v/>
      </c>
      <c r="AA874" s="7" t="n"/>
      <c r="AD874" s="11" t="n"/>
      <c r="AF874">
        <f>IF($B874="","",IF(COUNTIF($B$2:$B874,$B874)=1,1,0))</f>
        <v/>
      </c>
      <c r="AG874">
        <f>IF($AF874=1,SUMPRODUCT(--($AJ$2:$AJ$1501&lt;$AJ874))+1,"")</f>
        <v/>
      </c>
      <c r="AH874">
        <f>IF($B874="","",IF(OR($M874=TRUE(),$M874="TRUE"),1,0))</f>
        <v/>
      </c>
      <c r="AI874">
        <f>IF($B874="","",IF($V874="Yes",1,0))</f>
        <v/>
      </c>
      <c r="AJ874">
        <f>IF($AF874=1,IFERROR(IF(VALUE($B874)&lt;100000000,VALUE($B874),1000000000),IFERROR(IF(VALUE(MID($B874,2,20))&lt;100000000,VALUE(MID($B874,2,20)),1000000000),1000000000))+ROW()/100000,"")</f>
        <v/>
      </c>
    </row>
    <row r="875">
      <c r="C875" s="11" t="n"/>
      <c r="J875" s="7">
        <f>IF($B875="","",I875*Q875/100)</f>
        <v/>
      </c>
      <c r="P875" s="7" t="n"/>
      <c r="Q875" s="7" t="n"/>
      <c r="R875" s="7">
        <f>IF($B875="","",Q875*W875/100)</f>
        <v/>
      </c>
      <c r="S875" s="7">
        <f>IF($B875="","",Q875-R875)</f>
        <v/>
      </c>
      <c r="T875" s="7">
        <f>IF($B875="","",S875-J875)</f>
        <v/>
      </c>
      <c r="W875">
        <f>IF($B875="","",IF($AI875=1,0,IF($AH875=1,Settings!$C$6,Settings!$C$7))*100)</f>
        <v/>
      </c>
      <c r="AA875" s="7" t="n"/>
      <c r="AD875" s="11" t="n"/>
      <c r="AF875">
        <f>IF($B875="","",IF(COUNTIF($B$2:$B875,$B875)=1,1,0))</f>
        <v/>
      </c>
      <c r="AG875">
        <f>IF($AF875=1,SUMPRODUCT(--($AJ$2:$AJ$1501&lt;$AJ875))+1,"")</f>
        <v/>
      </c>
      <c r="AH875">
        <f>IF($B875="","",IF(OR($M875=TRUE(),$M875="TRUE"),1,0))</f>
        <v/>
      </c>
      <c r="AI875">
        <f>IF($B875="","",IF($V875="Yes",1,0))</f>
        <v/>
      </c>
      <c r="AJ875">
        <f>IF($AF875=1,IFERROR(IF(VALUE($B875)&lt;100000000,VALUE($B875),1000000000),IFERROR(IF(VALUE(MID($B875,2,20))&lt;100000000,VALUE(MID($B875,2,20)),1000000000),1000000000))+ROW()/100000,"")</f>
        <v/>
      </c>
    </row>
    <row r="876">
      <c r="C876" s="11" t="n"/>
      <c r="J876" s="7">
        <f>IF($B876="","",I876*Q876/100)</f>
        <v/>
      </c>
      <c r="P876" s="7" t="n"/>
      <c r="Q876" s="7" t="n"/>
      <c r="R876" s="7">
        <f>IF($B876="","",Q876*W876/100)</f>
        <v/>
      </c>
      <c r="S876" s="7">
        <f>IF($B876="","",Q876-R876)</f>
        <v/>
      </c>
      <c r="T876" s="7">
        <f>IF($B876="","",S876-J876)</f>
        <v/>
      </c>
      <c r="W876">
        <f>IF($B876="","",IF($AI876=1,0,IF($AH876=1,Settings!$C$6,Settings!$C$7))*100)</f>
        <v/>
      </c>
      <c r="AA876" s="7" t="n"/>
      <c r="AD876" s="11" t="n"/>
      <c r="AF876">
        <f>IF($B876="","",IF(COUNTIF($B$2:$B876,$B876)=1,1,0))</f>
        <v/>
      </c>
      <c r="AG876">
        <f>IF($AF876=1,SUMPRODUCT(--($AJ$2:$AJ$1501&lt;$AJ876))+1,"")</f>
        <v/>
      </c>
      <c r="AH876">
        <f>IF($B876="","",IF(OR($M876=TRUE(),$M876="TRUE"),1,0))</f>
        <v/>
      </c>
      <c r="AI876">
        <f>IF($B876="","",IF($V876="Yes",1,0))</f>
        <v/>
      </c>
      <c r="AJ876">
        <f>IF($AF876=1,IFERROR(IF(VALUE($B876)&lt;100000000,VALUE($B876),1000000000),IFERROR(IF(VALUE(MID($B876,2,20))&lt;100000000,VALUE(MID($B876,2,20)),1000000000),1000000000))+ROW()/100000,"")</f>
        <v/>
      </c>
    </row>
    <row r="877">
      <c r="C877" s="11" t="n"/>
      <c r="J877" s="7">
        <f>IF($B877="","",I877*Q877/100)</f>
        <v/>
      </c>
      <c r="P877" s="7" t="n"/>
      <c r="Q877" s="7" t="n"/>
      <c r="R877" s="7">
        <f>IF($B877="","",Q877*W877/100)</f>
        <v/>
      </c>
      <c r="S877" s="7">
        <f>IF($B877="","",Q877-R877)</f>
        <v/>
      </c>
      <c r="T877" s="7">
        <f>IF($B877="","",S877-J877)</f>
        <v/>
      </c>
      <c r="W877">
        <f>IF($B877="","",IF($AI877=1,0,IF($AH877=1,Settings!$C$6,Settings!$C$7))*100)</f>
        <v/>
      </c>
      <c r="AA877" s="7" t="n"/>
      <c r="AD877" s="11" t="n"/>
      <c r="AF877">
        <f>IF($B877="","",IF(COUNTIF($B$2:$B877,$B877)=1,1,0))</f>
        <v/>
      </c>
      <c r="AG877">
        <f>IF($AF877=1,SUMPRODUCT(--($AJ$2:$AJ$1501&lt;$AJ877))+1,"")</f>
        <v/>
      </c>
      <c r="AH877">
        <f>IF($B877="","",IF(OR($M877=TRUE(),$M877="TRUE"),1,0))</f>
        <v/>
      </c>
      <c r="AI877">
        <f>IF($B877="","",IF($V877="Yes",1,0))</f>
        <v/>
      </c>
      <c r="AJ877">
        <f>IF($AF877=1,IFERROR(IF(VALUE($B877)&lt;100000000,VALUE($B877),1000000000),IFERROR(IF(VALUE(MID($B877,2,20))&lt;100000000,VALUE(MID($B877,2,20)),1000000000),1000000000))+ROW()/100000,"")</f>
        <v/>
      </c>
    </row>
    <row r="878">
      <c r="C878" s="11" t="n"/>
      <c r="J878" s="7">
        <f>IF($B878="","",I878*Q878/100)</f>
        <v/>
      </c>
      <c r="P878" s="7" t="n"/>
      <c r="Q878" s="7" t="n"/>
      <c r="R878" s="7">
        <f>IF($B878="","",Q878*W878/100)</f>
        <v/>
      </c>
      <c r="S878" s="7">
        <f>IF($B878="","",Q878-R878)</f>
        <v/>
      </c>
      <c r="T878" s="7">
        <f>IF($B878="","",S878-J878)</f>
        <v/>
      </c>
      <c r="W878">
        <f>IF($B878="","",IF($AI878=1,0,IF($AH878=1,Settings!$C$6,Settings!$C$7))*100)</f>
        <v/>
      </c>
      <c r="AA878" s="7" t="n"/>
      <c r="AD878" s="11" t="n"/>
      <c r="AF878">
        <f>IF($B878="","",IF(COUNTIF($B$2:$B878,$B878)=1,1,0))</f>
        <v/>
      </c>
      <c r="AG878">
        <f>IF($AF878=1,SUMPRODUCT(--($AJ$2:$AJ$1501&lt;$AJ878))+1,"")</f>
        <v/>
      </c>
      <c r="AH878">
        <f>IF($B878="","",IF(OR($M878=TRUE(),$M878="TRUE"),1,0))</f>
        <v/>
      </c>
      <c r="AI878">
        <f>IF($B878="","",IF($V878="Yes",1,0))</f>
        <v/>
      </c>
      <c r="AJ878">
        <f>IF($AF878=1,IFERROR(IF(VALUE($B878)&lt;100000000,VALUE($B878),1000000000),IFERROR(IF(VALUE(MID($B878,2,20))&lt;100000000,VALUE(MID($B878,2,20)),1000000000),1000000000))+ROW()/100000,"")</f>
        <v/>
      </c>
    </row>
    <row r="879">
      <c r="C879" s="11" t="n"/>
      <c r="J879" s="7">
        <f>IF($B879="","",I879*Q879/100)</f>
        <v/>
      </c>
      <c r="P879" s="7" t="n"/>
      <c r="Q879" s="7" t="n"/>
      <c r="R879" s="7">
        <f>IF($B879="","",Q879*W879/100)</f>
        <v/>
      </c>
      <c r="S879" s="7">
        <f>IF($B879="","",Q879-R879)</f>
        <v/>
      </c>
      <c r="T879" s="7">
        <f>IF($B879="","",S879-J879)</f>
        <v/>
      </c>
      <c r="W879">
        <f>IF($B879="","",IF($AI879=1,0,IF($AH879=1,Settings!$C$6,Settings!$C$7))*100)</f>
        <v/>
      </c>
      <c r="AA879" s="7" t="n"/>
      <c r="AD879" s="11" t="n"/>
      <c r="AF879">
        <f>IF($B879="","",IF(COUNTIF($B$2:$B879,$B879)=1,1,0))</f>
        <v/>
      </c>
      <c r="AG879">
        <f>IF($AF879=1,SUMPRODUCT(--($AJ$2:$AJ$1501&lt;$AJ879))+1,"")</f>
        <v/>
      </c>
      <c r="AH879">
        <f>IF($B879="","",IF(OR($M879=TRUE(),$M879="TRUE"),1,0))</f>
        <v/>
      </c>
      <c r="AI879">
        <f>IF($B879="","",IF($V879="Yes",1,0))</f>
        <v/>
      </c>
      <c r="AJ879">
        <f>IF($AF879=1,IFERROR(IF(VALUE($B879)&lt;100000000,VALUE($B879),1000000000),IFERROR(IF(VALUE(MID($B879,2,20))&lt;100000000,VALUE(MID($B879,2,20)),1000000000),1000000000))+ROW()/100000,"")</f>
        <v/>
      </c>
    </row>
    <row r="880">
      <c r="C880" s="11" t="n"/>
      <c r="J880" s="7">
        <f>IF($B880="","",I880*Q880/100)</f>
        <v/>
      </c>
      <c r="P880" s="7" t="n"/>
      <c r="Q880" s="7" t="n"/>
      <c r="R880" s="7">
        <f>IF($B880="","",Q880*W880/100)</f>
        <v/>
      </c>
      <c r="S880" s="7">
        <f>IF($B880="","",Q880-R880)</f>
        <v/>
      </c>
      <c r="T880" s="7">
        <f>IF($B880="","",S880-J880)</f>
        <v/>
      </c>
      <c r="W880">
        <f>IF($B880="","",IF($AI880=1,0,IF($AH880=1,Settings!$C$6,Settings!$C$7))*100)</f>
        <v/>
      </c>
      <c r="AA880" s="7" t="n"/>
      <c r="AD880" s="11" t="n"/>
      <c r="AF880">
        <f>IF($B880="","",IF(COUNTIF($B$2:$B880,$B880)=1,1,0))</f>
        <v/>
      </c>
      <c r="AG880">
        <f>IF($AF880=1,SUMPRODUCT(--($AJ$2:$AJ$1501&lt;$AJ880))+1,"")</f>
        <v/>
      </c>
      <c r="AH880">
        <f>IF($B880="","",IF(OR($M880=TRUE(),$M880="TRUE"),1,0))</f>
        <v/>
      </c>
      <c r="AI880">
        <f>IF($B880="","",IF($V880="Yes",1,0))</f>
        <v/>
      </c>
      <c r="AJ880">
        <f>IF($AF880=1,IFERROR(IF(VALUE($B880)&lt;100000000,VALUE($B880),1000000000),IFERROR(IF(VALUE(MID($B880,2,20))&lt;100000000,VALUE(MID($B880,2,20)),1000000000),1000000000))+ROW()/100000,"")</f>
        <v/>
      </c>
    </row>
    <row r="881">
      <c r="C881" s="11" t="n"/>
      <c r="J881" s="7">
        <f>IF($B881="","",I881*Q881/100)</f>
        <v/>
      </c>
      <c r="P881" s="7" t="n"/>
      <c r="Q881" s="7" t="n"/>
      <c r="R881" s="7">
        <f>IF($B881="","",Q881*W881/100)</f>
        <v/>
      </c>
      <c r="S881" s="7">
        <f>IF($B881="","",Q881-R881)</f>
        <v/>
      </c>
      <c r="T881" s="7">
        <f>IF($B881="","",S881-J881)</f>
        <v/>
      </c>
      <c r="W881">
        <f>IF($B881="","",IF($AI881=1,0,IF($AH881=1,Settings!$C$6,Settings!$C$7))*100)</f>
        <v/>
      </c>
      <c r="AA881" s="7" t="n"/>
      <c r="AD881" s="11" t="n"/>
      <c r="AF881">
        <f>IF($B881="","",IF(COUNTIF($B$2:$B881,$B881)=1,1,0))</f>
        <v/>
      </c>
      <c r="AG881">
        <f>IF($AF881=1,SUMPRODUCT(--($AJ$2:$AJ$1501&lt;$AJ881))+1,"")</f>
        <v/>
      </c>
      <c r="AH881">
        <f>IF($B881="","",IF(OR($M881=TRUE(),$M881="TRUE"),1,0))</f>
        <v/>
      </c>
      <c r="AI881">
        <f>IF($B881="","",IF($V881="Yes",1,0))</f>
        <v/>
      </c>
      <c r="AJ881">
        <f>IF($AF881=1,IFERROR(IF(VALUE($B881)&lt;100000000,VALUE($B881),1000000000),IFERROR(IF(VALUE(MID($B881,2,20))&lt;100000000,VALUE(MID($B881,2,20)),1000000000),1000000000))+ROW()/100000,"")</f>
        <v/>
      </c>
    </row>
    <row r="882">
      <c r="C882" s="11" t="n"/>
      <c r="J882" s="7">
        <f>IF($B882="","",I882*Q882/100)</f>
        <v/>
      </c>
      <c r="P882" s="7" t="n"/>
      <c r="Q882" s="7" t="n"/>
      <c r="R882" s="7">
        <f>IF($B882="","",Q882*W882/100)</f>
        <v/>
      </c>
      <c r="S882" s="7">
        <f>IF($B882="","",Q882-R882)</f>
        <v/>
      </c>
      <c r="T882" s="7">
        <f>IF($B882="","",S882-J882)</f>
        <v/>
      </c>
      <c r="W882">
        <f>IF($B882="","",IF($AI882=1,0,IF($AH882=1,Settings!$C$6,Settings!$C$7))*100)</f>
        <v/>
      </c>
      <c r="AA882" s="7" t="n"/>
      <c r="AD882" s="11" t="n"/>
      <c r="AF882">
        <f>IF($B882="","",IF(COUNTIF($B$2:$B882,$B882)=1,1,0))</f>
        <v/>
      </c>
      <c r="AG882">
        <f>IF($AF882=1,SUMPRODUCT(--($AJ$2:$AJ$1501&lt;$AJ882))+1,"")</f>
        <v/>
      </c>
      <c r="AH882">
        <f>IF($B882="","",IF(OR($M882=TRUE(),$M882="TRUE"),1,0))</f>
        <v/>
      </c>
      <c r="AI882">
        <f>IF($B882="","",IF($V882="Yes",1,0))</f>
        <v/>
      </c>
      <c r="AJ882">
        <f>IF($AF882=1,IFERROR(IF(VALUE($B882)&lt;100000000,VALUE($B882),1000000000),IFERROR(IF(VALUE(MID($B882,2,20))&lt;100000000,VALUE(MID($B882,2,20)),1000000000),1000000000))+ROW()/100000,"")</f>
        <v/>
      </c>
    </row>
    <row r="883">
      <c r="C883" s="11" t="n"/>
      <c r="J883" s="7">
        <f>IF($B883="","",I883*Q883/100)</f>
        <v/>
      </c>
      <c r="P883" s="7" t="n"/>
      <c r="Q883" s="7" t="n"/>
      <c r="R883" s="7">
        <f>IF($B883="","",Q883*W883/100)</f>
        <v/>
      </c>
      <c r="S883" s="7">
        <f>IF($B883="","",Q883-R883)</f>
        <v/>
      </c>
      <c r="T883" s="7">
        <f>IF($B883="","",S883-J883)</f>
        <v/>
      </c>
      <c r="W883">
        <f>IF($B883="","",IF($AI883=1,0,IF($AH883=1,Settings!$C$6,Settings!$C$7))*100)</f>
        <v/>
      </c>
      <c r="AA883" s="7" t="n"/>
      <c r="AD883" s="11" t="n"/>
      <c r="AF883">
        <f>IF($B883="","",IF(COUNTIF($B$2:$B883,$B883)=1,1,0))</f>
        <v/>
      </c>
      <c r="AG883">
        <f>IF($AF883=1,SUMPRODUCT(--($AJ$2:$AJ$1501&lt;$AJ883))+1,"")</f>
        <v/>
      </c>
      <c r="AH883">
        <f>IF($B883="","",IF(OR($M883=TRUE(),$M883="TRUE"),1,0))</f>
        <v/>
      </c>
      <c r="AI883">
        <f>IF($B883="","",IF($V883="Yes",1,0))</f>
        <v/>
      </c>
      <c r="AJ883">
        <f>IF($AF883=1,IFERROR(IF(VALUE($B883)&lt;100000000,VALUE($B883),1000000000),IFERROR(IF(VALUE(MID($B883,2,20))&lt;100000000,VALUE(MID($B883,2,20)),1000000000),1000000000))+ROW()/100000,"")</f>
        <v/>
      </c>
    </row>
    <row r="884">
      <c r="C884" s="11" t="n"/>
      <c r="J884" s="7">
        <f>IF($B884="","",I884*Q884/100)</f>
        <v/>
      </c>
      <c r="P884" s="7" t="n"/>
      <c r="Q884" s="7" t="n"/>
      <c r="R884" s="7">
        <f>IF($B884="","",Q884*W884/100)</f>
        <v/>
      </c>
      <c r="S884" s="7">
        <f>IF($B884="","",Q884-R884)</f>
        <v/>
      </c>
      <c r="T884" s="7">
        <f>IF($B884="","",S884-J884)</f>
        <v/>
      </c>
      <c r="W884">
        <f>IF($B884="","",IF($AI884=1,0,IF($AH884=1,Settings!$C$6,Settings!$C$7))*100)</f>
        <v/>
      </c>
      <c r="AA884" s="7" t="n"/>
      <c r="AD884" s="11" t="n"/>
      <c r="AF884">
        <f>IF($B884="","",IF(COUNTIF($B$2:$B884,$B884)=1,1,0))</f>
        <v/>
      </c>
      <c r="AG884">
        <f>IF($AF884=1,SUMPRODUCT(--($AJ$2:$AJ$1501&lt;$AJ884))+1,"")</f>
        <v/>
      </c>
      <c r="AH884">
        <f>IF($B884="","",IF(OR($M884=TRUE(),$M884="TRUE"),1,0))</f>
        <v/>
      </c>
      <c r="AI884">
        <f>IF($B884="","",IF($V884="Yes",1,0))</f>
        <v/>
      </c>
      <c r="AJ884">
        <f>IF($AF884=1,IFERROR(IF(VALUE($B884)&lt;100000000,VALUE($B884),1000000000),IFERROR(IF(VALUE(MID($B884,2,20))&lt;100000000,VALUE(MID($B884,2,20)),1000000000),1000000000))+ROW()/100000,"")</f>
        <v/>
      </c>
    </row>
    <row r="885">
      <c r="C885" s="11" t="n"/>
      <c r="J885" s="7">
        <f>IF($B885="","",I885*Q885/100)</f>
        <v/>
      </c>
      <c r="P885" s="7" t="n"/>
      <c r="Q885" s="7" t="n"/>
      <c r="R885" s="7">
        <f>IF($B885="","",Q885*W885/100)</f>
        <v/>
      </c>
      <c r="S885" s="7">
        <f>IF($B885="","",Q885-R885)</f>
        <v/>
      </c>
      <c r="T885" s="7">
        <f>IF($B885="","",S885-J885)</f>
        <v/>
      </c>
      <c r="W885">
        <f>IF($B885="","",IF($AI885=1,0,IF($AH885=1,Settings!$C$6,Settings!$C$7))*100)</f>
        <v/>
      </c>
      <c r="AA885" s="7" t="n"/>
      <c r="AD885" s="11" t="n"/>
      <c r="AF885">
        <f>IF($B885="","",IF(COUNTIF($B$2:$B885,$B885)=1,1,0))</f>
        <v/>
      </c>
      <c r="AG885">
        <f>IF($AF885=1,SUMPRODUCT(--($AJ$2:$AJ$1501&lt;$AJ885))+1,"")</f>
        <v/>
      </c>
      <c r="AH885">
        <f>IF($B885="","",IF(OR($M885=TRUE(),$M885="TRUE"),1,0))</f>
        <v/>
      </c>
      <c r="AI885">
        <f>IF($B885="","",IF($V885="Yes",1,0))</f>
        <v/>
      </c>
      <c r="AJ885">
        <f>IF($AF885=1,IFERROR(IF(VALUE($B885)&lt;100000000,VALUE($B885),1000000000),IFERROR(IF(VALUE(MID($B885,2,20))&lt;100000000,VALUE(MID($B885,2,20)),1000000000),1000000000))+ROW()/100000,"")</f>
        <v/>
      </c>
    </row>
    <row r="886">
      <c r="C886" s="11" t="n"/>
      <c r="J886" s="7">
        <f>IF($B886="","",I886*Q886/100)</f>
        <v/>
      </c>
      <c r="P886" s="7" t="n"/>
      <c r="Q886" s="7" t="n"/>
      <c r="R886" s="7">
        <f>IF($B886="","",Q886*W886/100)</f>
        <v/>
      </c>
      <c r="S886" s="7">
        <f>IF($B886="","",Q886-R886)</f>
        <v/>
      </c>
      <c r="T886" s="7">
        <f>IF($B886="","",S886-J886)</f>
        <v/>
      </c>
      <c r="W886">
        <f>IF($B886="","",IF($AI886=1,0,IF($AH886=1,Settings!$C$6,Settings!$C$7))*100)</f>
        <v/>
      </c>
      <c r="AA886" s="7" t="n"/>
      <c r="AD886" s="11" t="n"/>
      <c r="AF886">
        <f>IF($B886="","",IF(COUNTIF($B$2:$B886,$B886)=1,1,0))</f>
        <v/>
      </c>
      <c r="AG886">
        <f>IF($AF886=1,SUMPRODUCT(--($AJ$2:$AJ$1501&lt;$AJ886))+1,"")</f>
        <v/>
      </c>
      <c r="AH886">
        <f>IF($B886="","",IF(OR($M886=TRUE(),$M886="TRUE"),1,0))</f>
        <v/>
      </c>
      <c r="AI886">
        <f>IF($B886="","",IF($V886="Yes",1,0))</f>
        <v/>
      </c>
      <c r="AJ886">
        <f>IF($AF886=1,IFERROR(IF(VALUE($B886)&lt;100000000,VALUE($B886),1000000000),IFERROR(IF(VALUE(MID($B886,2,20))&lt;100000000,VALUE(MID($B886,2,20)),1000000000),1000000000))+ROW()/100000,"")</f>
        <v/>
      </c>
    </row>
    <row r="887">
      <c r="C887" s="11" t="n"/>
      <c r="J887" s="7">
        <f>IF($B887="","",I887*Q887/100)</f>
        <v/>
      </c>
      <c r="P887" s="7" t="n"/>
      <c r="Q887" s="7" t="n"/>
      <c r="R887" s="7">
        <f>IF($B887="","",Q887*W887/100)</f>
        <v/>
      </c>
      <c r="S887" s="7">
        <f>IF($B887="","",Q887-R887)</f>
        <v/>
      </c>
      <c r="T887" s="7">
        <f>IF($B887="","",S887-J887)</f>
        <v/>
      </c>
      <c r="W887">
        <f>IF($B887="","",IF($AI887=1,0,IF($AH887=1,Settings!$C$6,Settings!$C$7))*100)</f>
        <v/>
      </c>
      <c r="AA887" s="7" t="n"/>
      <c r="AD887" s="11" t="n"/>
      <c r="AF887">
        <f>IF($B887="","",IF(COUNTIF($B$2:$B887,$B887)=1,1,0))</f>
        <v/>
      </c>
      <c r="AG887">
        <f>IF($AF887=1,SUMPRODUCT(--($AJ$2:$AJ$1501&lt;$AJ887))+1,"")</f>
        <v/>
      </c>
      <c r="AH887">
        <f>IF($B887="","",IF(OR($M887=TRUE(),$M887="TRUE"),1,0))</f>
        <v/>
      </c>
      <c r="AI887">
        <f>IF($B887="","",IF($V887="Yes",1,0))</f>
        <v/>
      </c>
      <c r="AJ887">
        <f>IF($AF887=1,IFERROR(IF(VALUE($B887)&lt;100000000,VALUE($B887),1000000000),IFERROR(IF(VALUE(MID($B887,2,20))&lt;100000000,VALUE(MID($B887,2,20)),1000000000),1000000000))+ROW()/100000,"")</f>
        <v/>
      </c>
    </row>
    <row r="888">
      <c r="C888" s="11" t="n"/>
      <c r="J888" s="7">
        <f>IF($B888="","",I888*Q888/100)</f>
        <v/>
      </c>
      <c r="P888" s="7" t="n"/>
      <c r="Q888" s="7" t="n"/>
      <c r="R888" s="7">
        <f>IF($B888="","",Q888*W888/100)</f>
        <v/>
      </c>
      <c r="S888" s="7">
        <f>IF($B888="","",Q888-R888)</f>
        <v/>
      </c>
      <c r="T888" s="7">
        <f>IF($B888="","",S888-J888)</f>
        <v/>
      </c>
      <c r="W888">
        <f>IF($B888="","",IF($AI888=1,0,IF($AH888=1,Settings!$C$6,Settings!$C$7))*100)</f>
        <v/>
      </c>
      <c r="AA888" s="7" t="n"/>
      <c r="AD888" s="11" t="n"/>
      <c r="AF888">
        <f>IF($B888="","",IF(COUNTIF($B$2:$B888,$B888)=1,1,0))</f>
        <v/>
      </c>
      <c r="AG888">
        <f>IF($AF888=1,SUMPRODUCT(--($AJ$2:$AJ$1501&lt;$AJ888))+1,"")</f>
        <v/>
      </c>
      <c r="AH888">
        <f>IF($B888="","",IF(OR($M888=TRUE(),$M888="TRUE"),1,0))</f>
        <v/>
      </c>
      <c r="AI888">
        <f>IF($B888="","",IF($V888="Yes",1,0))</f>
        <v/>
      </c>
      <c r="AJ888">
        <f>IF($AF888=1,IFERROR(IF(VALUE($B888)&lt;100000000,VALUE($B888),1000000000),IFERROR(IF(VALUE(MID($B888,2,20))&lt;100000000,VALUE(MID($B888,2,20)),1000000000),1000000000))+ROW()/100000,"")</f>
        <v/>
      </c>
    </row>
    <row r="889">
      <c r="C889" s="11" t="n"/>
      <c r="J889" s="7">
        <f>IF($B889="","",I889*Q889/100)</f>
        <v/>
      </c>
      <c r="P889" s="7" t="n"/>
      <c r="Q889" s="7" t="n"/>
      <c r="R889" s="7">
        <f>IF($B889="","",Q889*W889/100)</f>
        <v/>
      </c>
      <c r="S889" s="7">
        <f>IF($B889="","",Q889-R889)</f>
        <v/>
      </c>
      <c r="T889" s="7">
        <f>IF($B889="","",S889-J889)</f>
        <v/>
      </c>
      <c r="W889">
        <f>IF($B889="","",IF($AI889=1,0,IF($AH889=1,Settings!$C$6,Settings!$C$7))*100)</f>
        <v/>
      </c>
      <c r="AA889" s="7" t="n"/>
      <c r="AD889" s="11" t="n"/>
      <c r="AF889">
        <f>IF($B889="","",IF(COUNTIF($B$2:$B889,$B889)=1,1,0))</f>
        <v/>
      </c>
      <c r="AG889">
        <f>IF($AF889=1,SUMPRODUCT(--($AJ$2:$AJ$1501&lt;$AJ889))+1,"")</f>
        <v/>
      </c>
      <c r="AH889">
        <f>IF($B889="","",IF(OR($M889=TRUE(),$M889="TRUE"),1,0))</f>
        <v/>
      </c>
      <c r="AI889">
        <f>IF($B889="","",IF($V889="Yes",1,0))</f>
        <v/>
      </c>
      <c r="AJ889">
        <f>IF($AF889=1,IFERROR(IF(VALUE($B889)&lt;100000000,VALUE($B889),1000000000),IFERROR(IF(VALUE(MID($B889,2,20))&lt;100000000,VALUE(MID($B889,2,20)),1000000000),1000000000))+ROW()/100000,"")</f>
        <v/>
      </c>
    </row>
    <row r="890">
      <c r="C890" s="11" t="n"/>
      <c r="J890" s="7">
        <f>IF($B890="","",I890*Q890/100)</f>
        <v/>
      </c>
      <c r="P890" s="7" t="n"/>
      <c r="Q890" s="7" t="n"/>
      <c r="R890" s="7">
        <f>IF($B890="","",Q890*W890/100)</f>
        <v/>
      </c>
      <c r="S890" s="7">
        <f>IF($B890="","",Q890-R890)</f>
        <v/>
      </c>
      <c r="T890" s="7">
        <f>IF($B890="","",S890-J890)</f>
        <v/>
      </c>
      <c r="W890">
        <f>IF($B890="","",IF($AI890=1,0,IF($AH890=1,Settings!$C$6,Settings!$C$7))*100)</f>
        <v/>
      </c>
      <c r="AA890" s="7" t="n"/>
      <c r="AD890" s="11" t="n"/>
      <c r="AF890">
        <f>IF($B890="","",IF(COUNTIF($B$2:$B890,$B890)=1,1,0))</f>
        <v/>
      </c>
      <c r="AG890">
        <f>IF($AF890=1,SUMPRODUCT(--($AJ$2:$AJ$1501&lt;$AJ890))+1,"")</f>
        <v/>
      </c>
      <c r="AH890">
        <f>IF($B890="","",IF(OR($M890=TRUE(),$M890="TRUE"),1,0))</f>
        <v/>
      </c>
      <c r="AI890">
        <f>IF($B890="","",IF($V890="Yes",1,0))</f>
        <v/>
      </c>
      <c r="AJ890">
        <f>IF($AF890=1,IFERROR(IF(VALUE($B890)&lt;100000000,VALUE($B890),1000000000),IFERROR(IF(VALUE(MID($B890,2,20))&lt;100000000,VALUE(MID($B890,2,20)),1000000000),1000000000))+ROW()/100000,"")</f>
        <v/>
      </c>
    </row>
    <row r="891">
      <c r="C891" s="11" t="n"/>
      <c r="J891" s="7">
        <f>IF($B891="","",I891*Q891/100)</f>
        <v/>
      </c>
      <c r="P891" s="7" t="n"/>
      <c r="Q891" s="7" t="n"/>
      <c r="R891" s="7">
        <f>IF($B891="","",Q891*W891/100)</f>
        <v/>
      </c>
      <c r="S891" s="7">
        <f>IF($B891="","",Q891-R891)</f>
        <v/>
      </c>
      <c r="T891" s="7">
        <f>IF($B891="","",S891-J891)</f>
        <v/>
      </c>
      <c r="W891">
        <f>IF($B891="","",IF($AI891=1,0,IF($AH891=1,Settings!$C$6,Settings!$C$7))*100)</f>
        <v/>
      </c>
      <c r="AA891" s="7" t="n"/>
      <c r="AD891" s="11" t="n"/>
      <c r="AF891">
        <f>IF($B891="","",IF(COUNTIF($B$2:$B891,$B891)=1,1,0))</f>
        <v/>
      </c>
      <c r="AG891">
        <f>IF($AF891=1,SUMPRODUCT(--($AJ$2:$AJ$1501&lt;$AJ891))+1,"")</f>
        <v/>
      </c>
      <c r="AH891">
        <f>IF($B891="","",IF(OR($M891=TRUE(),$M891="TRUE"),1,0))</f>
        <v/>
      </c>
      <c r="AI891">
        <f>IF($B891="","",IF($V891="Yes",1,0))</f>
        <v/>
      </c>
      <c r="AJ891">
        <f>IF($AF891=1,IFERROR(IF(VALUE($B891)&lt;100000000,VALUE($B891),1000000000),IFERROR(IF(VALUE(MID($B891,2,20))&lt;100000000,VALUE(MID($B891,2,20)),1000000000),1000000000))+ROW()/100000,"")</f>
        <v/>
      </c>
    </row>
    <row r="892">
      <c r="C892" s="11" t="n"/>
      <c r="J892" s="7">
        <f>IF($B892="","",I892*Q892/100)</f>
        <v/>
      </c>
      <c r="P892" s="7" t="n"/>
      <c r="Q892" s="7" t="n"/>
      <c r="R892" s="7">
        <f>IF($B892="","",Q892*W892/100)</f>
        <v/>
      </c>
      <c r="S892" s="7">
        <f>IF($B892="","",Q892-R892)</f>
        <v/>
      </c>
      <c r="T892" s="7">
        <f>IF($B892="","",S892-J892)</f>
        <v/>
      </c>
      <c r="W892">
        <f>IF($B892="","",IF($AI892=1,0,IF($AH892=1,Settings!$C$6,Settings!$C$7))*100)</f>
        <v/>
      </c>
      <c r="AA892" s="7" t="n"/>
      <c r="AD892" s="11" t="n"/>
      <c r="AF892">
        <f>IF($B892="","",IF(COUNTIF($B$2:$B892,$B892)=1,1,0))</f>
        <v/>
      </c>
      <c r="AG892">
        <f>IF($AF892=1,SUMPRODUCT(--($AJ$2:$AJ$1501&lt;$AJ892))+1,"")</f>
        <v/>
      </c>
      <c r="AH892">
        <f>IF($B892="","",IF(OR($M892=TRUE(),$M892="TRUE"),1,0))</f>
        <v/>
      </c>
      <c r="AI892">
        <f>IF($B892="","",IF($V892="Yes",1,0))</f>
        <v/>
      </c>
      <c r="AJ892">
        <f>IF($AF892=1,IFERROR(IF(VALUE($B892)&lt;100000000,VALUE($B892),1000000000),IFERROR(IF(VALUE(MID($B892,2,20))&lt;100000000,VALUE(MID($B892,2,20)),1000000000),1000000000))+ROW()/100000,"")</f>
        <v/>
      </c>
    </row>
    <row r="893">
      <c r="C893" s="11" t="n"/>
      <c r="J893" s="7">
        <f>IF($B893="","",I893*Q893/100)</f>
        <v/>
      </c>
      <c r="P893" s="7" t="n"/>
      <c r="Q893" s="7" t="n"/>
      <c r="R893" s="7">
        <f>IF($B893="","",Q893*W893/100)</f>
        <v/>
      </c>
      <c r="S893" s="7">
        <f>IF($B893="","",Q893-R893)</f>
        <v/>
      </c>
      <c r="T893" s="7">
        <f>IF($B893="","",S893-J893)</f>
        <v/>
      </c>
      <c r="W893">
        <f>IF($B893="","",IF($AI893=1,0,IF($AH893=1,Settings!$C$6,Settings!$C$7))*100)</f>
        <v/>
      </c>
      <c r="AA893" s="7" t="n"/>
      <c r="AD893" s="11" t="n"/>
      <c r="AF893">
        <f>IF($B893="","",IF(COUNTIF($B$2:$B893,$B893)=1,1,0))</f>
        <v/>
      </c>
      <c r="AG893">
        <f>IF($AF893=1,SUMPRODUCT(--($AJ$2:$AJ$1501&lt;$AJ893))+1,"")</f>
        <v/>
      </c>
      <c r="AH893">
        <f>IF($B893="","",IF(OR($M893=TRUE(),$M893="TRUE"),1,0))</f>
        <v/>
      </c>
      <c r="AI893">
        <f>IF($B893="","",IF($V893="Yes",1,0))</f>
        <v/>
      </c>
      <c r="AJ893">
        <f>IF($AF893=1,IFERROR(IF(VALUE($B893)&lt;100000000,VALUE($B893),1000000000),IFERROR(IF(VALUE(MID($B893,2,20))&lt;100000000,VALUE(MID($B893,2,20)),1000000000),1000000000))+ROW()/100000,"")</f>
        <v/>
      </c>
    </row>
    <row r="894">
      <c r="C894" s="11" t="n"/>
      <c r="J894" s="7">
        <f>IF($B894="","",I894*Q894/100)</f>
        <v/>
      </c>
      <c r="P894" s="7" t="n"/>
      <c r="Q894" s="7" t="n"/>
      <c r="R894" s="7">
        <f>IF($B894="","",Q894*W894/100)</f>
        <v/>
      </c>
      <c r="S894" s="7">
        <f>IF($B894="","",Q894-R894)</f>
        <v/>
      </c>
      <c r="T894" s="7">
        <f>IF($B894="","",S894-J894)</f>
        <v/>
      </c>
      <c r="W894">
        <f>IF($B894="","",IF($AI894=1,0,IF($AH894=1,Settings!$C$6,Settings!$C$7))*100)</f>
        <v/>
      </c>
      <c r="AA894" s="7" t="n"/>
      <c r="AD894" s="11" t="n"/>
      <c r="AF894">
        <f>IF($B894="","",IF(COUNTIF($B$2:$B894,$B894)=1,1,0))</f>
        <v/>
      </c>
      <c r="AG894">
        <f>IF($AF894=1,SUMPRODUCT(--($AJ$2:$AJ$1501&lt;$AJ894))+1,"")</f>
        <v/>
      </c>
      <c r="AH894">
        <f>IF($B894="","",IF(OR($M894=TRUE(),$M894="TRUE"),1,0))</f>
        <v/>
      </c>
      <c r="AI894">
        <f>IF($B894="","",IF($V894="Yes",1,0))</f>
        <v/>
      </c>
      <c r="AJ894">
        <f>IF($AF894=1,IFERROR(IF(VALUE($B894)&lt;100000000,VALUE($B894),1000000000),IFERROR(IF(VALUE(MID($B894,2,20))&lt;100000000,VALUE(MID($B894,2,20)),1000000000),1000000000))+ROW()/100000,"")</f>
        <v/>
      </c>
    </row>
    <row r="895">
      <c r="C895" s="11" t="n"/>
      <c r="J895" s="7">
        <f>IF($B895="","",I895*Q895/100)</f>
        <v/>
      </c>
      <c r="P895" s="7" t="n"/>
      <c r="Q895" s="7" t="n"/>
      <c r="R895" s="7">
        <f>IF($B895="","",Q895*W895/100)</f>
        <v/>
      </c>
      <c r="S895" s="7">
        <f>IF($B895="","",Q895-R895)</f>
        <v/>
      </c>
      <c r="T895" s="7">
        <f>IF($B895="","",S895-J895)</f>
        <v/>
      </c>
      <c r="W895">
        <f>IF($B895="","",IF($AI895=1,0,IF($AH895=1,Settings!$C$6,Settings!$C$7))*100)</f>
        <v/>
      </c>
      <c r="AA895" s="7" t="n"/>
      <c r="AD895" s="11" t="n"/>
      <c r="AF895">
        <f>IF($B895="","",IF(COUNTIF($B$2:$B895,$B895)=1,1,0))</f>
        <v/>
      </c>
      <c r="AG895">
        <f>IF($AF895=1,SUMPRODUCT(--($AJ$2:$AJ$1501&lt;$AJ895))+1,"")</f>
        <v/>
      </c>
      <c r="AH895">
        <f>IF($B895="","",IF(OR($M895=TRUE(),$M895="TRUE"),1,0))</f>
        <v/>
      </c>
      <c r="AI895">
        <f>IF($B895="","",IF($V895="Yes",1,0))</f>
        <v/>
      </c>
      <c r="AJ895">
        <f>IF($AF895=1,IFERROR(IF(VALUE($B895)&lt;100000000,VALUE($B895),1000000000),IFERROR(IF(VALUE(MID($B895,2,20))&lt;100000000,VALUE(MID($B895,2,20)),1000000000),1000000000))+ROW()/100000,"")</f>
        <v/>
      </c>
    </row>
    <row r="896">
      <c r="C896" s="11" t="n"/>
      <c r="J896" s="7">
        <f>IF($B896="","",I896*Q896/100)</f>
        <v/>
      </c>
      <c r="P896" s="7" t="n"/>
      <c r="Q896" s="7" t="n"/>
      <c r="R896" s="7">
        <f>IF($B896="","",Q896*W896/100)</f>
        <v/>
      </c>
      <c r="S896" s="7">
        <f>IF($B896="","",Q896-R896)</f>
        <v/>
      </c>
      <c r="T896" s="7">
        <f>IF($B896="","",S896-J896)</f>
        <v/>
      </c>
      <c r="W896">
        <f>IF($B896="","",IF($AI896=1,0,IF($AH896=1,Settings!$C$6,Settings!$C$7))*100)</f>
        <v/>
      </c>
      <c r="AA896" s="7" t="n"/>
      <c r="AD896" s="11" t="n"/>
      <c r="AF896">
        <f>IF($B896="","",IF(COUNTIF($B$2:$B896,$B896)=1,1,0))</f>
        <v/>
      </c>
      <c r="AG896">
        <f>IF($AF896=1,SUMPRODUCT(--($AJ$2:$AJ$1501&lt;$AJ896))+1,"")</f>
        <v/>
      </c>
      <c r="AH896">
        <f>IF($B896="","",IF(OR($M896=TRUE(),$M896="TRUE"),1,0))</f>
        <v/>
      </c>
      <c r="AI896">
        <f>IF($B896="","",IF($V896="Yes",1,0))</f>
        <v/>
      </c>
      <c r="AJ896">
        <f>IF($AF896=1,IFERROR(IF(VALUE($B896)&lt;100000000,VALUE($B896),1000000000),IFERROR(IF(VALUE(MID($B896,2,20))&lt;100000000,VALUE(MID($B896,2,20)),1000000000),1000000000))+ROW()/100000,"")</f>
        <v/>
      </c>
    </row>
    <row r="897">
      <c r="C897" s="11" t="n"/>
      <c r="J897" s="7">
        <f>IF($B897="","",I897*Q897/100)</f>
        <v/>
      </c>
      <c r="P897" s="7" t="n"/>
      <c r="Q897" s="7" t="n"/>
      <c r="R897" s="7">
        <f>IF($B897="","",Q897*W897/100)</f>
        <v/>
      </c>
      <c r="S897" s="7">
        <f>IF($B897="","",Q897-R897)</f>
        <v/>
      </c>
      <c r="T897" s="7">
        <f>IF($B897="","",S897-J897)</f>
        <v/>
      </c>
      <c r="W897">
        <f>IF($B897="","",IF($AI897=1,0,IF($AH897=1,Settings!$C$6,Settings!$C$7))*100)</f>
        <v/>
      </c>
      <c r="AA897" s="7" t="n"/>
      <c r="AD897" s="11" t="n"/>
      <c r="AF897">
        <f>IF($B897="","",IF(COUNTIF($B$2:$B897,$B897)=1,1,0))</f>
        <v/>
      </c>
      <c r="AG897">
        <f>IF($AF897=1,SUMPRODUCT(--($AJ$2:$AJ$1501&lt;$AJ897))+1,"")</f>
        <v/>
      </c>
      <c r="AH897">
        <f>IF($B897="","",IF(OR($M897=TRUE(),$M897="TRUE"),1,0))</f>
        <v/>
      </c>
      <c r="AI897">
        <f>IF($B897="","",IF($V897="Yes",1,0))</f>
        <v/>
      </c>
      <c r="AJ897">
        <f>IF($AF897=1,IFERROR(IF(VALUE($B897)&lt;100000000,VALUE($B897),1000000000),IFERROR(IF(VALUE(MID($B897,2,20))&lt;100000000,VALUE(MID($B897,2,20)),1000000000),1000000000))+ROW()/100000,"")</f>
        <v/>
      </c>
    </row>
    <row r="898">
      <c r="C898" s="11" t="n"/>
      <c r="J898" s="7">
        <f>IF($B898="","",I898*Q898/100)</f>
        <v/>
      </c>
      <c r="P898" s="7" t="n"/>
      <c r="Q898" s="7" t="n"/>
      <c r="R898" s="7">
        <f>IF($B898="","",Q898*W898/100)</f>
        <v/>
      </c>
      <c r="S898" s="7">
        <f>IF($B898="","",Q898-R898)</f>
        <v/>
      </c>
      <c r="T898" s="7">
        <f>IF($B898="","",S898-J898)</f>
        <v/>
      </c>
      <c r="W898">
        <f>IF($B898="","",IF($AI898=1,0,IF($AH898=1,Settings!$C$6,Settings!$C$7))*100)</f>
        <v/>
      </c>
      <c r="AA898" s="7" t="n"/>
      <c r="AD898" s="11" t="n"/>
      <c r="AF898">
        <f>IF($B898="","",IF(COUNTIF($B$2:$B898,$B898)=1,1,0))</f>
        <v/>
      </c>
      <c r="AG898">
        <f>IF($AF898=1,SUMPRODUCT(--($AJ$2:$AJ$1501&lt;$AJ898))+1,"")</f>
        <v/>
      </c>
      <c r="AH898">
        <f>IF($B898="","",IF(OR($M898=TRUE(),$M898="TRUE"),1,0))</f>
        <v/>
      </c>
      <c r="AI898">
        <f>IF($B898="","",IF($V898="Yes",1,0))</f>
        <v/>
      </c>
      <c r="AJ898">
        <f>IF($AF898=1,IFERROR(IF(VALUE($B898)&lt;100000000,VALUE($B898),1000000000),IFERROR(IF(VALUE(MID($B898,2,20))&lt;100000000,VALUE(MID($B898,2,20)),1000000000),1000000000))+ROW()/100000,"")</f>
        <v/>
      </c>
    </row>
    <row r="899">
      <c r="C899" s="11" t="n"/>
      <c r="J899" s="7">
        <f>IF($B899="","",I899*Q899/100)</f>
        <v/>
      </c>
      <c r="P899" s="7" t="n"/>
      <c r="Q899" s="7" t="n"/>
      <c r="R899" s="7">
        <f>IF($B899="","",Q899*W899/100)</f>
        <v/>
      </c>
      <c r="S899" s="7">
        <f>IF($B899="","",Q899-R899)</f>
        <v/>
      </c>
      <c r="T899" s="7">
        <f>IF($B899="","",S899-J899)</f>
        <v/>
      </c>
      <c r="W899">
        <f>IF($B899="","",IF($AI899=1,0,IF($AH899=1,Settings!$C$6,Settings!$C$7))*100)</f>
        <v/>
      </c>
      <c r="AA899" s="7" t="n"/>
      <c r="AD899" s="11" t="n"/>
      <c r="AF899">
        <f>IF($B899="","",IF(COUNTIF($B$2:$B899,$B899)=1,1,0))</f>
        <v/>
      </c>
      <c r="AG899">
        <f>IF($AF899=1,SUMPRODUCT(--($AJ$2:$AJ$1501&lt;$AJ899))+1,"")</f>
        <v/>
      </c>
      <c r="AH899">
        <f>IF($B899="","",IF(OR($M899=TRUE(),$M899="TRUE"),1,0))</f>
        <v/>
      </c>
      <c r="AI899">
        <f>IF($B899="","",IF($V899="Yes",1,0))</f>
        <v/>
      </c>
      <c r="AJ899">
        <f>IF($AF899=1,IFERROR(IF(VALUE($B899)&lt;100000000,VALUE($B899),1000000000),IFERROR(IF(VALUE(MID($B899,2,20))&lt;100000000,VALUE(MID($B899,2,20)),1000000000),1000000000))+ROW()/100000,"")</f>
        <v/>
      </c>
    </row>
    <row r="900">
      <c r="C900" s="11" t="n"/>
      <c r="J900" s="7">
        <f>IF($B900="","",I900*Q900/100)</f>
        <v/>
      </c>
      <c r="P900" s="7" t="n"/>
      <c r="Q900" s="7" t="n"/>
      <c r="R900" s="7">
        <f>IF($B900="","",Q900*W900/100)</f>
        <v/>
      </c>
      <c r="S900" s="7">
        <f>IF($B900="","",Q900-R900)</f>
        <v/>
      </c>
      <c r="T900" s="7">
        <f>IF($B900="","",S900-J900)</f>
        <v/>
      </c>
      <c r="W900">
        <f>IF($B900="","",IF($AI900=1,0,IF($AH900=1,Settings!$C$6,Settings!$C$7))*100)</f>
        <v/>
      </c>
      <c r="AA900" s="7" t="n"/>
      <c r="AD900" s="11" t="n"/>
      <c r="AF900">
        <f>IF($B900="","",IF(COUNTIF($B$2:$B900,$B900)=1,1,0))</f>
        <v/>
      </c>
      <c r="AG900">
        <f>IF($AF900=1,SUMPRODUCT(--($AJ$2:$AJ$1501&lt;$AJ900))+1,"")</f>
        <v/>
      </c>
      <c r="AH900">
        <f>IF($B900="","",IF(OR($M900=TRUE(),$M900="TRUE"),1,0))</f>
        <v/>
      </c>
      <c r="AI900">
        <f>IF($B900="","",IF($V900="Yes",1,0))</f>
        <v/>
      </c>
      <c r="AJ900">
        <f>IF($AF900=1,IFERROR(IF(VALUE($B900)&lt;100000000,VALUE($B900),1000000000),IFERROR(IF(VALUE(MID($B900,2,20))&lt;100000000,VALUE(MID($B900,2,20)),1000000000),1000000000))+ROW()/100000,"")</f>
        <v/>
      </c>
    </row>
    <row r="901">
      <c r="C901" s="11" t="n"/>
      <c r="J901" s="7">
        <f>IF($B901="","",I901*Q901/100)</f>
        <v/>
      </c>
      <c r="P901" s="7" t="n"/>
      <c r="Q901" s="7" t="n"/>
      <c r="R901" s="7">
        <f>IF($B901="","",Q901*W901/100)</f>
        <v/>
      </c>
      <c r="S901" s="7">
        <f>IF($B901="","",Q901-R901)</f>
        <v/>
      </c>
      <c r="T901" s="7">
        <f>IF($B901="","",S901-J901)</f>
        <v/>
      </c>
      <c r="W901">
        <f>IF($B901="","",IF($AI901=1,0,IF($AH901=1,Settings!$C$6,Settings!$C$7))*100)</f>
        <v/>
      </c>
      <c r="AA901" s="7" t="n"/>
      <c r="AD901" s="11" t="n"/>
      <c r="AF901">
        <f>IF($B901="","",IF(COUNTIF($B$2:$B901,$B901)=1,1,0))</f>
        <v/>
      </c>
      <c r="AG901">
        <f>IF($AF901=1,SUMPRODUCT(--($AJ$2:$AJ$1501&lt;$AJ901))+1,"")</f>
        <v/>
      </c>
      <c r="AH901">
        <f>IF($B901="","",IF(OR($M901=TRUE(),$M901="TRUE"),1,0))</f>
        <v/>
      </c>
      <c r="AI901">
        <f>IF($B901="","",IF($V901="Yes",1,0))</f>
        <v/>
      </c>
      <c r="AJ901">
        <f>IF($AF901=1,IFERROR(IF(VALUE($B901)&lt;100000000,VALUE($B901),1000000000),IFERROR(IF(VALUE(MID($B901,2,20))&lt;100000000,VALUE(MID($B901,2,20)),1000000000),1000000000))+ROW()/100000,"")</f>
        <v/>
      </c>
    </row>
    <row r="902">
      <c r="C902" s="11" t="n"/>
      <c r="J902" s="7">
        <f>IF($B902="","",I902*Q902/100)</f>
        <v/>
      </c>
      <c r="P902" s="7" t="n"/>
      <c r="Q902" s="7" t="n"/>
      <c r="R902" s="7">
        <f>IF($B902="","",Q902*W902/100)</f>
        <v/>
      </c>
      <c r="S902" s="7">
        <f>IF($B902="","",Q902-R902)</f>
        <v/>
      </c>
      <c r="T902" s="7">
        <f>IF($B902="","",S902-J902)</f>
        <v/>
      </c>
      <c r="W902">
        <f>IF($B902="","",IF($AI902=1,0,IF($AH902=1,Settings!$C$6,Settings!$C$7))*100)</f>
        <v/>
      </c>
      <c r="AA902" s="7" t="n"/>
      <c r="AD902" s="11" t="n"/>
      <c r="AF902">
        <f>IF($B902="","",IF(COUNTIF($B$2:$B902,$B902)=1,1,0))</f>
        <v/>
      </c>
      <c r="AG902">
        <f>IF($AF902=1,SUMPRODUCT(--($AJ$2:$AJ$1501&lt;$AJ902))+1,"")</f>
        <v/>
      </c>
      <c r="AH902">
        <f>IF($B902="","",IF(OR($M902=TRUE(),$M902="TRUE"),1,0))</f>
        <v/>
      </c>
      <c r="AI902">
        <f>IF($B902="","",IF($V902="Yes",1,0))</f>
        <v/>
      </c>
      <c r="AJ902">
        <f>IF($AF902=1,IFERROR(IF(VALUE($B902)&lt;100000000,VALUE($B902),1000000000),IFERROR(IF(VALUE(MID($B902,2,20))&lt;100000000,VALUE(MID($B902,2,20)),1000000000),1000000000))+ROW()/100000,"")</f>
        <v/>
      </c>
    </row>
    <row r="903">
      <c r="C903" s="11" t="n"/>
      <c r="J903" s="7">
        <f>IF($B903="","",I903*Q903/100)</f>
        <v/>
      </c>
      <c r="P903" s="7" t="n"/>
      <c r="Q903" s="7" t="n"/>
      <c r="R903" s="7">
        <f>IF($B903="","",Q903*W903/100)</f>
        <v/>
      </c>
      <c r="S903" s="7">
        <f>IF($B903="","",Q903-R903)</f>
        <v/>
      </c>
      <c r="T903" s="7">
        <f>IF($B903="","",S903-J903)</f>
        <v/>
      </c>
      <c r="W903">
        <f>IF($B903="","",IF($AI903=1,0,IF($AH903=1,Settings!$C$6,Settings!$C$7))*100)</f>
        <v/>
      </c>
      <c r="AA903" s="7" t="n"/>
      <c r="AD903" s="11" t="n"/>
      <c r="AF903">
        <f>IF($B903="","",IF(COUNTIF($B$2:$B903,$B903)=1,1,0))</f>
        <v/>
      </c>
      <c r="AG903">
        <f>IF($AF903=1,SUMPRODUCT(--($AJ$2:$AJ$1501&lt;$AJ903))+1,"")</f>
        <v/>
      </c>
      <c r="AH903">
        <f>IF($B903="","",IF(OR($M903=TRUE(),$M903="TRUE"),1,0))</f>
        <v/>
      </c>
      <c r="AI903">
        <f>IF($B903="","",IF($V903="Yes",1,0))</f>
        <v/>
      </c>
      <c r="AJ903">
        <f>IF($AF903=1,IFERROR(IF(VALUE($B903)&lt;100000000,VALUE($B903),1000000000),IFERROR(IF(VALUE(MID($B903,2,20))&lt;100000000,VALUE(MID($B903,2,20)),1000000000),1000000000))+ROW()/100000,"")</f>
        <v/>
      </c>
    </row>
    <row r="904">
      <c r="C904" s="11" t="n"/>
      <c r="J904" s="7">
        <f>IF($B904="","",I904*Q904/100)</f>
        <v/>
      </c>
      <c r="P904" s="7" t="n"/>
      <c r="Q904" s="7" t="n"/>
      <c r="R904" s="7">
        <f>IF($B904="","",Q904*W904/100)</f>
        <v/>
      </c>
      <c r="S904" s="7">
        <f>IF($B904="","",Q904-R904)</f>
        <v/>
      </c>
      <c r="T904" s="7">
        <f>IF($B904="","",S904-J904)</f>
        <v/>
      </c>
      <c r="W904">
        <f>IF($B904="","",IF($AI904=1,0,IF($AH904=1,Settings!$C$6,Settings!$C$7))*100)</f>
        <v/>
      </c>
      <c r="AA904" s="7" t="n"/>
      <c r="AD904" s="11" t="n"/>
      <c r="AF904">
        <f>IF($B904="","",IF(COUNTIF($B$2:$B904,$B904)=1,1,0))</f>
        <v/>
      </c>
      <c r="AG904">
        <f>IF($AF904=1,SUMPRODUCT(--($AJ$2:$AJ$1501&lt;$AJ904))+1,"")</f>
        <v/>
      </c>
      <c r="AH904">
        <f>IF($B904="","",IF(OR($M904=TRUE(),$M904="TRUE"),1,0))</f>
        <v/>
      </c>
      <c r="AI904">
        <f>IF($B904="","",IF($V904="Yes",1,0))</f>
        <v/>
      </c>
      <c r="AJ904">
        <f>IF($AF904=1,IFERROR(IF(VALUE($B904)&lt;100000000,VALUE($B904),1000000000),IFERROR(IF(VALUE(MID($B904,2,20))&lt;100000000,VALUE(MID($B904,2,20)),1000000000),1000000000))+ROW()/100000,"")</f>
        <v/>
      </c>
    </row>
    <row r="905">
      <c r="C905" s="11" t="n"/>
      <c r="J905" s="7">
        <f>IF($B905="","",I905*Q905/100)</f>
        <v/>
      </c>
      <c r="P905" s="7" t="n"/>
      <c r="Q905" s="7" t="n"/>
      <c r="R905" s="7">
        <f>IF($B905="","",Q905*W905/100)</f>
        <v/>
      </c>
      <c r="S905" s="7">
        <f>IF($B905="","",Q905-R905)</f>
        <v/>
      </c>
      <c r="T905" s="7">
        <f>IF($B905="","",S905-J905)</f>
        <v/>
      </c>
      <c r="W905">
        <f>IF($B905="","",IF($AI905=1,0,IF($AH905=1,Settings!$C$6,Settings!$C$7))*100)</f>
        <v/>
      </c>
      <c r="AA905" s="7" t="n"/>
      <c r="AD905" s="11" t="n"/>
      <c r="AF905">
        <f>IF($B905="","",IF(COUNTIF($B$2:$B905,$B905)=1,1,0))</f>
        <v/>
      </c>
      <c r="AG905">
        <f>IF($AF905=1,SUMPRODUCT(--($AJ$2:$AJ$1501&lt;$AJ905))+1,"")</f>
        <v/>
      </c>
      <c r="AH905">
        <f>IF($B905="","",IF(OR($M905=TRUE(),$M905="TRUE"),1,0))</f>
        <v/>
      </c>
      <c r="AI905">
        <f>IF($B905="","",IF($V905="Yes",1,0))</f>
        <v/>
      </c>
      <c r="AJ905">
        <f>IF($AF905=1,IFERROR(IF(VALUE($B905)&lt;100000000,VALUE($B905),1000000000),IFERROR(IF(VALUE(MID($B905,2,20))&lt;100000000,VALUE(MID($B905,2,20)),1000000000),1000000000))+ROW()/100000,"")</f>
        <v/>
      </c>
    </row>
    <row r="906">
      <c r="C906" s="11" t="n"/>
      <c r="J906" s="7">
        <f>IF($B906="","",I906*Q906/100)</f>
        <v/>
      </c>
      <c r="P906" s="7" t="n"/>
      <c r="Q906" s="7" t="n"/>
      <c r="R906" s="7">
        <f>IF($B906="","",Q906*W906/100)</f>
        <v/>
      </c>
      <c r="S906" s="7">
        <f>IF($B906="","",Q906-R906)</f>
        <v/>
      </c>
      <c r="T906" s="7">
        <f>IF($B906="","",S906-J906)</f>
        <v/>
      </c>
      <c r="W906">
        <f>IF($B906="","",IF($AI906=1,0,IF($AH906=1,Settings!$C$6,Settings!$C$7))*100)</f>
        <v/>
      </c>
      <c r="AA906" s="7" t="n"/>
      <c r="AD906" s="11" t="n"/>
      <c r="AF906">
        <f>IF($B906="","",IF(COUNTIF($B$2:$B906,$B906)=1,1,0))</f>
        <v/>
      </c>
      <c r="AG906">
        <f>IF($AF906=1,SUMPRODUCT(--($AJ$2:$AJ$1501&lt;$AJ906))+1,"")</f>
        <v/>
      </c>
      <c r="AH906">
        <f>IF($B906="","",IF(OR($M906=TRUE(),$M906="TRUE"),1,0))</f>
        <v/>
      </c>
      <c r="AI906">
        <f>IF($B906="","",IF($V906="Yes",1,0))</f>
        <v/>
      </c>
      <c r="AJ906">
        <f>IF($AF906=1,IFERROR(IF(VALUE($B906)&lt;100000000,VALUE($B906),1000000000),IFERROR(IF(VALUE(MID($B906,2,20))&lt;100000000,VALUE(MID($B906,2,20)),1000000000),1000000000))+ROW()/100000,"")</f>
        <v/>
      </c>
    </row>
    <row r="907">
      <c r="C907" s="11" t="n"/>
      <c r="J907" s="7">
        <f>IF($B907="","",I907*Q907/100)</f>
        <v/>
      </c>
      <c r="P907" s="7" t="n"/>
      <c r="Q907" s="7" t="n"/>
      <c r="R907" s="7">
        <f>IF($B907="","",Q907*W907/100)</f>
        <v/>
      </c>
      <c r="S907" s="7">
        <f>IF($B907="","",Q907-R907)</f>
        <v/>
      </c>
      <c r="T907" s="7">
        <f>IF($B907="","",S907-J907)</f>
        <v/>
      </c>
      <c r="W907">
        <f>IF($B907="","",IF($AI907=1,0,IF($AH907=1,Settings!$C$6,Settings!$C$7))*100)</f>
        <v/>
      </c>
      <c r="AA907" s="7" t="n"/>
      <c r="AD907" s="11" t="n"/>
      <c r="AF907">
        <f>IF($B907="","",IF(COUNTIF($B$2:$B907,$B907)=1,1,0))</f>
        <v/>
      </c>
      <c r="AG907">
        <f>IF($AF907=1,SUMPRODUCT(--($AJ$2:$AJ$1501&lt;$AJ907))+1,"")</f>
        <v/>
      </c>
      <c r="AH907">
        <f>IF($B907="","",IF(OR($M907=TRUE(),$M907="TRUE"),1,0))</f>
        <v/>
      </c>
      <c r="AI907">
        <f>IF($B907="","",IF($V907="Yes",1,0))</f>
        <v/>
      </c>
      <c r="AJ907">
        <f>IF($AF907=1,IFERROR(IF(VALUE($B907)&lt;100000000,VALUE($B907),1000000000),IFERROR(IF(VALUE(MID($B907,2,20))&lt;100000000,VALUE(MID($B907,2,20)),1000000000),1000000000))+ROW()/100000,"")</f>
        <v/>
      </c>
    </row>
    <row r="908">
      <c r="C908" s="11" t="n"/>
      <c r="J908" s="7">
        <f>IF($B908="","",I908*Q908/100)</f>
        <v/>
      </c>
      <c r="P908" s="7" t="n"/>
      <c r="Q908" s="7" t="n"/>
      <c r="R908" s="7">
        <f>IF($B908="","",Q908*W908/100)</f>
        <v/>
      </c>
      <c r="S908" s="7">
        <f>IF($B908="","",Q908-R908)</f>
        <v/>
      </c>
      <c r="T908" s="7">
        <f>IF($B908="","",S908-J908)</f>
        <v/>
      </c>
      <c r="W908">
        <f>IF($B908="","",IF($AI908=1,0,IF($AH908=1,Settings!$C$6,Settings!$C$7))*100)</f>
        <v/>
      </c>
      <c r="AA908" s="7" t="n"/>
      <c r="AD908" s="11" t="n"/>
      <c r="AF908">
        <f>IF($B908="","",IF(COUNTIF($B$2:$B908,$B908)=1,1,0))</f>
        <v/>
      </c>
      <c r="AG908">
        <f>IF($AF908=1,SUMPRODUCT(--($AJ$2:$AJ$1501&lt;$AJ908))+1,"")</f>
        <v/>
      </c>
      <c r="AH908">
        <f>IF($B908="","",IF(OR($M908=TRUE(),$M908="TRUE"),1,0))</f>
        <v/>
      </c>
      <c r="AI908">
        <f>IF($B908="","",IF($V908="Yes",1,0))</f>
        <v/>
      </c>
      <c r="AJ908">
        <f>IF($AF908=1,IFERROR(IF(VALUE($B908)&lt;100000000,VALUE($B908),1000000000),IFERROR(IF(VALUE(MID($B908,2,20))&lt;100000000,VALUE(MID($B908,2,20)),1000000000),1000000000))+ROW()/100000,"")</f>
        <v/>
      </c>
    </row>
    <row r="909">
      <c r="C909" s="11" t="n"/>
      <c r="J909" s="7">
        <f>IF($B909="","",I909*Q909/100)</f>
        <v/>
      </c>
      <c r="P909" s="7" t="n"/>
      <c r="Q909" s="7" t="n"/>
      <c r="R909" s="7">
        <f>IF($B909="","",Q909*W909/100)</f>
        <v/>
      </c>
      <c r="S909" s="7">
        <f>IF($B909="","",Q909-R909)</f>
        <v/>
      </c>
      <c r="T909" s="7">
        <f>IF($B909="","",S909-J909)</f>
        <v/>
      </c>
      <c r="W909">
        <f>IF($B909="","",IF($AI909=1,0,IF($AH909=1,Settings!$C$6,Settings!$C$7))*100)</f>
        <v/>
      </c>
      <c r="AA909" s="7" t="n"/>
      <c r="AD909" s="11" t="n"/>
      <c r="AF909">
        <f>IF($B909="","",IF(COUNTIF($B$2:$B909,$B909)=1,1,0))</f>
        <v/>
      </c>
      <c r="AG909">
        <f>IF($AF909=1,SUMPRODUCT(--($AJ$2:$AJ$1501&lt;$AJ909))+1,"")</f>
        <v/>
      </c>
      <c r="AH909">
        <f>IF($B909="","",IF(OR($M909=TRUE(),$M909="TRUE"),1,0))</f>
        <v/>
      </c>
      <c r="AI909">
        <f>IF($B909="","",IF($V909="Yes",1,0))</f>
        <v/>
      </c>
      <c r="AJ909">
        <f>IF($AF909=1,IFERROR(IF(VALUE($B909)&lt;100000000,VALUE($B909),1000000000),IFERROR(IF(VALUE(MID($B909,2,20))&lt;100000000,VALUE(MID($B909,2,20)),1000000000),1000000000))+ROW()/100000,"")</f>
        <v/>
      </c>
    </row>
    <row r="910">
      <c r="C910" s="11" t="n"/>
      <c r="J910" s="7">
        <f>IF($B910="","",I910*Q910/100)</f>
        <v/>
      </c>
      <c r="P910" s="7" t="n"/>
      <c r="Q910" s="7" t="n"/>
      <c r="R910" s="7">
        <f>IF($B910="","",Q910*W910/100)</f>
        <v/>
      </c>
      <c r="S910" s="7">
        <f>IF($B910="","",Q910-R910)</f>
        <v/>
      </c>
      <c r="T910" s="7">
        <f>IF($B910="","",S910-J910)</f>
        <v/>
      </c>
      <c r="W910">
        <f>IF($B910="","",IF($AI910=1,0,IF($AH910=1,Settings!$C$6,Settings!$C$7))*100)</f>
        <v/>
      </c>
      <c r="AA910" s="7" t="n"/>
      <c r="AD910" s="11" t="n"/>
      <c r="AF910">
        <f>IF($B910="","",IF(COUNTIF($B$2:$B910,$B910)=1,1,0))</f>
        <v/>
      </c>
      <c r="AG910">
        <f>IF($AF910=1,SUMPRODUCT(--($AJ$2:$AJ$1501&lt;$AJ910))+1,"")</f>
        <v/>
      </c>
      <c r="AH910">
        <f>IF($B910="","",IF(OR($M910=TRUE(),$M910="TRUE"),1,0))</f>
        <v/>
      </c>
      <c r="AI910">
        <f>IF($B910="","",IF($V910="Yes",1,0))</f>
        <v/>
      </c>
      <c r="AJ910">
        <f>IF($AF910=1,IFERROR(IF(VALUE($B910)&lt;100000000,VALUE($B910),1000000000),IFERROR(IF(VALUE(MID($B910,2,20))&lt;100000000,VALUE(MID($B910,2,20)),1000000000),1000000000))+ROW()/100000,"")</f>
        <v/>
      </c>
    </row>
    <row r="911">
      <c r="C911" s="11" t="n"/>
      <c r="J911" s="7">
        <f>IF($B911="","",I911*Q911/100)</f>
        <v/>
      </c>
      <c r="P911" s="7" t="n"/>
      <c r="Q911" s="7" t="n"/>
      <c r="R911" s="7">
        <f>IF($B911="","",Q911*W911/100)</f>
        <v/>
      </c>
      <c r="S911" s="7">
        <f>IF($B911="","",Q911-R911)</f>
        <v/>
      </c>
      <c r="T911" s="7">
        <f>IF($B911="","",S911-J911)</f>
        <v/>
      </c>
      <c r="W911">
        <f>IF($B911="","",IF($AI911=1,0,IF($AH911=1,Settings!$C$6,Settings!$C$7))*100)</f>
        <v/>
      </c>
      <c r="AA911" s="7" t="n"/>
      <c r="AD911" s="11" t="n"/>
      <c r="AF911">
        <f>IF($B911="","",IF(COUNTIF($B$2:$B911,$B911)=1,1,0))</f>
        <v/>
      </c>
      <c r="AG911">
        <f>IF($AF911=1,SUMPRODUCT(--($AJ$2:$AJ$1501&lt;$AJ911))+1,"")</f>
        <v/>
      </c>
      <c r="AH911">
        <f>IF($B911="","",IF(OR($M911=TRUE(),$M911="TRUE"),1,0))</f>
        <v/>
      </c>
      <c r="AI911">
        <f>IF($B911="","",IF($V911="Yes",1,0))</f>
        <v/>
      </c>
      <c r="AJ911">
        <f>IF($AF911=1,IFERROR(IF(VALUE($B911)&lt;100000000,VALUE($B911),1000000000),IFERROR(IF(VALUE(MID($B911,2,20))&lt;100000000,VALUE(MID($B911,2,20)),1000000000),1000000000))+ROW()/100000,"")</f>
        <v/>
      </c>
    </row>
    <row r="912">
      <c r="C912" s="11" t="n"/>
      <c r="J912" s="7">
        <f>IF($B912="","",I912*Q912/100)</f>
        <v/>
      </c>
      <c r="P912" s="7" t="n"/>
      <c r="Q912" s="7" t="n"/>
      <c r="R912" s="7">
        <f>IF($B912="","",Q912*W912/100)</f>
        <v/>
      </c>
      <c r="S912" s="7">
        <f>IF($B912="","",Q912-R912)</f>
        <v/>
      </c>
      <c r="T912" s="7">
        <f>IF($B912="","",S912-J912)</f>
        <v/>
      </c>
      <c r="W912">
        <f>IF($B912="","",IF($AI912=1,0,IF($AH912=1,Settings!$C$6,Settings!$C$7))*100)</f>
        <v/>
      </c>
      <c r="AA912" s="7" t="n"/>
      <c r="AD912" s="11" t="n"/>
      <c r="AF912">
        <f>IF($B912="","",IF(COUNTIF($B$2:$B912,$B912)=1,1,0))</f>
        <v/>
      </c>
      <c r="AG912">
        <f>IF($AF912=1,SUMPRODUCT(--($AJ$2:$AJ$1501&lt;$AJ912))+1,"")</f>
        <v/>
      </c>
      <c r="AH912">
        <f>IF($B912="","",IF(OR($M912=TRUE(),$M912="TRUE"),1,0))</f>
        <v/>
      </c>
      <c r="AI912">
        <f>IF($B912="","",IF($V912="Yes",1,0))</f>
        <v/>
      </c>
      <c r="AJ912">
        <f>IF($AF912=1,IFERROR(IF(VALUE($B912)&lt;100000000,VALUE($B912),1000000000),IFERROR(IF(VALUE(MID($B912,2,20))&lt;100000000,VALUE(MID($B912,2,20)),1000000000),1000000000))+ROW()/100000,"")</f>
        <v/>
      </c>
    </row>
    <row r="913">
      <c r="C913" s="11" t="n"/>
      <c r="J913" s="7">
        <f>IF($B913="","",I913*Q913/100)</f>
        <v/>
      </c>
      <c r="P913" s="7" t="n"/>
      <c r="Q913" s="7" t="n"/>
      <c r="R913" s="7">
        <f>IF($B913="","",Q913*W913/100)</f>
        <v/>
      </c>
      <c r="S913" s="7">
        <f>IF($B913="","",Q913-R913)</f>
        <v/>
      </c>
      <c r="T913" s="7">
        <f>IF($B913="","",S913-J913)</f>
        <v/>
      </c>
      <c r="W913">
        <f>IF($B913="","",IF($AI913=1,0,IF($AH913=1,Settings!$C$6,Settings!$C$7))*100)</f>
        <v/>
      </c>
      <c r="AA913" s="7" t="n"/>
      <c r="AD913" s="11" t="n"/>
      <c r="AF913">
        <f>IF($B913="","",IF(COUNTIF($B$2:$B913,$B913)=1,1,0))</f>
        <v/>
      </c>
      <c r="AG913">
        <f>IF($AF913=1,SUMPRODUCT(--($AJ$2:$AJ$1501&lt;$AJ913))+1,"")</f>
        <v/>
      </c>
      <c r="AH913">
        <f>IF($B913="","",IF(OR($M913=TRUE(),$M913="TRUE"),1,0))</f>
        <v/>
      </c>
      <c r="AI913">
        <f>IF($B913="","",IF($V913="Yes",1,0))</f>
        <v/>
      </c>
      <c r="AJ913">
        <f>IF($AF913=1,IFERROR(IF(VALUE($B913)&lt;100000000,VALUE($B913),1000000000),IFERROR(IF(VALUE(MID($B913,2,20))&lt;100000000,VALUE(MID($B913,2,20)),1000000000),1000000000))+ROW()/100000,"")</f>
        <v/>
      </c>
    </row>
    <row r="914">
      <c r="C914" s="11" t="n"/>
      <c r="J914" s="7">
        <f>IF($B914="","",I914*Q914/100)</f>
        <v/>
      </c>
      <c r="P914" s="7" t="n"/>
      <c r="Q914" s="7" t="n"/>
      <c r="R914" s="7">
        <f>IF($B914="","",Q914*W914/100)</f>
        <v/>
      </c>
      <c r="S914" s="7">
        <f>IF($B914="","",Q914-R914)</f>
        <v/>
      </c>
      <c r="T914" s="7">
        <f>IF($B914="","",S914-J914)</f>
        <v/>
      </c>
      <c r="W914">
        <f>IF($B914="","",IF($AI914=1,0,IF($AH914=1,Settings!$C$6,Settings!$C$7))*100)</f>
        <v/>
      </c>
      <c r="AA914" s="7" t="n"/>
      <c r="AD914" s="11" t="n"/>
      <c r="AF914">
        <f>IF($B914="","",IF(COUNTIF($B$2:$B914,$B914)=1,1,0))</f>
        <v/>
      </c>
      <c r="AG914">
        <f>IF($AF914=1,SUMPRODUCT(--($AJ$2:$AJ$1501&lt;$AJ914))+1,"")</f>
        <v/>
      </c>
      <c r="AH914">
        <f>IF($B914="","",IF(OR($M914=TRUE(),$M914="TRUE"),1,0))</f>
        <v/>
      </c>
      <c r="AI914">
        <f>IF($B914="","",IF($V914="Yes",1,0))</f>
        <v/>
      </c>
      <c r="AJ914">
        <f>IF($AF914=1,IFERROR(IF(VALUE($B914)&lt;100000000,VALUE($B914),1000000000),IFERROR(IF(VALUE(MID($B914,2,20))&lt;100000000,VALUE(MID($B914,2,20)),1000000000),1000000000))+ROW()/100000,"")</f>
        <v/>
      </c>
    </row>
    <row r="915">
      <c r="C915" s="11" t="n"/>
      <c r="J915" s="7">
        <f>IF($B915="","",I915*Q915/100)</f>
        <v/>
      </c>
      <c r="P915" s="7" t="n"/>
      <c r="Q915" s="7" t="n"/>
      <c r="R915" s="7">
        <f>IF($B915="","",Q915*W915/100)</f>
        <v/>
      </c>
      <c r="S915" s="7">
        <f>IF($B915="","",Q915-R915)</f>
        <v/>
      </c>
      <c r="T915" s="7">
        <f>IF($B915="","",S915-J915)</f>
        <v/>
      </c>
      <c r="W915">
        <f>IF($B915="","",IF($AI915=1,0,IF($AH915=1,Settings!$C$6,Settings!$C$7))*100)</f>
        <v/>
      </c>
      <c r="AA915" s="7" t="n"/>
      <c r="AD915" s="11" t="n"/>
      <c r="AF915">
        <f>IF($B915="","",IF(COUNTIF($B$2:$B915,$B915)=1,1,0))</f>
        <v/>
      </c>
      <c r="AG915">
        <f>IF($AF915=1,SUMPRODUCT(--($AJ$2:$AJ$1501&lt;$AJ915))+1,"")</f>
        <v/>
      </c>
      <c r="AH915">
        <f>IF($B915="","",IF(OR($M915=TRUE(),$M915="TRUE"),1,0))</f>
        <v/>
      </c>
      <c r="AI915">
        <f>IF($B915="","",IF($V915="Yes",1,0))</f>
        <v/>
      </c>
      <c r="AJ915">
        <f>IF($AF915=1,IFERROR(IF(VALUE($B915)&lt;100000000,VALUE($B915),1000000000),IFERROR(IF(VALUE(MID($B915,2,20))&lt;100000000,VALUE(MID($B915,2,20)),1000000000),1000000000))+ROW()/100000,"")</f>
        <v/>
      </c>
    </row>
    <row r="916">
      <c r="C916" s="11" t="n"/>
      <c r="J916" s="7">
        <f>IF($B916="","",I916*Q916/100)</f>
        <v/>
      </c>
      <c r="P916" s="7" t="n"/>
      <c r="Q916" s="7" t="n"/>
      <c r="R916" s="7">
        <f>IF($B916="","",Q916*W916/100)</f>
        <v/>
      </c>
      <c r="S916" s="7">
        <f>IF($B916="","",Q916-R916)</f>
        <v/>
      </c>
      <c r="T916" s="7">
        <f>IF($B916="","",S916-J916)</f>
        <v/>
      </c>
      <c r="W916">
        <f>IF($B916="","",IF($AI916=1,0,IF($AH916=1,Settings!$C$6,Settings!$C$7))*100)</f>
        <v/>
      </c>
      <c r="AA916" s="7" t="n"/>
      <c r="AD916" s="11" t="n"/>
      <c r="AF916">
        <f>IF($B916="","",IF(COUNTIF($B$2:$B916,$B916)=1,1,0))</f>
        <v/>
      </c>
      <c r="AG916">
        <f>IF($AF916=1,SUMPRODUCT(--($AJ$2:$AJ$1501&lt;$AJ916))+1,"")</f>
        <v/>
      </c>
      <c r="AH916">
        <f>IF($B916="","",IF(OR($M916=TRUE(),$M916="TRUE"),1,0))</f>
        <v/>
      </c>
      <c r="AI916">
        <f>IF($B916="","",IF($V916="Yes",1,0))</f>
        <v/>
      </c>
      <c r="AJ916">
        <f>IF($AF916=1,IFERROR(IF(VALUE($B916)&lt;100000000,VALUE($B916),1000000000),IFERROR(IF(VALUE(MID($B916,2,20))&lt;100000000,VALUE(MID($B916,2,20)),1000000000),1000000000))+ROW()/100000,"")</f>
        <v/>
      </c>
    </row>
    <row r="917">
      <c r="C917" s="11" t="n"/>
      <c r="J917" s="7">
        <f>IF($B917="","",I917*Q917/100)</f>
        <v/>
      </c>
      <c r="P917" s="7" t="n"/>
      <c r="Q917" s="7" t="n"/>
      <c r="R917" s="7">
        <f>IF($B917="","",Q917*W917/100)</f>
        <v/>
      </c>
      <c r="S917" s="7">
        <f>IF($B917="","",Q917-R917)</f>
        <v/>
      </c>
      <c r="T917" s="7">
        <f>IF($B917="","",S917-J917)</f>
        <v/>
      </c>
      <c r="W917">
        <f>IF($B917="","",IF($AI917=1,0,IF($AH917=1,Settings!$C$6,Settings!$C$7))*100)</f>
        <v/>
      </c>
      <c r="AA917" s="7" t="n"/>
      <c r="AD917" s="11" t="n"/>
      <c r="AF917">
        <f>IF($B917="","",IF(COUNTIF($B$2:$B917,$B917)=1,1,0))</f>
        <v/>
      </c>
      <c r="AG917">
        <f>IF($AF917=1,SUMPRODUCT(--($AJ$2:$AJ$1501&lt;$AJ917))+1,"")</f>
        <v/>
      </c>
      <c r="AH917">
        <f>IF($B917="","",IF(OR($M917=TRUE(),$M917="TRUE"),1,0))</f>
        <v/>
      </c>
      <c r="AI917">
        <f>IF($B917="","",IF($V917="Yes",1,0))</f>
        <v/>
      </c>
      <c r="AJ917">
        <f>IF($AF917=1,IFERROR(IF(VALUE($B917)&lt;100000000,VALUE($B917),1000000000),IFERROR(IF(VALUE(MID($B917,2,20))&lt;100000000,VALUE(MID($B917,2,20)),1000000000),1000000000))+ROW()/100000,"")</f>
        <v/>
      </c>
    </row>
    <row r="918">
      <c r="C918" s="11" t="n"/>
      <c r="J918" s="7">
        <f>IF($B918="","",I918*Q918/100)</f>
        <v/>
      </c>
      <c r="P918" s="7" t="n"/>
      <c r="Q918" s="7" t="n"/>
      <c r="R918" s="7">
        <f>IF($B918="","",Q918*W918/100)</f>
        <v/>
      </c>
      <c r="S918" s="7">
        <f>IF($B918="","",Q918-R918)</f>
        <v/>
      </c>
      <c r="T918" s="7">
        <f>IF($B918="","",S918-J918)</f>
        <v/>
      </c>
      <c r="W918">
        <f>IF($B918="","",IF($AI918=1,0,IF($AH918=1,Settings!$C$6,Settings!$C$7))*100)</f>
        <v/>
      </c>
      <c r="AA918" s="7" t="n"/>
      <c r="AD918" s="11" t="n"/>
      <c r="AF918">
        <f>IF($B918="","",IF(COUNTIF($B$2:$B918,$B918)=1,1,0))</f>
        <v/>
      </c>
      <c r="AG918">
        <f>IF($AF918=1,SUMPRODUCT(--($AJ$2:$AJ$1501&lt;$AJ918))+1,"")</f>
        <v/>
      </c>
      <c r="AH918">
        <f>IF($B918="","",IF(OR($M918=TRUE(),$M918="TRUE"),1,0))</f>
        <v/>
      </c>
      <c r="AI918">
        <f>IF($B918="","",IF($V918="Yes",1,0))</f>
        <v/>
      </c>
      <c r="AJ918">
        <f>IF($AF918=1,IFERROR(IF(VALUE($B918)&lt;100000000,VALUE($B918),1000000000),IFERROR(IF(VALUE(MID($B918,2,20))&lt;100000000,VALUE(MID($B918,2,20)),1000000000),1000000000))+ROW()/100000,"")</f>
        <v/>
      </c>
    </row>
    <row r="919">
      <c r="C919" s="11" t="n"/>
      <c r="J919" s="7">
        <f>IF($B919="","",I919*Q919/100)</f>
        <v/>
      </c>
      <c r="P919" s="7" t="n"/>
      <c r="Q919" s="7" t="n"/>
      <c r="R919" s="7">
        <f>IF($B919="","",Q919*W919/100)</f>
        <v/>
      </c>
      <c r="S919" s="7">
        <f>IF($B919="","",Q919-R919)</f>
        <v/>
      </c>
      <c r="T919" s="7">
        <f>IF($B919="","",S919-J919)</f>
        <v/>
      </c>
      <c r="W919">
        <f>IF($B919="","",IF($AI919=1,0,IF($AH919=1,Settings!$C$6,Settings!$C$7))*100)</f>
        <v/>
      </c>
      <c r="AA919" s="7" t="n"/>
      <c r="AD919" s="11" t="n"/>
      <c r="AF919">
        <f>IF($B919="","",IF(COUNTIF($B$2:$B919,$B919)=1,1,0))</f>
        <v/>
      </c>
      <c r="AG919">
        <f>IF($AF919=1,SUMPRODUCT(--($AJ$2:$AJ$1501&lt;$AJ919))+1,"")</f>
        <v/>
      </c>
      <c r="AH919">
        <f>IF($B919="","",IF(OR($M919=TRUE(),$M919="TRUE"),1,0))</f>
        <v/>
      </c>
      <c r="AI919">
        <f>IF($B919="","",IF($V919="Yes",1,0))</f>
        <v/>
      </c>
      <c r="AJ919">
        <f>IF($AF919=1,IFERROR(IF(VALUE($B919)&lt;100000000,VALUE($B919),1000000000),IFERROR(IF(VALUE(MID($B919,2,20))&lt;100000000,VALUE(MID($B919,2,20)),1000000000),1000000000))+ROW()/100000,"")</f>
        <v/>
      </c>
    </row>
    <row r="920">
      <c r="C920" s="11" t="n"/>
      <c r="J920" s="7">
        <f>IF($B920="","",I920*Q920/100)</f>
        <v/>
      </c>
      <c r="P920" s="7" t="n"/>
      <c r="Q920" s="7" t="n"/>
      <c r="R920" s="7">
        <f>IF($B920="","",Q920*W920/100)</f>
        <v/>
      </c>
      <c r="S920" s="7">
        <f>IF($B920="","",Q920-R920)</f>
        <v/>
      </c>
      <c r="T920" s="7">
        <f>IF($B920="","",S920-J920)</f>
        <v/>
      </c>
      <c r="W920">
        <f>IF($B920="","",IF($AI920=1,0,IF($AH920=1,Settings!$C$6,Settings!$C$7))*100)</f>
        <v/>
      </c>
      <c r="AA920" s="7" t="n"/>
      <c r="AD920" s="11" t="n"/>
      <c r="AF920">
        <f>IF($B920="","",IF(COUNTIF($B$2:$B920,$B920)=1,1,0))</f>
        <v/>
      </c>
      <c r="AG920">
        <f>IF($AF920=1,SUMPRODUCT(--($AJ$2:$AJ$1501&lt;$AJ920))+1,"")</f>
        <v/>
      </c>
      <c r="AH920">
        <f>IF($B920="","",IF(OR($M920=TRUE(),$M920="TRUE"),1,0))</f>
        <v/>
      </c>
      <c r="AI920">
        <f>IF($B920="","",IF($V920="Yes",1,0))</f>
        <v/>
      </c>
      <c r="AJ920">
        <f>IF($AF920=1,IFERROR(IF(VALUE($B920)&lt;100000000,VALUE($B920),1000000000),IFERROR(IF(VALUE(MID($B920,2,20))&lt;100000000,VALUE(MID($B920,2,20)),1000000000),1000000000))+ROW()/100000,"")</f>
        <v/>
      </c>
    </row>
    <row r="921">
      <c r="C921" s="11" t="n"/>
      <c r="J921" s="7">
        <f>IF($B921="","",I921*Q921/100)</f>
        <v/>
      </c>
      <c r="P921" s="7" t="n"/>
      <c r="Q921" s="7" t="n"/>
      <c r="R921" s="7">
        <f>IF($B921="","",Q921*W921/100)</f>
        <v/>
      </c>
      <c r="S921" s="7">
        <f>IF($B921="","",Q921-R921)</f>
        <v/>
      </c>
      <c r="T921" s="7">
        <f>IF($B921="","",S921-J921)</f>
        <v/>
      </c>
      <c r="W921">
        <f>IF($B921="","",IF($AI921=1,0,IF($AH921=1,Settings!$C$6,Settings!$C$7))*100)</f>
        <v/>
      </c>
      <c r="AA921" s="7" t="n"/>
      <c r="AD921" s="11" t="n"/>
      <c r="AF921">
        <f>IF($B921="","",IF(COUNTIF($B$2:$B921,$B921)=1,1,0))</f>
        <v/>
      </c>
      <c r="AG921">
        <f>IF($AF921=1,SUMPRODUCT(--($AJ$2:$AJ$1501&lt;$AJ921))+1,"")</f>
        <v/>
      </c>
      <c r="AH921">
        <f>IF($B921="","",IF(OR($M921=TRUE(),$M921="TRUE"),1,0))</f>
        <v/>
      </c>
      <c r="AI921">
        <f>IF($B921="","",IF($V921="Yes",1,0))</f>
        <v/>
      </c>
      <c r="AJ921">
        <f>IF($AF921=1,IFERROR(IF(VALUE($B921)&lt;100000000,VALUE($B921),1000000000),IFERROR(IF(VALUE(MID($B921,2,20))&lt;100000000,VALUE(MID($B921,2,20)),1000000000),1000000000))+ROW()/100000,"")</f>
        <v/>
      </c>
    </row>
    <row r="922">
      <c r="C922" s="11" t="n"/>
      <c r="J922" s="7">
        <f>IF($B922="","",I922*Q922/100)</f>
        <v/>
      </c>
      <c r="P922" s="7" t="n"/>
      <c r="Q922" s="7" t="n"/>
      <c r="R922" s="7">
        <f>IF($B922="","",Q922*W922/100)</f>
        <v/>
      </c>
      <c r="S922" s="7">
        <f>IF($B922="","",Q922-R922)</f>
        <v/>
      </c>
      <c r="T922" s="7">
        <f>IF($B922="","",S922-J922)</f>
        <v/>
      </c>
      <c r="W922">
        <f>IF($B922="","",IF($AI922=1,0,IF($AH922=1,Settings!$C$6,Settings!$C$7))*100)</f>
        <v/>
      </c>
      <c r="AA922" s="7" t="n"/>
      <c r="AD922" s="11" t="n"/>
      <c r="AF922">
        <f>IF($B922="","",IF(COUNTIF($B$2:$B922,$B922)=1,1,0))</f>
        <v/>
      </c>
      <c r="AG922">
        <f>IF($AF922=1,SUMPRODUCT(--($AJ$2:$AJ$1501&lt;$AJ922))+1,"")</f>
        <v/>
      </c>
      <c r="AH922">
        <f>IF($B922="","",IF(OR($M922=TRUE(),$M922="TRUE"),1,0))</f>
        <v/>
      </c>
      <c r="AI922">
        <f>IF($B922="","",IF($V922="Yes",1,0))</f>
        <v/>
      </c>
      <c r="AJ922">
        <f>IF($AF922=1,IFERROR(IF(VALUE($B922)&lt;100000000,VALUE($B922),1000000000),IFERROR(IF(VALUE(MID($B922,2,20))&lt;100000000,VALUE(MID($B922,2,20)),1000000000),1000000000))+ROW()/100000,"")</f>
        <v/>
      </c>
    </row>
    <row r="923">
      <c r="C923" s="11" t="n"/>
      <c r="J923" s="7">
        <f>IF($B923="","",I923*Q923/100)</f>
        <v/>
      </c>
      <c r="P923" s="7" t="n"/>
      <c r="Q923" s="7" t="n"/>
      <c r="R923" s="7">
        <f>IF($B923="","",Q923*W923/100)</f>
        <v/>
      </c>
      <c r="S923" s="7">
        <f>IF($B923="","",Q923-R923)</f>
        <v/>
      </c>
      <c r="T923" s="7">
        <f>IF($B923="","",S923-J923)</f>
        <v/>
      </c>
      <c r="W923">
        <f>IF($B923="","",IF($AI923=1,0,IF($AH923=1,Settings!$C$6,Settings!$C$7))*100)</f>
        <v/>
      </c>
      <c r="AA923" s="7" t="n"/>
      <c r="AD923" s="11" t="n"/>
      <c r="AF923">
        <f>IF($B923="","",IF(COUNTIF($B$2:$B923,$B923)=1,1,0))</f>
        <v/>
      </c>
      <c r="AG923">
        <f>IF($AF923=1,SUMPRODUCT(--($AJ$2:$AJ$1501&lt;$AJ923))+1,"")</f>
        <v/>
      </c>
      <c r="AH923">
        <f>IF($B923="","",IF(OR($M923=TRUE(),$M923="TRUE"),1,0))</f>
        <v/>
      </c>
      <c r="AI923">
        <f>IF($B923="","",IF($V923="Yes",1,0))</f>
        <v/>
      </c>
      <c r="AJ923">
        <f>IF($AF923=1,IFERROR(IF(VALUE($B923)&lt;100000000,VALUE($B923),1000000000),IFERROR(IF(VALUE(MID($B923,2,20))&lt;100000000,VALUE(MID($B923,2,20)),1000000000),1000000000))+ROW()/100000,"")</f>
        <v/>
      </c>
    </row>
    <row r="924">
      <c r="C924" s="11" t="n"/>
      <c r="J924" s="7">
        <f>IF($B924="","",I924*Q924/100)</f>
        <v/>
      </c>
      <c r="P924" s="7" t="n"/>
      <c r="Q924" s="7" t="n"/>
      <c r="R924" s="7">
        <f>IF($B924="","",Q924*W924/100)</f>
        <v/>
      </c>
      <c r="S924" s="7">
        <f>IF($B924="","",Q924-R924)</f>
        <v/>
      </c>
      <c r="T924" s="7">
        <f>IF($B924="","",S924-J924)</f>
        <v/>
      </c>
      <c r="W924">
        <f>IF($B924="","",IF($AI924=1,0,IF($AH924=1,Settings!$C$6,Settings!$C$7))*100)</f>
        <v/>
      </c>
      <c r="AA924" s="7" t="n"/>
      <c r="AD924" s="11" t="n"/>
      <c r="AF924">
        <f>IF($B924="","",IF(COUNTIF($B$2:$B924,$B924)=1,1,0))</f>
        <v/>
      </c>
      <c r="AG924">
        <f>IF($AF924=1,SUMPRODUCT(--($AJ$2:$AJ$1501&lt;$AJ924))+1,"")</f>
        <v/>
      </c>
      <c r="AH924">
        <f>IF($B924="","",IF(OR($M924=TRUE(),$M924="TRUE"),1,0))</f>
        <v/>
      </c>
      <c r="AI924">
        <f>IF($B924="","",IF($V924="Yes",1,0))</f>
        <v/>
      </c>
      <c r="AJ924">
        <f>IF($AF924=1,IFERROR(IF(VALUE($B924)&lt;100000000,VALUE($B924),1000000000),IFERROR(IF(VALUE(MID($B924,2,20))&lt;100000000,VALUE(MID($B924,2,20)),1000000000),1000000000))+ROW()/100000,"")</f>
        <v/>
      </c>
    </row>
    <row r="925">
      <c r="C925" s="11" t="n"/>
      <c r="J925" s="7">
        <f>IF($B925="","",I925*Q925/100)</f>
        <v/>
      </c>
      <c r="P925" s="7" t="n"/>
      <c r="Q925" s="7" t="n"/>
      <c r="R925" s="7">
        <f>IF($B925="","",Q925*W925/100)</f>
        <v/>
      </c>
      <c r="S925" s="7">
        <f>IF($B925="","",Q925-R925)</f>
        <v/>
      </c>
      <c r="T925" s="7">
        <f>IF($B925="","",S925-J925)</f>
        <v/>
      </c>
      <c r="W925">
        <f>IF($B925="","",IF($AI925=1,0,IF($AH925=1,Settings!$C$6,Settings!$C$7))*100)</f>
        <v/>
      </c>
      <c r="AA925" s="7" t="n"/>
      <c r="AD925" s="11" t="n"/>
      <c r="AF925">
        <f>IF($B925="","",IF(COUNTIF($B$2:$B925,$B925)=1,1,0))</f>
        <v/>
      </c>
      <c r="AG925">
        <f>IF($AF925=1,SUMPRODUCT(--($AJ$2:$AJ$1501&lt;$AJ925))+1,"")</f>
        <v/>
      </c>
      <c r="AH925">
        <f>IF($B925="","",IF(OR($M925=TRUE(),$M925="TRUE"),1,0))</f>
        <v/>
      </c>
      <c r="AI925">
        <f>IF($B925="","",IF($V925="Yes",1,0))</f>
        <v/>
      </c>
      <c r="AJ925">
        <f>IF($AF925=1,IFERROR(IF(VALUE($B925)&lt;100000000,VALUE($B925),1000000000),IFERROR(IF(VALUE(MID($B925,2,20))&lt;100000000,VALUE(MID($B925,2,20)),1000000000),1000000000))+ROW()/100000,"")</f>
        <v/>
      </c>
    </row>
    <row r="926">
      <c r="C926" s="11" t="n"/>
      <c r="J926" s="7">
        <f>IF($B926="","",I926*Q926/100)</f>
        <v/>
      </c>
      <c r="P926" s="7" t="n"/>
      <c r="Q926" s="7" t="n"/>
      <c r="R926" s="7">
        <f>IF($B926="","",Q926*W926/100)</f>
        <v/>
      </c>
      <c r="S926" s="7">
        <f>IF($B926="","",Q926-R926)</f>
        <v/>
      </c>
      <c r="T926" s="7">
        <f>IF($B926="","",S926-J926)</f>
        <v/>
      </c>
      <c r="W926">
        <f>IF($B926="","",IF($AI926=1,0,IF($AH926=1,Settings!$C$6,Settings!$C$7))*100)</f>
        <v/>
      </c>
      <c r="AA926" s="7" t="n"/>
      <c r="AD926" s="11" t="n"/>
      <c r="AF926">
        <f>IF($B926="","",IF(COUNTIF($B$2:$B926,$B926)=1,1,0))</f>
        <v/>
      </c>
      <c r="AG926">
        <f>IF($AF926=1,SUMPRODUCT(--($AJ$2:$AJ$1501&lt;$AJ926))+1,"")</f>
        <v/>
      </c>
      <c r="AH926">
        <f>IF($B926="","",IF(OR($M926=TRUE(),$M926="TRUE"),1,0))</f>
        <v/>
      </c>
      <c r="AI926">
        <f>IF($B926="","",IF($V926="Yes",1,0))</f>
        <v/>
      </c>
      <c r="AJ926">
        <f>IF($AF926=1,IFERROR(IF(VALUE($B926)&lt;100000000,VALUE($B926),1000000000),IFERROR(IF(VALUE(MID($B926,2,20))&lt;100000000,VALUE(MID($B926,2,20)),1000000000),1000000000))+ROW()/100000,"")</f>
        <v/>
      </c>
    </row>
    <row r="927">
      <c r="C927" s="11" t="n"/>
      <c r="J927" s="7">
        <f>IF($B927="","",I927*Q927/100)</f>
        <v/>
      </c>
      <c r="P927" s="7" t="n"/>
      <c r="Q927" s="7" t="n"/>
      <c r="R927" s="7">
        <f>IF($B927="","",Q927*W927/100)</f>
        <v/>
      </c>
      <c r="S927" s="7">
        <f>IF($B927="","",Q927-R927)</f>
        <v/>
      </c>
      <c r="T927" s="7">
        <f>IF($B927="","",S927-J927)</f>
        <v/>
      </c>
      <c r="W927">
        <f>IF($B927="","",IF($AI927=1,0,IF($AH927=1,Settings!$C$6,Settings!$C$7))*100)</f>
        <v/>
      </c>
      <c r="AA927" s="7" t="n"/>
      <c r="AD927" s="11" t="n"/>
      <c r="AF927">
        <f>IF($B927="","",IF(COUNTIF($B$2:$B927,$B927)=1,1,0))</f>
        <v/>
      </c>
      <c r="AG927">
        <f>IF($AF927=1,SUMPRODUCT(--($AJ$2:$AJ$1501&lt;$AJ927))+1,"")</f>
        <v/>
      </c>
      <c r="AH927">
        <f>IF($B927="","",IF(OR($M927=TRUE(),$M927="TRUE"),1,0))</f>
        <v/>
      </c>
      <c r="AI927">
        <f>IF($B927="","",IF($V927="Yes",1,0))</f>
        <v/>
      </c>
      <c r="AJ927">
        <f>IF($AF927=1,IFERROR(IF(VALUE($B927)&lt;100000000,VALUE($B927),1000000000),IFERROR(IF(VALUE(MID($B927,2,20))&lt;100000000,VALUE(MID($B927,2,20)),1000000000),1000000000))+ROW()/100000,"")</f>
        <v/>
      </c>
    </row>
    <row r="928">
      <c r="C928" s="11" t="n"/>
      <c r="J928" s="7">
        <f>IF($B928="","",I928*Q928/100)</f>
        <v/>
      </c>
      <c r="P928" s="7" t="n"/>
      <c r="Q928" s="7" t="n"/>
      <c r="R928" s="7">
        <f>IF($B928="","",Q928*W928/100)</f>
        <v/>
      </c>
      <c r="S928" s="7">
        <f>IF($B928="","",Q928-R928)</f>
        <v/>
      </c>
      <c r="T928" s="7">
        <f>IF($B928="","",S928-J928)</f>
        <v/>
      </c>
      <c r="W928">
        <f>IF($B928="","",IF($AI928=1,0,IF($AH928=1,Settings!$C$6,Settings!$C$7))*100)</f>
        <v/>
      </c>
      <c r="AA928" s="7" t="n"/>
      <c r="AD928" s="11" t="n"/>
      <c r="AF928">
        <f>IF($B928="","",IF(COUNTIF($B$2:$B928,$B928)=1,1,0))</f>
        <v/>
      </c>
      <c r="AG928">
        <f>IF($AF928=1,SUMPRODUCT(--($AJ$2:$AJ$1501&lt;$AJ928))+1,"")</f>
        <v/>
      </c>
      <c r="AH928">
        <f>IF($B928="","",IF(OR($M928=TRUE(),$M928="TRUE"),1,0))</f>
        <v/>
      </c>
      <c r="AI928">
        <f>IF($B928="","",IF($V928="Yes",1,0))</f>
        <v/>
      </c>
      <c r="AJ928">
        <f>IF($AF928=1,IFERROR(IF(VALUE($B928)&lt;100000000,VALUE($B928),1000000000),IFERROR(IF(VALUE(MID($B928,2,20))&lt;100000000,VALUE(MID($B928,2,20)),1000000000),1000000000))+ROW()/100000,"")</f>
        <v/>
      </c>
    </row>
    <row r="929">
      <c r="C929" s="11" t="n"/>
      <c r="J929" s="7">
        <f>IF($B929="","",I929*Q929/100)</f>
        <v/>
      </c>
      <c r="P929" s="7" t="n"/>
      <c r="Q929" s="7" t="n"/>
      <c r="R929" s="7">
        <f>IF($B929="","",Q929*W929/100)</f>
        <v/>
      </c>
      <c r="S929" s="7">
        <f>IF($B929="","",Q929-R929)</f>
        <v/>
      </c>
      <c r="T929" s="7">
        <f>IF($B929="","",S929-J929)</f>
        <v/>
      </c>
      <c r="W929">
        <f>IF($B929="","",IF($AI929=1,0,IF($AH929=1,Settings!$C$6,Settings!$C$7))*100)</f>
        <v/>
      </c>
      <c r="AA929" s="7" t="n"/>
      <c r="AD929" s="11" t="n"/>
      <c r="AF929">
        <f>IF($B929="","",IF(COUNTIF($B$2:$B929,$B929)=1,1,0))</f>
        <v/>
      </c>
      <c r="AG929">
        <f>IF($AF929=1,SUMPRODUCT(--($AJ$2:$AJ$1501&lt;$AJ929))+1,"")</f>
        <v/>
      </c>
      <c r="AH929">
        <f>IF($B929="","",IF(OR($M929=TRUE(),$M929="TRUE"),1,0))</f>
        <v/>
      </c>
      <c r="AI929">
        <f>IF($B929="","",IF($V929="Yes",1,0))</f>
        <v/>
      </c>
      <c r="AJ929">
        <f>IF($AF929=1,IFERROR(IF(VALUE($B929)&lt;100000000,VALUE($B929),1000000000),IFERROR(IF(VALUE(MID($B929,2,20))&lt;100000000,VALUE(MID($B929,2,20)),1000000000),1000000000))+ROW()/100000,"")</f>
        <v/>
      </c>
    </row>
    <row r="930">
      <c r="C930" s="11" t="n"/>
      <c r="J930" s="7">
        <f>IF($B930="","",I930*Q930/100)</f>
        <v/>
      </c>
      <c r="P930" s="7" t="n"/>
      <c r="Q930" s="7" t="n"/>
      <c r="R930" s="7">
        <f>IF($B930="","",Q930*W930/100)</f>
        <v/>
      </c>
      <c r="S930" s="7">
        <f>IF($B930="","",Q930-R930)</f>
        <v/>
      </c>
      <c r="T930" s="7">
        <f>IF($B930="","",S930-J930)</f>
        <v/>
      </c>
      <c r="W930">
        <f>IF($B930="","",IF($AI930=1,0,IF($AH930=1,Settings!$C$6,Settings!$C$7))*100)</f>
        <v/>
      </c>
      <c r="AA930" s="7" t="n"/>
      <c r="AD930" s="11" t="n"/>
      <c r="AF930">
        <f>IF($B930="","",IF(COUNTIF($B$2:$B930,$B930)=1,1,0))</f>
        <v/>
      </c>
      <c r="AG930">
        <f>IF($AF930=1,SUMPRODUCT(--($AJ$2:$AJ$1501&lt;$AJ930))+1,"")</f>
        <v/>
      </c>
      <c r="AH930">
        <f>IF($B930="","",IF(OR($M930=TRUE(),$M930="TRUE"),1,0))</f>
        <v/>
      </c>
      <c r="AI930">
        <f>IF($B930="","",IF($V930="Yes",1,0))</f>
        <v/>
      </c>
      <c r="AJ930">
        <f>IF($AF930=1,IFERROR(IF(VALUE($B930)&lt;100000000,VALUE($B930),1000000000),IFERROR(IF(VALUE(MID($B930,2,20))&lt;100000000,VALUE(MID($B930,2,20)),1000000000),1000000000))+ROW()/100000,"")</f>
        <v/>
      </c>
    </row>
    <row r="931">
      <c r="C931" s="11" t="n"/>
      <c r="J931" s="7">
        <f>IF($B931="","",I931*Q931/100)</f>
        <v/>
      </c>
      <c r="P931" s="7" t="n"/>
      <c r="Q931" s="7" t="n"/>
      <c r="R931" s="7">
        <f>IF($B931="","",Q931*W931/100)</f>
        <v/>
      </c>
      <c r="S931" s="7">
        <f>IF($B931="","",Q931-R931)</f>
        <v/>
      </c>
      <c r="T931" s="7">
        <f>IF($B931="","",S931-J931)</f>
        <v/>
      </c>
      <c r="W931">
        <f>IF($B931="","",IF($AI931=1,0,IF($AH931=1,Settings!$C$6,Settings!$C$7))*100)</f>
        <v/>
      </c>
      <c r="AA931" s="7" t="n"/>
      <c r="AD931" s="11" t="n"/>
      <c r="AF931">
        <f>IF($B931="","",IF(COUNTIF($B$2:$B931,$B931)=1,1,0))</f>
        <v/>
      </c>
      <c r="AG931">
        <f>IF($AF931=1,SUMPRODUCT(--($AJ$2:$AJ$1501&lt;$AJ931))+1,"")</f>
        <v/>
      </c>
      <c r="AH931">
        <f>IF($B931="","",IF(OR($M931=TRUE(),$M931="TRUE"),1,0))</f>
        <v/>
      </c>
      <c r="AI931">
        <f>IF($B931="","",IF($V931="Yes",1,0))</f>
        <v/>
      </c>
      <c r="AJ931">
        <f>IF($AF931=1,IFERROR(IF(VALUE($B931)&lt;100000000,VALUE($B931),1000000000),IFERROR(IF(VALUE(MID($B931,2,20))&lt;100000000,VALUE(MID($B931,2,20)),1000000000),1000000000))+ROW()/100000,"")</f>
        <v/>
      </c>
    </row>
    <row r="932">
      <c r="C932" s="11" t="n"/>
      <c r="J932" s="7">
        <f>IF($B932="","",I932*Q932/100)</f>
        <v/>
      </c>
      <c r="P932" s="7" t="n"/>
      <c r="Q932" s="7" t="n"/>
      <c r="R932" s="7">
        <f>IF($B932="","",Q932*W932/100)</f>
        <v/>
      </c>
      <c r="S932" s="7">
        <f>IF($B932="","",Q932-R932)</f>
        <v/>
      </c>
      <c r="T932" s="7">
        <f>IF($B932="","",S932-J932)</f>
        <v/>
      </c>
      <c r="W932">
        <f>IF($B932="","",IF($AI932=1,0,IF($AH932=1,Settings!$C$6,Settings!$C$7))*100)</f>
        <v/>
      </c>
      <c r="AA932" s="7" t="n"/>
      <c r="AD932" s="11" t="n"/>
      <c r="AF932">
        <f>IF($B932="","",IF(COUNTIF($B$2:$B932,$B932)=1,1,0))</f>
        <v/>
      </c>
      <c r="AG932">
        <f>IF($AF932=1,SUMPRODUCT(--($AJ$2:$AJ$1501&lt;$AJ932))+1,"")</f>
        <v/>
      </c>
      <c r="AH932">
        <f>IF($B932="","",IF(OR($M932=TRUE(),$M932="TRUE"),1,0))</f>
        <v/>
      </c>
      <c r="AI932">
        <f>IF($B932="","",IF($V932="Yes",1,0))</f>
        <v/>
      </c>
      <c r="AJ932">
        <f>IF($AF932=1,IFERROR(IF(VALUE($B932)&lt;100000000,VALUE($B932),1000000000),IFERROR(IF(VALUE(MID($B932,2,20))&lt;100000000,VALUE(MID($B932,2,20)),1000000000),1000000000))+ROW()/100000,"")</f>
        <v/>
      </c>
    </row>
    <row r="933">
      <c r="C933" s="11" t="n"/>
      <c r="J933" s="7">
        <f>IF($B933="","",I933*Q933/100)</f>
        <v/>
      </c>
      <c r="P933" s="7" t="n"/>
      <c r="Q933" s="7" t="n"/>
      <c r="R933" s="7">
        <f>IF($B933="","",Q933*W933/100)</f>
        <v/>
      </c>
      <c r="S933" s="7">
        <f>IF($B933="","",Q933-R933)</f>
        <v/>
      </c>
      <c r="T933" s="7">
        <f>IF($B933="","",S933-J933)</f>
        <v/>
      </c>
      <c r="W933">
        <f>IF($B933="","",IF($AI933=1,0,IF($AH933=1,Settings!$C$6,Settings!$C$7))*100)</f>
        <v/>
      </c>
      <c r="AA933" s="7" t="n"/>
      <c r="AD933" s="11" t="n"/>
      <c r="AF933">
        <f>IF($B933="","",IF(COUNTIF($B$2:$B933,$B933)=1,1,0))</f>
        <v/>
      </c>
      <c r="AG933">
        <f>IF($AF933=1,SUMPRODUCT(--($AJ$2:$AJ$1501&lt;$AJ933))+1,"")</f>
        <v/>
      </c>
      <c r="AH933">
        <f>IF($B933="","",IF(OR($M933=TRUE(),$M933="TRUE"),1,0))</f>
        <v/>
      </c>
      <c r="AI933">
        <f>IF($B933="","",IF($V933="Yes",1,0))</f>
        <v/>
      </c>
      <c r="AJ933">
        <f>IF($AF933=1,IFERROR(IF(VALUE($B933)&lt;100000000,VALUE($B933),1000000000),IFERROR(IF(VALUE(MID($B933,2,20))&lt;100000000,VALUE(MID($B933,2,20)),1000000000),1000000000))+ROW()/100000,"")</f>
        <v/>
      </c>
    </row>
    <row r="934">
      <c r="C934" s="11" t="n"/>
      <c r="J934" s="7">
        <f>IF($B934="","",I934*Q934/100)</f>
        <v/>
      </c>
      <c r="P934" s="7" t="n"/>
      <c r="Q934" s="7" t="n"/>
      <c r="R934" s="7">
        <f>IF($B934="","",Q934*W934/100)</f>
        <v/>
      </c>
      <c r="S934" s="7">
        <f>IF($B934="","",Q934-R934)</f>
        <v/>
      </c>
      <c r="T934" s="7">
        <f>IF($B934="","",S934-J934)</f>
        <v/>
      </c>
      <c r="W934">
        <f>IF($B934="","",IF($AI934=1,0,IF($AH934=1,Settings!$C$6,Settings!$C$7))*100)</f>
        <v/>
      </c>
      <c r="AA934" s="7" t="n"/>
      <c r="AD934" s="11" t="n"/>
      <c r="AF934">
        <f>IF($B934="","",IF(COUNTIF($B$2:$B934,$B934)=1,1,0))</f>
        <v/>
      </c>
      <c r="AG934">
        <f>IF($AF934=1,SUMPRODUCT(--($AJ$2:$AJ$1501&lt;$AJ934))+1,"")</f>
        <v/>
      </c>
      <c r="AH934">
        <f>IF($B934="","",IF(OR($M934=TRUE(),$M934="TRUE"),1,0))</f>
        <v/>
      </c>
      <c r="AI934">
        <f>IF($B934="","",IF($V934="Yes",1,0))</f>
        <v/>
      </c>
      <c r="AJ934">
        <f>IF($AF934=1,IFERROR(IF(VALUE($B934)&lt;100000000,VALUE($B934),1000000000),IFERROR(IF(VALUE(MID($B934,2,20))&lt;100000000,VALUE(MID($B934,2,20)),1000000000),1000000000))+ROW()/100000,"")</f>
        <v/>
      </c>
    </row>
    <row r="935">
      <c r="C935" s="11" t="n"/>
      <c r="J935" s="7">
        <f>IF($B935="","",I935*Q935/100)</f>
        <v/>
      </c>
      <c r="P935" s="7" t="n"/>
      <c r="Q935" s="7" t="n"/>
      <c r="R935" s="7">
        <f>IF($B935="","",Q935*W935/100)</f>
        <v/>
      </c>
      <c r="S935" s="7">
        <f>IF($B935="","",Q935-R935)</f>
        <v/>
      </c>
      <c r="T935" s="7">
        <f>IF($B935="","",S935-J935)</f>
        <v/>
      </c>
      <c r="W935">
        <f>IF($B935="","",IF($AI935=1,0,IF($AH935=1,Settings!$C$6,Settings!$C$7))*100)</f>
        <v/>
      </c>
      <c r="AA935" s="7" t="n"/>
      <c r="AD935" s="11" t="n"/>
      <c r="AF935">
        <f>IF($B935="","",IF(COUNTIF($B$2:$B935,$B935)=1,1,0))</f>
        <v/>
      </c>
      <c r="AG935">
        <f>IF($AF935=1,SUMPRODUCT(--($AJ$2:$AJ$1501&lt;$AJ935))+1,"")</f>
        <v/>
      </c>
      <c r="AH935">
        <f>IF($B935="","",IF(OR($M935=TRUE(),$M935="TRUE"),1,0))</f>
        <v/>
      </c>
      <c r="AI935">
        <f>IF($B935="","",IF($V935="Yes",1,0))</f>
        <v/>
      </c>
      <c r="AJ935">
        <f>IF($AF935=1,IFERROR(IF(VALUE($B935)&lt;100000000,VALUE($B935),1000000000),IFERROR(IF(VALUE(MID($B935,2,20))&lt;100000000,VALUE(MID($B935,2,20)),1000000000),1000000000))+ROW()/100000,"")</f>
        <v/>
      </c>
    </row>
    <row r="936">
      <c r="C936" s="11" t="n"/>
      <c r="J936" s="7">
        <f>IF($B936="","",I936*Q936/100)</f>
        <v/>
      </c>
      <c r="P936" s="7" t="n"/>
      <c r="Q936" s="7" t="n"/>
      <c r="R936" s="7">
        <f>IF($B936="","",Q936*W936/100)</f>
        <v/>
      </c>
      <c r="S936" s="7">
        <f>IF($B936="","",Q936-R936)</f>
        <v/>
      </c>
      <c r="T936" s="7">
        <f>IF($B936="","",S936-J936)</f>
        <v/>
      </c>
      <c r="W936">
        <f>IF($B936="","",IF($AI936=1,0,IF($AH936=1,Settings!$C$6,Settings!$C$7))*100)</f>
        <v/>
      </c>
      <c r="AA936" s="7" t="n"/>
      <c r="AD936" s="11" t="n"/>
      <c r="AF936">
        <f>IF($B936="","",IF(COUNTIF($B$2:$B936,$B936)=1,1,0))</f>
        <v/>
      </c>
      <c r="AG936">
        <f>IF($AF936=1,SUMPRODUCT(--($AJ$2:$AJ$1501&lt;$AJ936))+1,"")</f>
        <v/>
      </c>
      <c r="AH936">
        <f>IF($B936="","",IF(OR($M936=TRUE(),$M936="TRUE"),1,0))</f>
        <v/>
      </c>
      <c r="AI936">
        <f>IF($B936="","",IF($V936="Yes",1,0))</f>
        <v/>
      </c>
      <c r="AJ936">
        <f>IF($AF936=1,IFERROR(IF(VALUE($B936)&lt;100000000,VALUE($B936),1000000000),IFERROR(IF(VALUE(MID($B936,2,20))&lt;100000000,VALUE(MID($B936,2,20)),1000000000),1000000000))+ROW()/100000,"")</f>
        <v/>
      </c>
    </row>
    <row r="937">
      <c r="C937" s="11" t="n"/>
      <c r="J937" s="7">
        <f>IF($B937="","",I937*Q937/100)</f>
        <v/>
      </c>
      <c r="P937" s="7" t="n"/>
      <c r="Q937" s="7" t="n"/>
      <c r="R937" s="7">
        <f>IF($B937="","",Q937*W937/100)</f>
        <v/>
      </c>
      <c r="S937" s="7">
        <f>IF($B937="","",Q937-R937)</f>
        <v/>
      </c>
      <c r="T937" s="7">
        <f>IF($B937="","",S937-J937)</f>
        <v/>
      </c>
      <c r="W937">
        <f>IF($B937="","",IF($AI937=1,0,IF($AH937=1,Settings!$C$6,Settings!$C$7))*100)</f>
        <v/>
      </c>
      <c r="AA937" s="7" t="n"/>
      <c r="AD937" s="11" t="n"/>
      <c r="AF937">
        <f>IF($B937="","",IF(COUNTIF($B$2:$B937,$B937)=1,1,0))</f>
        <v/>
      </c>
      <c r="AG937">
        <f>IF($AF937=1,SUMPRODUCT(--($AJ$2:$AJ$1501&lt;$AJ937))+1,"")</f>
        <v/>
      </c>
      <c r="AH937">
        <f>IF($B937="","",IF(OR($M937=TRUE(),$M937="TRUE"),1,0))</f>
        <v/>
      </c>
      <c r="AI937">
        <f>IF($B937="","",IF($V937="Yes",1,0))</f>
        <v/>
      </c>
      <c r="AJ937">
        <f>IF($AF937=1,IFERROR(IF(VALUE($B937)&lt;100000000,VALUE($B937),1000000000),IFERROR(IF(VALUE(MID($B937,2,20))&lt;100000000,VALUE(MID($B937,2,20)),1000000000),1000000000))+ROW()/100000,"")</f>
        <v/>
      </c>
    </row>
    <row r="938">
      <c r="C938" s="11" t="n"/>
      <c r="J938" s="7">
        <f>IF($B938="","",I938*Q938/100)</f>
        <v/>
      </c>
      <c r="P938" s="7" t="n"/>
      <c r="Q938" s="7" t="n"/>
      <c r="R938" s="7">
        <f>IF($B938="","",Q938*W938/100)</f>
        <v/>
      </c>
      <c r="S938" s="7">
        <f>IF($B938="","",Q938-R938)</f>
        <v/>
      </c>
      <c r="T938" s="7">
        <f>IF($B938="","",S938-J938)</f>
        <v/>
      </c>
      <c r="W938">
        <f>IF($B938="","",IF($AI938=1,0,IF($AH938=1,Settings!$C$6,Settings!$C$7))*100)</f>
        <v/>
      </c>
      <c r="AA938" s="7" t="n"/>
      <c r="AD938" s="11" t="n"/>
      <c r="AF938">
        <f>IF($B938="","",IF(COUNTIF($B$2:$B938,$B938)=1,1,0))</f>
        <v/>
      </c>
      <c r="AG938">
        <f>IF($AF938=1,SUMPRODUCT(--($AJ$2:$AJ$1501&lt;$AJ938))+1,"")</f>
        <v/>
      </c>
      <c r="AH938">
        <f>IF($B938="","",IF(OR($M938=TRUE(),$M938="TRUE"),1,0))</f>
        <v/>
      </c>
      <c r="AI938">
        <f>IF($B938="","",IF($V938="Yes",1,0))</f>
        <v/>
      </c>
      <c r="AJ938">
        <f>IF($AF938=1,IFERROR(IF(VALUE($B938)&lt;100000000,VALUE($B938),1000000000),IFERROR(IF(VALUE(MID($B938,2,20))&lt;100000000,VALUE(MID($B938,2,20)),1000000000),1000000000))+ROW()/100000,"")</f>
        <v/>
      </c>
    </row>
    <row r="939">
      <c r="C939" s="11" t="n"/>
      <c r="J939" s="7">
        <f>IF($B939="","",I939*Q939/100)</f>
        <v/>
      </c>
      <c r="P939" s="7" t="n"/>
      <c r="Q939" s="7" t="n"/>
      <c r="R939" s="7">
        <f>IF($B939="","",Q939*W939/100)</f>
        <v/>
      </c>
      <c r="S939" s="7">
        <f>IF($B939="","",Q939-R939)</f>
        <v/>
      </c>
      <c r="T939" s="7">
        <f>IF($B939="","",S939-J939)</f>
        <v/>
      </c>
      <c r="W939">
        <f>IF($B939="","",IF($AI939=1,0,IF($AH939=1,Settings!$C$6,Settings!$C$7))*100)</f>
        <v/>
      </c>
      <c r="AA939" s="7" t="n"/>
      <c r="AD939" s="11" t="n"/>
      <c r="AF939">
        <f>IF($B939="","",IF(COUNTIF($B$2:$B939,$B939)=1,1,0))</f>
        <v/>
      </c>
      <c r="AG939">
        <f>IF($AF939=1,SUMPRODUCT(--($AJ$2:$AJ$1501&lt;$AJ939))+1,"")</f>
        <v/>
      </c>
      <c r="AH939">
        <f>IF($B939="","",IF(OR($M939=TRUE(),$M939="TRUE"),1,0))</f>
        <v/>
      </c>
      <c r="AI939">
        <f>IF($B939="","",IF($V939="Yes",1,0))</f>
        <v/>
      </c>
      <c r="AJ939">
        <f>IF($AF939=1,IFERROR(IF(VALUE($B939)&lt;100000000,VALUE($B939),1000000000),IFERROR(IF(VALUE(MID($B939,2,20))&lt;100000000,VALUE(MID($B939,2,20)),1000000000),1000000000))+ROW()/100000,"")</f>
        <v/>
      </c>
    </row>
    <row r="940">
      <c r="C940" s="11" t="n"/>
      <c r="J940" s="7">
        <f>IF($B940="","",I940*Q940/100)</f>
        <v/>
      </c>
      <c r="P940" s="7" t="n"/>
      <c r="Q940" s="7" t="n"/>
      <c r="R940" s="7">
        <f>IF($B940="","",Q940*W940/100)</f>
        <v/>
      </c>
      <c r="S940" s="7">
        <f>IF($B940="","",Q940-R940)</f>
        <v/>
      </c>
      <c r="T940" s="7">
        <f>IF($B940="","",S940-J940)</f>
        <v/>
      </c>
      <c r="W940">
        <f>IF($B940="","",IF($AI940=1,0,IF($AH940=1,Settings!$C$6,Settings!$C$7))*100)</f>
        <v/>
      </c>
      <c r="AA940" s="7" t="n"/>
      <c r="AD940" s="11" t="n"/>
      <c r="AF940">
        <f>IF($B940="","",IF(COUNTIF($B$2:$B940,$B940)=1,1,0))</f>
        <v/>
      </c>
      <c r="AG940">
        <f>IF($AF940=1,SUMPRODUCT(--($AJ$2:$AJ$1501&lt;$AJ940))+1,"")</f>
        <v/>
      </c>
      <c r="AH940">
        <f>IF($B940="","",IF(OR($M940=TRUE(),$M940="TRUE"),1,0))</f>
        <v/>
      </c>
      <c r="AI940">
        <f>IF($B940="","",IF($V940="Yes",1,0))</f>
        <v/>
      </c>
      <c r="AJ940">
        <f>IF($AF940=1,IFERROR(IF(VALUE($B940)&lt;100000000,VALUE($B940),1000000000),IFERROR(IF(VALUE(MID($B940,2,20))&lt;100000000,VALUE(MID($B940,2,20)),1000000000),1000000000))+ROW()/100000,"")</f>
        <v/>
      </c>
    </row>
    <row r="941">
      <c r="C941" s="11" t="n"/>
      <c r="J941" s="7">
        <f>IF($B941="","",I941*Q941/100)</f>
        <v/>
      </c>
      <c r="P941" s="7" t="n"/>
      <c r="Q941" s="7" t="n"/>
      <c r="R941" s="7">
        <f>IF($B941="","",Q941*W941/100)</f>
        <v/>
      </c>
      <c r="S941" s="7">
        <f>IF($B941="","",Q941-R941)</f>
        <v/>
      </c>
      <c r="T941" s="7">
        <f>IF($B941="","",S941-J941)</f>
        <v/>
      </c>
      <c r="W941">
        <f>IF($B941="","",IF($AI941=1,0,IF($AH941=1,Settings!$C$6,Settings!$C$7))*100)</f>
        <v/>
      </c>
      <c r="AA941" s="7" t="n"/>
      <c r="AD941" s="11" t="n"/>
      <c r="AF941">
        <f>IF($B941="","",IF(COUNTIF($B$2:$B941,$B941)=1,1,0))</f>
        <v/>
      </c>
      <c r="AG941">
        <f>IF($AF941=1,SUMPRODUCT(--($AJ$2:$AJ$1501&lt;$AJ941))+1,"")</f>
        <v/>
      </c>
      <c r="AH941">
        <f>IF($B941="","",IF(OR($M941=TRUE(),$M941="TRUE"),1,0))</f>
        <v/>
      </c>
      <c r="AI941">
        <f>IF($B941="","",IF($V941="Yes",1,0))</f>
        <v/>
      </c>
      <c r="AJ941">
        <f>IF($AF941=1,IFERROR(IF(VALUE($B941)&lt;100000000,VALUE($B941),1000000000),IFERROR(IF(VALUE(MID($B941,2,20))&lt;100000000,VALUE(MID($B941,2,20)),1000000000),1000000000))+ROW()/100000,"")</f>
        <v/>
      </c>
    </row>
    <row r="942">
      <c r="C942" s="11" t="n"/>
      <c r="J942" s="7">
        <f>IF($B942="","",I942*Q942/100)</f>
        <v/>
      </c>
      <c r="P942" s="7" t="n"/>
      <c r="Q942" s="7" t="n"/>
      <c r="R942" s="7">
        <f>IF($B942="","",Q942*W942/100)</f>
        <v/>
      </c>
      <c r="S942" s="7">
        <f>IF($B942="","",Q942-R942)</f>
        <v/>
      </c>
      <c r="T942" s="7">
        <f>IF($B942="","",S942-J942)</f>
        <v/>
      </c>
      <c r="W942">
        <f>IF($B942="","",IF($AI942=1,0,IF($AH942=1,Settings!$C$6,Settings!$C$7))*100)</f>
        <v/>
      </c>
      <c r="AA942" s="7" t="n"/>
      <c r="AD942" s="11" t="n"/>
      <c r="AF942">
        <f>IF($B942="","",IF(COUNTIF($B$2:$B942,$B942)=1,1,0))</f>
        <v/>
      </c>
      <c r="AG942">
        <f>IF($AF942=1,SUMPRODUCT(--($AJ$2:$AJ$1501&lt;$AJ942))+1,"")</f>
        <v/>
      </c>
      <c r="AH942">
        <f>IF($B942="","",IF(OR($M942=TRUE(),$M942="TRUE"),1,0))</f>
        <v/>
      </c>
      <c r="AI942">
        <f>IF($B942="","",IF($V942="Yes",1,0))</f>
        <v/>
      </c>
      <c r="AJ942">
        <f>IF($AF942=1,IFERROR(IF(VALUE($B942)&lt;100000000,VALUE($B942),1000000000),IFERROR(IF(VALUE(MID($B942,2,20))&lt;100000000,VALUE(MID($B942,2,20)),1000000000),1000000000))+ROW()/100000,"")</f>
        <v/>
      </c>
    </row>
    <row r="943">
      <c r="C943" s="11" t="n"/>
      <c r="J943" s="7">
        <f>IF($B943="","",I943*Q943/100)</f>
        <v/>
      </c>
      <c r="P943" s="7" t="n"/>
      <c r="Q943" s="7" t="n"/>
      <c r="R943" s="7">
        <f>IF($B943="","",Q943*W943/100)</f>
        <v/>
      </c>
      <c r="S943" s="7">
        <f>IF($B943="","",Q943-R943)</f>
        <v/>
      </c>
      <c r="T943" s="7">
        <f>IF($B943="","",S943-J943)</f>
        <v/>
      </c>
      <c r="W943">
        <f>IF($B943="","",IF($AI943=1,0,IF($AH943=1,Settings!$C$6,Settings!$C$7))*100)</f>
        <v/>
      </c>
      <c r="AA943" s="7" t="n"/>
      <c r="AD943" s="11" t="n"/>
      <c r="AF943">
        <f>IF($B943="","",IF(COUNTIF($B$2:$B943,$B943)=1,1,0))</f>
        <v/>
      </c>
      <c r="AG943">
        <f>IF($AF943=1,SUMPRODUCT(--($AJ$2:$AJ$1501&lt;$AJ943))+1,"")</f>
        <v/>
      </c>
      <c r="AH943">
        <f>IF($B943="","",IF(OR($M943=TRUE(),$M943="TRUE"),1,0))</f>
        <v/>
      </c>
      <c r="AI943">
        <f>IF($B943="","",IF($V943="Yes",1,0))</f>
        <v/>
      </c>
      <c r="AJ943">
        <f>IF($AF943=1,IFERROR(IF(VALUE($B943)&lt;100000000,VALUE($B943),1000000000),IFERROR(IF(VALUE(MID($B943,2,20))&lt;100000000,VALUE(MID($B943,2,20)),1000000000),1000000000))+ROW()/100000,"")</f>
        <v/>
      </c>
    </row>
    <row r="944">
      <c r="C944" s="11" t="n"/>
      <c r="J944" s="7">
        <f>IF($B944="","",I944*Q944/100)</f>
        <v/>
      </c>
      <c r="P944" s="7" t="n"/>
      <c r="Q944" s="7" t="n"/>
      <c r="R944" s="7">
        <f>IF($B944="","",Q944*W944/100)</f>
        <v/>
      </c>
      <c r="S944" s="7">
        <f>IF($B944="","",Q944-R944)</f>
        <v/>
      </c>
      <c r="T944" s="7">
        <f>IF($B944="","",S944-J944)</f>
        <v/>
      </c>
      <c r="W944">
        <f>IF($B944="","",IF($AI944=1,0,IF($AH944=1,Settings!$C$6,Settings!$C$7))*100)</f>
        <v/>
      </c>
      <c r="AA944" s="7" t="n"/>
      <c r="AD944" s="11" t="n"/>
      <c r="AF944">
        <f>IF($B944="","",IF(COUNTIF($B$2:$B944,$B944)=1,1,0))</f>
        <v/>
      </c>
      <c r="AG944">
        <f>IF($AF944=1,SUMPRODUCT(--($AJ$2:$AJ$1501&lt;$AJ944))+1,"")</f>
        <v/>
      </c>
      <c r="AH944">
        <f>IF($B944="","",IF(OR($M944=TRUE(),$M944="TRUE"),1,0))</f>
        <v/>
      </c>
      <c r="AI944">
        <f>IF($B944="","",IF($V944="Yes",1,0))</f>
        <v/>
      </c>
      <c r="AJ944">
        <f>IF($AF944=1,IFERROR(IF(VALUE($B944)&lt;100000000,VALUE($B944),1000000000),IFERROR(IF(VALUE(MID($B944,2,20))&lt;100000000,VALUE(MID($B944,2,20)),1000000000),1000000000))+ROW()/100000,"")</f>
        <v/>
      </c>
    </row>
    <row r="945">
      <c r="C945" s="11" t="n"/>
      <c r="J945" s="7">
        <f>IF($B945="","",I945*Q945/100)</f>
        <v/>
      </c>
      <c r="P945" s="7" t="n"/>
      <c r="Q945" s="7" t="n"/>
      <c r="R945" s="7">
        <f>IF($B945="","",Q945*W945/100)</f>
        <v/>
      </c>
      <c r="S945" s="7">
        <f>IF($B945="","",Q945-R945)</f>
        <v/>
      </c>
      <c r="T945" s="7">
        <f>IF($B945="","",S945-J945)</f>
        <v/>
      </c>
      <c r="W945">
        <f>IF($B945="","",IF($AI945=1,0,IF($AH945=1,Settings!$C$6,Settings!$C$7))*100)</f>
        <v/>
      </c>
      <c r="AA945" s="7" t="n"/>
      <c r="AD945" s="11" t="n"/>
      <c r="AF945">
        <f>IF($B945="","",IF(COUNTIF($B$2:$B945,$B945)=1,1,0))</f>
        <v/>
      </c>
      <c r="AG945">
        <f>IF($AF945=1,SUMPRODUCT(--($AJ$2:$AJ$1501&lt;$AJ945))+1,"")</f>
        <v/>
      </c>
      <c r="AH945">
        <f>IF($B945="","",IF(OR($M945=TRUE(),$M945="TRUE"),1,0))</f>
        <v/>
      </c>
      <c r="AI945">
        <f>IF($B945="","",IF($V945="Yes",1,0))</f>
        <v/>
      </c>
      <c r="AJ945">
        <f>IF($AF945=1,IFERROR(IF(VALUE($B945)&lt;100000000,VALUE($B945),1000000000),IFERROR(IF(VALUE(MID($B945,2,20))&lt;100000000,VALUE(MID($B945,2,20)),1000000000),1000000000))+ROW()/100000,"")</f>
        <v/>
      </c>
    </row>
    <row r="946">
      <c r="C946" s="11" t="n"/>
      <c r="J946" s="7">
        <f>IF($B946="","",I946*Q946/100)</f>
        <v/>
      </c>
      <c r="P946" s="7" t="n"/>
      <c r="Q946" s="7" t="n"/>
      <c r="R946" s="7">
        <f>IF($B946="","",Q946*W946/100)</f>
        <v/>
      </c>
      <c r="S946" s="7">
        <f>IF($B946="","",Q946-R946)</f>
        <v/>
      </c>
      <c r="T946" s="7">
        <f>IF($B946="","",S946-J946)</f>
        <v/>
      </c>
      <c r="W946">
        <f>IF($B946="","",IF($AI946=1,0,IF($AH946=1,Settings!$C$6,Settings!$C$7))*100)</f>
        <v/>
      </c>
      <c r="AA946" s="7" t="n"/>
      <c r="AD946" s="11" t="n"/>
      <c r="AF946">
        <f>IF($B946="","",IF(COUNTIF($B$2:$B946,$B946)=1,1,0))</f>
        <v/>
      </c>
      <c r="AG946">
        <f>IF($AF946=1,SUMPRODUCT(--($AJ$2:$AJ$1501&lt;$AJ946))+1,"")</f>
        <v/>
      </c>
      <c r="AH946">
        <f>IF($B946="","",IF(OR($M946=TRUE(),$M946="TRUE"),1,0))</f>
        <v/>
      </c>
      <c r="AI946">
        <f>IF($B946="","",IF($V946="Yes",1,0))</f>
        <v/>
      </c>
      <c r="AJ946">
        <f>IF($AF946=1,IFERROR(IF(VALUE($B946)&lt;100000000,VALUE($B946),1000000000),IFERROR(IF(VALUE(MID($B946,2,20))&lt;100000000,VALUE(MID($B946,2,20)),1000000000),1000000000))+ROW()/100000,"")</f>
        <v/>
      </c>
    </row>
    <row r="947">
      <c r="C947" s="11" t="n"/>
      <c r="J947" s="7">
        <f>IF($B947="","",I947*Q947/100)</f>
        <v/>
      </c>
      <c r="P947" s="7" t="n"/>
      <c r="Q947" s="7" t="n"/>
      <c r="R947" s="7">
        <f>IF($B947="","",Q947*W947/100)</f>
        <v/>
      </c>
      <c r="S947" s="7">
        <f>IF($B947="","",Q947-R947)</f>
        <v/>
      </c>
      <c r="T947" s="7">
        <f>IF($B947="","",S947-J947)</f>
        <v/>
      </c>
      <c r="W947">
        <f>IF($B947="","",IF($AI947=1,0,IF($AH947=1,Settings!$C$6,Settings!$C$7))*100)</f>
        <v/>
      </c>
      <c r="AA947" s="7" t="n"/>
      <c r="AD947" s="11" t="n"/>
      <c r="AF947">
        <f>IF($B947="","",IF(COUNTIF($B$2:$B947,$B947)=1,1,0))</f>
        <v/>
      </c>
      <c r="AG947">
        <f>IF($AF947=1,SUMPRODUCT(--($AJ$2:$AJ$1501&lt;$AJ947))+1,"")</f>
        <v/>
      </c>
      <c r="AH947">
        <f>IF($B947="","",IF(OR($M947=TRUE(),$M947="TRUE"),1,0))</f>
        <v/>
      </c>
      <c r="AI947">
        <f>IF($B947="","",IF($V947="Yes",1,0))</f>
        <v/>
      </c>
      <c r="AJ947">
        <f>IF($AF947=1,IFERROR(IF(VALUE($B947)&lt;100000000,VALUE($B947),1000000000),IFERROR(IF(VALUE(MID($B947,2,20))&lt;100000000,VALUE(MID($B947,2,20)),1000000000),1000000000))+ROW()/100000,"")</f>
        <v/>
      </c>
    </row>
    <row r="948">
      <c r="C948" s="11" t="n"/>
      <c r="J948" s="7">
        <f>IF($B948="","",I948*Q948/100)</f>
        <v/>
      </c>
      <c r="P948" s="7" t="n"/>
      <c r="Q948" s="7" t="n"/>
      <c r="R948" s="7">
        <f>IF($B948="","",Q948*W948/100)</f>
        <v/>
      </c>
      <c r="S948" s="7">
        <f>IF($B948="","",Q948-R948)</f>
        <v/>
      </c>
      <c r="T948" s="7">
        <f>IF($B948="","",S948-J948)</f>
        <v/>
      </c>
      <c r="W948">
        <f>IF($B948="","",IF($AI948=1,0,IF($AH948=1,Settings!$C$6,Settings!$C$7))*100)</f>
        <v/>
      </c>
      <c r="AA948" s="7" t="n"/>
      <c r="AD948" s="11" t="n"/>
      <c r="AF948">
        <f>IF($B948="","",IF(COUNTIF($B$2:$B948,$B948)=1,1,0))</f>
        <v/>
      </c>
      <c r="AG948">
        <f>IF($AF948=1,SUMPRODUCT(--($AJ$2:$AJ$1501&lt;$AJ948))+1,"")</f>
        <v/>
      </c>
      <c r="AH948">
        <f>IF($B948="","",IF(OR($M948=TRUE(),$M948="TRUE"),1,0))</f>
        <v/>
      </c>
      <c r="AI948">
        <f>IF($B948="","",IF($V948="Yes",1,0))</f>
        <v/>
      </c>
      <c r="AJ948">
        <f>IF($AF948=1,IFERROR(IF(VALUE($B948)&lt;100000000,VALUE($B948),1000000000),IFERROR(IF(VALUE(MID($B948,2,20))&lt;100000000,VALUE(MID($B948,2,20)),1000000000),1000000000))+ROW()/100000,"")</f>
        <v/>
      </c>
    </row>
    <row r="949">
      <c r="C949" s="11" t="n"/>
      <c r="J949" s="7">
        <f>IF($B949="","",I949*Q949/100)</f>
        <v/>
      </c>
      <c r="P949" s="7" t="n"/>
      <c r="Q949" s="7" t="n"/>
      <c r="R949" s="7">
        <f>IF($B949="","",Q949*W949/100)</f>
        <v/>
      </c>
      <c r="S949" s="7">
        <f>IF($B949="","",Q949-R949)</f>
        <v/>
      </c>
      <c r="T949" s="7">
        <f>IF($B949="","",S949-J949)</f>
        <v/>
      </c>
      <c r="W949">
        <f>IF($B949="","",IF($AI949=1,0,IF($AH949=1,Settings!$C$6,Settings!$C$7))*100)</f>
        <v/>
      </c>
      <c r="AA949" s="7" t="n"/>
      <c r="AD949" s="11" t="n"/>
      <c r="AF949">
        <f>IF($B949="","",IF(COUNTIF($B$2:$B949,$B949)=1,1,0))</f>
        <v/>
      </c>
      <c r="AG949">
        <f>IF($AF949=1,SUMPRODUCT(--($AJ$2:$AJ$1501&lt;$AJ949))+1,"")</f>
        <v/>
      </c>
      <c r="AH949">
        <f>IF($B949="","",IF(OR($M949=TRUE(),$M949="TRUE"),1,0))</f>
        <v/>
      </c>
      <c r="AI949">
        <f>IF($B949="","",IF($V949="Yes",1,0))</f>
        <v/>
      </c>
      <c r="AJ949">
        <f>IF($AF949=1,IFERROR(IF(VALUE($B949)&lt;100000000,VALUE($B949),1000000000),IFERROR(IF(VALUE(MID($B949,2,20))&lt;100000000,VALUE(MID($B949,2,20)),1000000000),1000000000))+ROW()/100000,"")</f>
        <v/>
      </c>
    </row>
    <row r="950">
      <c r="C950" s="11" t="n"/>
      <c r="J950" s="7">
        <f>IF($B950="","",I950*Q950/100)</f>
        <v/>
      </c>
      <c r="P950" s="7" t="n"/>
      <c r="Q950" s="7" t="n"/>
      <c r="R950" s="7">
        <f>IF($B950="","",Q950*W950/100)</f>
        <v/>
      </c>
      <c r="S950" s="7">
        <f>IF($B950="","",Q950-R950)</f>
        <v/>
      </c>
      <c r="T950" s="7">
        <f>IF($B950="","",S950-J950)</f>
        <v/>
      </c>
      <c r="W950">
        <f>IF($B950="","",IF($AI950=1,0,IF($AH950=1,Settings!$C$6,Settings!$C$7))*100)</f>
        <v/>
      </c>
      <c r="AA950" s="7" t="n"/>
      <c r="AD950" s="11" t="n"/>
      <c r="AF950">
        <f>IF($B950="","",IF(COUNTIF($B$2:$B950,$B950)=1,1,0))</f>
        <v/>
      </c>
      <c r="AG950">
        <f>IF($AF950=1,SUMPRODUCT(--($AJ$2:$AJ$1501&lt;$AJ950))+1,"")</f>
        <v/>
      </c>
      <c r="AH950">
        <f>IF($B950="","",IF(OR($M950=TRUE(),$M950="TRUE"),1,0))</f>
        <v/>
      </c>
      <c r="AI950">
        <f>IF($B950="","",IF($V950="Yes",1,0))</f>
        <v/>
      </c>
      <c r="AJ950">
        <f>IF($AF950=1,IFERROR(IF(VALUE($B950)&lt;100000000,VALUE($B950),1000000000),IFERROR(IF(VALUE(MID($B950,2,20))&lt;100000000,VALUE(MID($B950,2,20)),1000000000),1000000000))+ROW()/100000,"")</f>
        <v/>
      </c>
    </row>
    <row r="951">
      <c r="C951" s="11" t="n"/>
      <c r="J951" s="7">
        <f>IF($B951="","",I951*Q951/100)</f>
        <v/>
      </c>
      <c r="P951" s="7" t="n"/>
      <c r="Q951" s="7" t="n"/>
      <c r="R951" s="7">
        <f>IF($B951="","",Q951*W951/100)</f>
        <v/>
      </c>
      <c r="S951" s="7">
        <f>IF($B951="","",Q951-R951)</f>
        <v/>
      </c>
      <c r="T951" s="7">
        <f>IF($B951="","",S951-J951)</f>
        <v/>
      </c>
      <c r="W951">
        <f>IF($B951="","",IF($AI951=1,0,IF($AH951=1,Settings!$C$6,Settings!$C$7))*100)</f>
        <v/>
      </c>
      <c r="AA951" s="7" t="n"/>
      <c r="AD951" s="11" t="n"/>
      <c r="AF951">
        <f>IF($B951="","",IF(COUNTIF($B$2:$B951,$B951)=1,1,0))</f>
        <v/>
      </c>
      <c r="AG951">
        <f>IF($AF951=1,SUMPRODUCT(--($AJ$2:$AJ$1501&lt;$AJ951))+1,"")</f>
        <v/>
      </c>
      <c r="AH951">
        <f>IF($B951="","",IF(OR($M951=TRUE(),$M951="TRUE"),1,0))</f>
        <v/>
      </c>
      <c r="AI951">
        <f>IF($B951="","",IF($V951="Yes",1,0))</f>
        <v/>
      </c>
      <c r="AJ951">
        <f>IF($AF951=1,IFERROR(IF(VALUE($B951)&lt;100000000,VALUE($B951),1000000000),IFERROR(IF(VALUE(MID($B951,2,20))&lt;100000000,VALUE(MID($B951,2,20)),1000000000),1000000000))+ROW()/100000,"")</f>
        <v/>
      </c>
    </row>
    <row r="952">
      <c r="C952" s="11" t="n"/>
      <c r="J952" s="7">
        <f>IF($B952="","",I952*Q952/100)</f>
        <v/>
      </c>
      <c r="P952" s="7" t="n"/>
      <c r="Q952" s="7" t="n"/>
      <c r="R952" s="7">
        <f>IF($B952="","",Q952*W952/100)</f>
        <v/>
      </c>
      <c r="S952" s="7">
        <f>IF($B952="","",Q952-R952)</f>
        <v/>
      </c>
      <c r="T952" s="7">
        <f>IF($B952="","",S952-J952)</f>
        <v/>
      </c>
      <c r="W952">
        <f>IF($B952="","",IF($AI952=1,0,IF($AH952=1,Settings!$C$6,Settings!$C$7))*100)</f>
        <v/>
      </c>
      <c r="AA952" s="7" t="n"/>
      <c r="AD952" s="11" t="n"/>
      <c r="AF952">
        <f>IF($B952="","",IF(COUNTIF($B$2:$B952,$B952)=1,1,0))</f>
        <v/>
      </c>
      <c r="AG952">
        <f>IF($AF952=1,SUMPRODUCT(--($AJ$2:$AJ$1501&lt;$AJ952))+1,"")</f>
        <v/>
      </c>
      <c r="AH952">
        <f>IF($B952="","",IF(OR($M952=TRUE(),$M952="TRUE"),1,0))</f>
        <v/>
      </c>
      <c r="AI952">
        <f>IF($B952="","",IF($V952="Yes",1,0))</f>
        <v/>
      </c>
      <c r="AJ952">
        <f>IF($AF952=1,IFERROR(IF(VALUE($B952)&lt;100000000,VALUE($B952),1000000000),IFERROR(IF(VALUE(MID($B952,2,20))&lt;100000000,VALUE(MID($B952,2,20)),1000000000),1000000000))+ROW()/100000,"")</f>
        <v/>
      </c>
    </row>
    <row r="953">
      <c r="C953" s="11" t="n"/>
      <c r="J953" s="7">
        <f>IF($B953="","",I953*Q953/100)</f>
        <v/>
      </c>
      <c r="P953" s="7" t="n"/>
      <c r="Q953" s="7" t="n"/>
      <c r="R953" s="7">
        <f>IF($B953="","",Q953*W953/100)</f>
        <v/>
      </c>
      <c r="S953" s="7">
        <f>IF($B953="","",Q953-R953)</f>
        <v/>
      </c>
      <c r="T953" s="7">
        <f>IF($B953="","",S953-J953)</f>
        <v/>
      </c>
      <c r="W953">
        <f>IF($B953="","",IF($AI953=1,0,IF($AH953=1,Settings!$C$6,Settings!$C$7))*100)</f>
        <v/>
      </c>
      <c r="AA953" s="7" t="n"/>
      <c r="AD953" s="11" t="n"/>
      <c r="AF953">
        <f>IF($B953="","",IF(COUNTIF($B$2:$B953,$B953)=1,1,0))</f>
        <v/>
      </c>
      <c r="AG953">
        <f>IF($AF953=1,SUMPRODUCT(--($AJ$2:$AJ$1501&lt;$AJ953))+1,"")</f>
        <v/>
      </c>
      <c r="AH953">
        <f>IF($B953="","",IF(OR($M953=TRUE(),$M953="TRUE"),1,0))</f>
        <v/>
      </c>
      <c r="AI953">
        <f>IF($B953="","",IF($V953="Yes",1,0))</f>
        <v/>
      </c>
      <c r="AJ953">
        <f>IF($AF953=1,IFERROR(IF(VALUE($B953)&lt;100000000,VALUE($B953),1000000000),IFERROR(IF(VALUE(MID($B953,2,20))&lt;100000000,VALUE(MID($B953,2,20)),1000000000),1000000000))+ROW()/100000,"")</f>
        <v/>
      </c>
    </row>
    <row r="954">
      <c r="C954" s="11" t="n"/>
      <c r="J954" s="7">
        <f>IF($B954="","",I954*Q954/100)</f>
        <v/>
      </c>
      <c r="P954" s="7" t="n"/>
      <c r="Q954" s="7" t="n"/>
      <c r="R954" s="7">
        <f>IF($B954="","",Q954*W954/100)</f>
        <v/>
      </c>
      <c r="S954" s="7">
        <f>IF($B954="","",Q954-R954)</f>
        <v/>
      </c>
      <c r="T954" s="7">
        <f>IF($B954="","",S954-J954)</f>
        <v/>
      </c>
      <c r="W954">
        <f>IF($B954="","",IF($AI954=1,0,IF($AH954=1,Settings!$C$6,Settings!$C$7))*100)</f>
        <v/>
      </c>
      <c r="AA954" s="7" t="n"/>
      <c r="AD954" s="11" t="n"/>
      <c r="AF954">
        <f>IF($B954="","",IF(COUNTIF($B$2:$B954,$B954)=1,1,0))</f>
        <v/>
      </c>
      <c r="AG954">
        <f>IF($AF954=1,SUMPRODUCT(--($AJ$2:$AJ$1501&lt;$AJ954))+1,"")</f>
        <v/>
      </c>
      <c r="AH954">
        <f>IF($B954="","",IF(OR($M954=TRUE(),$M954="TRUE"),1,0))</f>
        <v/>
      </c>
      <c r="AI954">
        <f>IF($B954="","",IF($V954="Yes",1,0))</f>
        <v/>
      </c>
      <c r="AJ954">
        <f>IF($AF954=1,IFERROR(IF(VALUE($B954)&lt;100000000,VALUE($B954),1000000000),IFERROR(IF(VALUE(MID($B954,2,20))&lt;100000000,VALUE(MID($B954,2,20)),1000000000),1000000000))+ROW()/100000,"")</f>
        <v/>
      </c>
    </row>
    <row r="955">
      <c r="C955" s="11" t="n"/>
      <c r="J955" s="7">
        <f>IF($B955="","",I955*Q955/100)</f>
        <v/>
      </c>
      <c r="P955" s="7" t="n"/>
      <c r="Q955" s="7" t="n"/>
      <c r="R955" s="7">
        <f>IF($B955="","",Q955*W955/100)</f>
        <v/>
      </c>
      <c r="S955" s="7">
        <f>IF($B955="","",Q955-R955)</f>
        <v/>
      </c>
      <c r="T955" s="7">
        <f>IF($B955="","",S955-J955)</f>
        <v/>
      </c>
      <c r="W955">
        <f>IF($B955="","",IF($AI955=1,0,IF($AH955=1,Settings!$C$6,Settings!$C$7))*100)</f>
        <v/>
      </c>
      <c r="AA955" s="7" t="n"/>
      <c r="AD955" s="11" t="n"/>
      <c r="AF955">
        <f>IF($B955="","",IF(COUNTIF($B$2:$B955,$B955)=1,1,0))</f>
        <v/>
      </c>
      <c r="AG955">
        <f>IF($AF955=1,SUMPRODUCT(--($AJ$2:$AJ$1501&lt;$AJ955))+1,"")</f>
        <v/>
      </c>
      <c r="AH955">
        <f>IF($B955="","",IF(OR($M955=TRUE(),$M955="TRUE"),1,0))</f>
        <v/>
      </c>
      <c r="AI955">
        <f>IF($B955="","",IF($V955="Yes",1,0))</f>
        <v/>
      </c>
      <c r="AJ955">
        <f>IF($AF955=1,IFERROR(IF(VALUE($B955)&lt;100000000,VALUE($B955),1000000000),IFERROR(IF(VALUE(MID($B955,2,20))&lt;100000000,VALUE(MID($B955,2,20)),1000000000),1000000000))+ROW()/100000,"")</f>
        <v/>
      </c>
    </row>
    <row r="956">
      <c r="C956" s="11" t="n"/>
      <c r="J956" s="7">
        <f>IF($B956="","",I956*Q956/100)</f>
        <v/>
      </c>
      <c r="P956" s="7" t="n"/>
      <c r="Q956" s="7" t="n"/>
      <c r="R956" s="7">
        <f>IF($B956="","",Q956*W956/100)</f>
        <v/>
      </c>
      <c r="S956" s="7">
        <f>IF($B956="","",Q956-R956)</f>
        <v/>
      </c>
      <c r="T956" s="7">
        <f>IF($B956="","",S956-J956)</f>
        <v/>
      </c>
      <c r="W956">
        <f>IF($B956="","",IF($AI956=1,0,IF($AH956=1,Settings!$C$6,Settings!$C$7))*100)</f>
        <v/>
      </c>
      <c r="AA956" s="7" t="n"/>
      <c r="AD956" s="11" t="n"/>
      <c r="AF956">
        <f>IF($B956="","",IF(COUNTIF($B$2:$B956,$B956)=1,1,0))</f>
        <v/>
      </c>
      <c r="AG956">
        <f>IF($AF956=1,SUMPRODUCT(--($AJ$2:$AJ$1501&lt;$AJ956))+1,"")</f>
        <v/>
      </c>
      <c r="AH956">
        <f>IF($B956="","",IF(OR($M956=TRUE(),$M956="TRUE"),1,0))</f>
        <v/>
      </c>
      <c r="AI956">
        <f>IF($B956="","",IF($V956="Yes",1,0))</f>
        <v/>
      </c>
      <c r="AJ956">
        <f>IF($AF956=1,IFERROR(IF(VALUE($B956)&lt;100000000,VALUE($B956),1000000000),IFERROR(IF(VALUE(MID($B956,2,20))&lt;100000000,VALUE(MID($B956,2,20)),1000000000),1000000000))+ROW()/100000,"")</f>
        <v/>
      </c>
    </row>
    <row r="957">
      <c r="C957" s="11" t="n"/>
      <c r="J957" s="7">
        <f>IF($B957="","",I957*Q957/100)</f>
        <v/>
      </c>
      <c r="P957" s="7" t="n"/>
      <c r="Q957" s="7" t="n"/>
      <c r="R957" s="7">
        <f>IF($B957="","",Q957*W957/100)</f>
        <v/>
      </c>
      <c r="S957" s="7">
        <f>IF($B957="","",Q957-R957)</f>
        <v/>
      </c>
      <c r="T957" s="7">
        <f>IF($B957="","",S957-J957)</f>
        <v/>
      </c>
      <c r="W957">
        <f>IF($B957="","",IF($AI957=1,0,IF($AH957=1,Settings!$C$6,Settings!$C$7))*100)</f>
        <v/>
      </c>
      <c r="AA957" s="7" t="n"/>
      <c r="AD957" s="11" t="n"/>
      <c r="AF957">
        <f>IF($B957="","",IF(COUNTIF($B$2:$B957,$B957)=1,1,0))</f>
        <v/>
      </c>
      <c r="AG957">
        <f>IF($AF957=1,SUMPRODUCT(--($AJ$2:$AJ$1501&lt;$AJ957))+1,"")</f>
        <v/>
      </c>
      <c r="AH957">
        <f>IF($B957="","",IF(OR($M957=TRUE(),$M957="TRUE"),1,0))</f>
        <v/>
      </c>
      <c r="AI957">
        <f>IF($B957="","",IF($V957="Yes",1,0))</f>
        <v/>
      </c>
      <c r="AJ957">
        <f>IF($AF957=1,IFERROR(IF(VALUE($B957)&lt;100000000,VALUE($B957),1000000000),IFERROR(IF(VALUE(MID($B957,2,20))&lt;100000000,VALUE(MID($B957,2,20)),1000000000),1000000000))+ROW()/100000,"")</f>
        <v/>
      </c>
    </row>
    <row r="958">
      <c r="C958" s="11" t="n"/>
      <c r="J958" s="7">
        <f>IF($B958="","",I958*Q958/100)</f>
        <v/>
      </c>
      <c r="P958" s="7" t="n"/>
      <c r="Q958" s="7" t="n"/>
      <c r="R958" s="7">
        <f>IF($B958="","",Q958*W958/100)</f>
        <v/>
      </c>
      <c r="S958" s="7">
        <f>IF($B958="","",Q958-R958)</f>
        <v/>
      </c>
      <c r="T958" s="7">
        <f>IF($B958="","",S958-J958)</f>
        <v/>
      </c>
      <c r="W958">
        <f>IF($B958="","",IF($AI958=1,0,IF($AH958=1,Settings!$C$6,Settings!$C$7))*100)</f>
        <v/>
      </c>
      <c r="AA958" s="7" t="n"/>
      <c r="AD958" s="11" t="n"/>
      <c r="AF958">
        <f>IF($B958="","",IF(COUNTIF($B$2:$B958,$B958)=1,1,0))</f>
        <v/>
      </c>
      <c r="AG958">
        <f>IF($AF958=1,SUMPRODUCT(--($AJ$2:$AJ$1501&lt;$AJ958))+1,"")</f>
        <v/>
      </c>
      <c r="AH958">
        <f>IF($B958="","",IF(OR($M958=TRUE(),$M958="TRUE"),1,0))</f>
        <v/>
      </c>
      <c r="AI958">
        <f>IF($B958="","",IF($V958="Yes",1,0))</f>
        <v/>
      </c>
      <c r="AJ958">
        <f>IF($AF958=1,IFERROR(IF(VALUE($B958)&lt;100000000,VALUE($B958),1000000000),IFERROR(IF(VALUE(MID($B958,2,20))&lt;100000000,VALUE(MID($B958,2,20)),1000000000),1000000000))+ROW()/100000,"")</f>
        <v/>
      </c>
    </row>
    <row r="959">
      <c r="C959" s="11" t="n"/>
      <c r="J959" s="7">
        <f>IF($B959="","",I959*Q959/100)</f>
        <v/>
      </c>
      <c r="P959" s="7" t="n"/>
      <c r="Q959" s="7" t="n"/>
      <c r="R959" s="7">
        <f>IF($B959="","",Q959*W959/100)</f>
        <v/>
      </c>
      <c r="S959" s="7">
        <f>IF($B959="","",Q959-R959)</f>
        <v/>
      </c>
      <c r="T959" s="7">
        <f>IF($B959="","",S959-J959)</f>
        <v/>
      </c>
      <c r="W959">
        <f>IF($B959="","",IF($AI959=1,0,IF($AH959=1,Settings!$C$6,Settings!$C$7))*100)</f>
        <v/>
      </c>
      <c r="AA959" s="7" t="n"/>
      <c r="AD959" s="11" t="n"/>
      <c r="AF959">
        <f>IF($B959="","",IF(COUNTIF($B$2:$B959,$B959)=1,1,0))</f>
        <v/>
      </c>
      <c r="AG959">
        <f>IF($AF959=1,SUMPRODUCT(--($AJ$2:$AJ$1501&lt;$AJ959))+1,"")</f>
        <v/>
      </c>
      <c r="AH959">
        <f>IF($B959="","",IF(OR($M959=TRUE(),$M959="TRUE"),1,0))</f>
        <v/>
      </c>
      <c r="AI959">
        <f>IF($B959="","",IF($V959="Yes",1,0))</f>
        <v/>
      </c>
      <c r="AJ959">
        <f>IF($AF959=1,IFERROR(IF(VALUE($B959)&lt;100000000,VALUE($B959),1000000000),IFERROR(IF(VALUE(MID($B959,2,20))&lt;100000000,VALUE(MID($B959,2,20)),1000000000),1000000000))+ROW()/100000,"")</f>
        <v/>
      </c>
    </row>
    <row r="960">
      <c r="C960" s="11" t="n"/>
      <c r="J960" s="7">
        <f>IF($B960="","",I960*Q960/100)</f>
        <v/>
      </c>
      <c r="P960" s="7" t="n"/>
      <c r="Q960" s="7" t="n"/>
      <c r="R960" s="7">
        <f>IF($B960="","",Q960*W960/100)</f>
        <v/>
      </c>
      <c r="S960" s="7">
        <f>IF($B960="","",Q960-R960)</f>
        <v/>
      </c>
      <c r="T960" s="7">
        <f>IF($B960="","",S960-J960)</f>
        <v/>
      </c>
      <c r="W960">
        <f>IF($B960="","",IF($AI960=1,0,IF($AH960=1,Settings!$C$6,Settings!$C$7))*100)</f>
        <v/>
      </c>
      <c r="AA960" s="7" t="n"/>
      <c r="AD960" s="11" t="n"/>
      <c r="AF960">
        <f>IF($B960="","",IF(COUNTIF($B$2:$B960,$B960)=1,1,0))</f>
        <v/>
      </c>
      <c r="AG960">
        <f>IF($AF960=1,SUMPRODUCT(--($AJ$2:$AJ$1501&lt;$AJ960))+1,"")</f>
        <v/>
      </c>
      <c r="AH960">
        <f>IF($B960="","",IF(OR($M960=TRUE(),$M960="TRUE"),1,0))</f>
        <v/>
      </c>
      <c r="AI960">
        <f>IF($B960="","",IF($V960="Yes",1,0))</f>
        <v/>
      </c>
      <c r="AJ960">
        <f>IF($AF960=1,IFERROR(IF(VALUE($B960)&lt;100000000,VALUE($B960),1000000000),IFERROR(IF(VALUE(MID($B960,2,20))&lt;100000000,VALUE(MID($B960,2,20)),1000000000),1000000000))+ROW()/100000,"")</f>
        <v/>
      </c>
    </row>
    <row r="961">
      <c r="C961" s="11" t="n"/>
      <c r="J961" s="7">
        <f>IF($B961="","",I961*Q961/100)</f>
        <v/>
      </c>
      <c r="P961" s="7" t="n"/>
      <c r="Q961" s="7" t="n"/>
      <c r="R961" s="7">
        <f>IF($B961="","",Q961*W961/100)</f>
        <v/>
      </c>
      <c r="S961" s="7">
        <f>IF($B961="","",Q961-R961)</f>
        <v/>
      </c>
      <c r="T961" s="7">
        <f>IF($B961="","",S961-J961)</f>
        <v/>
      </c>
      <c r="W961">
        <f>IF($B961="","",IF($AI961=1,0,IF($AH961=1,Settings!$C$6,Settings!$C$7))*100)</f>
        <v/>
      </c>
      <c r="AA961" s="7" t="n"/>
      <c r="AD961" s="11" t="n"/>
      <c r="AF961">
        <f>IF($B961="","",IF(COUNTIF($B$2:$B961,$B961)=1,1,0))</f>
        <v/>
      </c>
      <c r="AG961">
        <f>IF($AF961=1,SUMPRODUCT(--($AJ$2:$AJ$1501&lt;$AJ961))+1,"")</f>
        <v/>
      </c>
      <c r="AH961">
        <f>IF($B961="","",IF(OR($M961=TRUE(),$M961="TRUE"),1,0))</f>
        <v/>
      </c>
      <c r="AI961">
        <f>IF($B961="","",IF($V961="Yes",1,0))</f>
        <v/>
      </c>
      <c r="AJ961">
        <f>IF($AF961=1,IFERROR(IF(VALUE($B961)&lt;100000000,VALUE($B961),1000000000),IFERROR(IF(VALUE(MID($B961,2,20))&lt;100000000,VALUE(MID($B961,2,20)),1000000000),1000000000))+ROW()/100000,"")</f>
        <v/>
      </c>
    </row>
    <row r="962">
      <c r="C962" s="11" t="n"/>
      <c r="J962" s="7">
        <f>IF($B962="","",I962*Q962/100)</f>
        <v/>
      </c>
      <c r="P962" s="7" t="n"/>
      <c r="Q962" s="7" t="n"/>
      <c r="R962" s="7">
        <f>IF($B962="","",Q962*W962/100)</f>
        <v/>
      </c>
      <c r="S962" s="7">
        <f>IF($B962="","",Q962-R962)</f>
        <v/>
      </c>
      <c r="T962" s="7">
        <f>IF($B962="","",S962-J962)</f>
        <v/>
      </c>
      <c r="W962">
        <f>IF($B962="","",IF($AI962=1,0,IF($AH962=1,Settings!$C$6,Settings!$C$7))*100)</f>
        <v/>
      </c>
      <c r="AA962" s="7" t="n"/>
      <c r="AD962" s="11" t="n"/>
      <c r="AF962">
        <f>IF($B962="","",IF(COUNTIF($B$2:$B962,$B962)=1,1,0))</f>
        <v/>
      </c>
      <c r="AG962">
        <f>IF($AF962=1,SUMPRODUCT(--($AJ$2:$AJ$1501&lt;$AJ962))+1,"")</f>
        <v/>
      </c>
      <c r="AH962">
        <f>IF($B962="","",IF(OR($M962=TRUE(),$M962="TRUE"),1,0))</f>
        <v/>
      </c>
      <c r="AI962">
        <f>IF($B962="","",IF($V962="Yes",1,0))</f>
        <v/>
      </c>
      <c r="AJ962">
        <f>IF($AF962=1,IFERROR(IF(VALUE($B962)&lt;100000000,VALUE($B962),1000000000),IFERROR(IF(VALUE(MID($B962,2,20))&lt;100000000,VALUE(MID($B962,2,20)),1000000000),1000000000))+ROW()/100000,"")</f>
        <v/>
      </c>
    </row>
    <row r="963">
      <c r="C963" s="11" t="n"/>
      <c r="J963" s="7">
        <f>IF($B963="","",I963*Q963/100)</f>
        <v/>
      </c>
      <c r="P963" s="7" t="n"/>
      <c r="Q963" s="7" t="n"/>
      <c r="R963" s="7">
        <f>IF($B963="","",Q963*W963/100)</f>
        <v/>
      </c>
      <c r="S963" s="7">
        <f>IF($B963="","",Q963-R963)</f>
        <v/>
      </c>
      <c r="T963" s="7">
        <f>IF($B963="","",S963-J963)</f>
        <v/>
      </c>
      <c r="W963">
        <f>IF($B963="","",IF($AI963=1,0,IF($AH963=1,Settings!$C$6,Settings!$C$7))*100)</f>
        <v/>
      </c>
      <c r="AA963" s="7" t="n"/>
      <c r="AD963" s="11" t="n"/>
      <c r="AF963">
        <f>IF($B963="","",IF(COUNTIF($B$2:$B963,$B963)=1,1,0))</f>
        <v/>
      </c>
      <c r="AG963">
        <f>IF($AF963=1,SUMPRODUCT(--($AJ$2:$AJ$1501&lt;$AJ963))+1,"")</f>
        <v/>
      </c>
      <c r="AH963">
        <f>IF($B963="","",IF(OR($M963=TRUE(),$M963="TRUE"),1,0))</f>
        <v/>
      </c>
      <c r="AI963">
        <f>IF($B963="","",IF($V963="Yes",1,0))</f>
        <v/>
      </c>
      <c r="AJ963">
        <f>IF($AF963=1,IFERROR(IF(VALUE($B963)&lt;100000000,VALUE($B963),1000000000),IFERROR(IF(VALUE(MID($B963,2,20))&lt;100000000,VALUE(MID($B963,2,20)),1000000000),1000000000))+ROW()/100000,"")</f>
        <v/>
      </c>
    </row>
    <row r="964">
      <c r="C964" s="11" t="n"/>
      <c r="J964" s="7">
        <f>IF($B964="","",I964*Q964/100)</f>
        <v/>
      </c>
      <c r="P964" s="7" t="n"/>
      <c r="Q964" s="7" t="n"/>
      <c r="R964" s="7">
        <f>IF($B964="","",Q964*W964/100)</f>
        <v/>
      </c>
      <c r="S964" s="7">
        <f>IF($B964="","",Q964-R964)</f>
        <v/>
      </c>
      <c r="T964" s="7">
        <f>IF($B964="","",S964-J964)</f>
        <v/>
      </c>
      <c r="W964">
        <f>IF($B964="","",IF($AI964=1,0,IF($AH964=1,Settings!$C$6,Settings!$C$7))*100)</f>
        <v/>
      </c>
      <c r="AA964" s="7" t="n"/>
      <c r="AD964" s="11" t="n"/>
      <c r="AF964">
        <f>IF($B964="","",IF(COUNTIF($B$2:$B964,$B964)=1,1,0))</f>
        <v/>
      </c>
      <c r="AG964">
        <f>IF($AF964=1,SUMPRODUCT(--($AJ$2:$AJ$1501&lt;$AJ964))+1,"")</f>
        <v/>
      </c>
      <c r="AH964">
        <f>IF($B964="","",IF(OR($M964=TRUE(),$M964="TRUE"),1,0))</f>
        <v/>
      </c>
      <c r="AI964">
        <f>IF($B964="","",IF($V964="Yes",1,0))</f>
        <v/>
      </c>
      <c r="AJ964">
        <f>IF($AF964=1,IFERROR(IF(VALUE($B964)&lt;100000000,VALUE($B964),1000000000),IFERROR(IF(VALUE(MID($B964,2,20))&lt;100000000,VALUE(MID($B964,2,20)),1000000000),1000000000))+ROW()/100000,"")</f>
        <v/>
      </c>
    </row>
    <row r="965">
      <c r="C965" s="11" t="n"/>
      <c r="J965" s="7">
        <f>IF($B965="","",I965*Q965/100)</f>
        <v/>
      </c>
      <c r="P965" s="7" t="n"/>
      <c r="Q965" s="7" t="n"/>
      <c r="R965" s="7">
        <f>IF($B965="","",Q965*W965/100)</f>
        <v/>
      </c>
      <c r="S965" s="7">
        <f>IF($B965="","",Q965-R965)</f>
        <v/>
      </c>
      <c r="T965" s="7">
        <f>IF($B965="","",S965-J965)</f>
        <v/>
      </c>
      <c r="W965">
        <f>IF($B965="","",IF($AI965=1,0,IF($AH965=1,Settings!$C$6,Settings!$C$7))*100)</f>
        <v/>
      </c>
      <c r="AA965" s="7" t="n"/>
      <c r="AD965" s="11" t="n"/>
      <c r="AF965">
        <f>IF($B965="","",IF(COUNTIF($B$2:$B965,$B965)=1,1,0))</f>
        <v/>
      </c>
      <c r="AG965">
        <f>IF($AF965=1,SUMPRODUCT(--($AJ$2:$AJ$1501&lt;$AJ965))+1,"")</f>
        <v/>
      </c>
      <c r="AH965">
        <f>IF($B965="","",IF(OR($M965=TRUE(),$M965="TRUE"),1,0))</f>
        <v/>
      </c>
      <c r="AI965">
        <f>IF($B965="","",IF($V965="Yes",1,0))</f>
        <v/>
      </c>
      <c r="AJ965">
        <f>IF($AF965=1,IFERROR(IF(VALUE($B965)&lt;100000000,VALUE($B965),1000000000),IFERROR(IF(VALUE(MID($B965,2,20))&lt;100000000,VALUE(MID($B965,2,20)),1000000000),1000000000))+ROW()/100000,"")</f>
        <v/>
      </c>
    </row>
    <row r="966">
      <c r="C966" s="11" t="n"/>
      <c r="J966" s="7">
        <f>IF($B966="","",I966*Q966/100)</f>
        <v/>
      </c>
      <c r="P966" s="7" t="n"/>
      <c r="Q966" s="7" t="n"/>
      <c r="R966" s="7">
        <f>IF($B966="","",Q966*W966/100)</f>
        <v/>
      </c>
      <c r="S966" s="7">
        <f>IF($B966="","",Q966-R966)</f>
        <v/>
      </c>
      <c r="T966" s="7">
        <f>IF($B966="","",S966-J966)</f>
        <v/>
      </c>
      <c r="W966">
        <f>IF($B966="","",IF($AI966=1,0,IF($AH966=1,Settings!$C$6,Settings!$C$7))*100)</f>
        <v/>
      </c>
      <c r="AA966" s="7" t="n"/>
      <c r="AD966" s="11" t="n"/>
      <c r="AF966">
        <f>IF($B966="","",IF(COUNTIF($B$2:$B966,$B966)=1,1,0))</f>
        <v/>
      </c>
      <c r="AG966">
        <f>IF($AF966=1,SUMPRODUCT(--($AJ$2:$AJ$1501&lt;$AJ966))+1,"")</f>
        <v/>
      </c>
      <c r="AH966">
        <f>IF($B966="","",IF(OR($M966=TRUE(),$M966="TRUE"),1,0))</f>
        <v/>
      </c>
      <c r="AI966">
        <f>IF($B966="","",IF($V966="Yes",1,0))</f>
        <v/>
      </c>
      <c r="AJ966">
        <f>IF($AF966=1,IFERROR(IF(VALUE($B966)&lt;100000000,VALUE($B966),1000000000),IFERROR(IF(VALUE(MID($B966,2,20))&lt;100000000,VALUE(MID($B966,2,20)),1000000000),1000000000))+ROW()/100000,"")</f>
        <v/>
      </c>
    </row>
    <row r="967">
      <c r="C967" s="11" t="n"/>
      <c r="J967" s="7">
        <f>IF($B967="","",I967*Q967/100)</f>
        <v/>
      </c>
      <c r="P967" s="7" t="n"/>
      <c r="Q967" s="7" t="n"/>
      <c r="R967" s="7">
        <f>IF($B967="","",Q967*W967/100)</f>
        <v/>
      </c>
      <c r="S967" s="7">
        <f>IF($B967="","",Q967-R967)</f>
        <v/>
      </c>
      <c r="T967" s="7">
        <f>IF($B967="","",S967-J967)</f>
        <v/>
      </c>
      <c r="W967">
        <f>IF($B967="","",IF($AI967=1,0,IF($AH967=1,Settings!$C$6,Settings!$C$7))*100)</f>
        <v/>
      </c>
      <c r="AA967" s="7" t="n"/>
      <c r="AD967" s="11" t="n"/>
      <c r="AF967">
        <f>IF($B967="","",IF(COUNTIF($B$2:$B967,$B967)=1,1,0))</f>
        <v/>
      </c>
      <c r="AG967">
        <f>IF($AF967=1,SUMPRODUCT(--($AJ$2:$AJ$1501&lt;$AJ967))+1,"")</f>
        <v/>
      </c>
      <c r="AH967">
        <f>IF($B967="","",IF(OR($M967=TRUE(),$M967="TRUE"),1,0))</f>
        <v/>
      </c>
      <c r="AI967">
        <f>IF($B967="","",IF($V967="Yes",1,0))</f>
        <v/>
      </c>
      <c r="AJ967">
        <f>IF($AF967=1,IFERROR(IF(VALUE($B967)&lt;100000000,VALUE($B967),1000000000),IFERROR(IF(VALUE(MID($B967,2,20))&lt;100000000,VALUE(MID($B967,2,20)),1000000000),1000000000))+ROW()/100000,"")</f>
        <v/>
      </c>
    </row>
    <row r="968">
      <c r="C968" s="11" t="n"/>
      <c r="J968" s="7">
        <f>IF($B968="","",I968*Q968/100)</f>
        <v/>
      </c>
      <c r="P968" s="7" t="n"/>
      <c r="Q968" s="7" t="n"/>
      <c r="R968" s="7">
        <f>IF($B968="","",Q968*W968/100)</f>
        <v/>
      </c>
      <c r="S968" s="7">
        <f>IF($B968="","",Q968-R968)</f>
        <v/>
      </c>
      <c r="T968" s="7">
        <f>IF($B968="","",S968-J968)</f>
        <v/>
      </c>
      <c r="W968">
        <f>IF($B968="","",IF($AI968=1,0,IF($AH968=1,Settings!$C$6,Settings!$C$7))*100)</f>
        <v/>
      </c>
      <c r="AA968" s="7" t="n"/>
      <c r="AD968" s="11" t="n"/>
      <c r="AF968">
        <f>IF($B968="","",IF(COUNTIF($B$2:$B968,$B968)=1,1,0))</f>
        <v/>
      </c>
      <c r="AG968">
        <f>IF($AF968=1,SUMPRODUCT(--($AJ$2:$AJ$1501&lt;$AJ968))+1,"")</f>
        <v/>
      </c>
      <c r="AH968">
        <f>IF($B968="","",IF(OR($M968=TRUE(),$M968="TRUE"),1,0))</f>
        <v/>
      </c>
      <c r="AI968">
        <f>IF($B968="","",IF($V968="Yes",1,0))</f>
        <v/>
      </c>
      <c r="AJ968">
        <f>IF($AF968=1,IFERROR(IF(VALUE($B968)&lt;100000000,VALUE($B968),1000000000),IFERROR(IF(VALUE(MID($B968,2,20))&lt;100000000,VALUE(MID($B968,2,20)),1000000000),1000000000))+ROW()/100000,"")</f>
        <v/>
      </c>
    </row>
    <row r="969">
      <c r="C969" s="11" t="n"/>
      <c r="J969" s="7">
        <f>IF($B969="","",I969*Q969/100)</f>
        <v/>
      </c>
      <c r="P969" s="7" t="n"/>
      <c r="Q969" s="7" t="n"/>
      <c r="R969" s="7">
        <f>IF($B969="","",Q969*W969/100)</f>
        <v/>
      </c>
      <c r="S969" s="7">
        <f>IF($B969="","",Q969-R969)</f>
        <v/>
      </c>
      <c r="T969" s="7">
        <f>IF($B969="","",S969-J969)</f>
        <v/>
      </c>
      <c r="W969">
        <f>IF($B969="","",IF($AI969=1,0,IF($AH969=1,Settings!$C$6,Settings!$C$7))*100)</f>
        <v/>
      </c>
      <c r="AA969" s="7" t="n"/>
      <c r="AD969" s="11" t="n"/>
      <c r="AF969">
        <f>IF($B969="","",IF(COUNTIF($B$2:$B969,$B969)=1,1,0))</f>
        <v/>
      </c>
      <c r="AG969">
        <f>IF($AF969=1,SUMPRODUCT(--($AJ$2:$AJ$1501&lt;$AJ969))+1,"")</f>
        <v/>
      </c>
      <c r="AH969">
        <f>IF($B969="","",IF(OR($M969=TRUE(),$M969="TRUE"),1,0))</f>
        <v/>
      </c>
      <c r="AI969">
        <f>IF($B969="","",IF($V969="Yes",1,0))</f>
        <v/>
      </c>
      <c r="AJ969">
        <f>IF($AF969=1,IFERROR(IF(VALUE($B969)&lt;100000000,VALUE($B969),1000000000),IFERROR(IF(VALUE(MID($B969,2,20))&lt;100000000,VALUE(MID($B969,2,20)),1000000000),1000000000))+ROW()/100000,"")</f>
        <v/>
      </c>
    </row>
    <row r="970">
      <c r="C970" s="11" t="n"/>
      <c r="J970" s="7">
        <f>IF($B970="","",I970*Q970/100)</f>
        <v/>
      </c>
      <c r="P970" s="7" t="n"/>
      <c r="Q970" s="7" t="n"/>
      <c r="R970" s="7">
        <f>IF($B970="","",Q970*W970/100)</f>
        <v/>
      </c>
      <c r="S970" s="7">
        <f>IF($B970="","",Q970-R970)</f>
        <v/>
      </c>
      <c r="T970" s="7">
        <f>IF($B970="","",S970-J970)</f>
        <v/>
      </c>
      <c r="W970">
        <f>IF($B970="","",IF($AI970=1,0,IF($AH970=1,Settings!$C$6,Settings!$C$7))*100)</f>
        <v/>
      </c>
      <c r="AA970" s="7" t="n"/>
      <c r="AD970" s="11" t="n"/>
      <c r="AF970">
        <f>IF($B970="","",IF(COUNTIF($B$2:$B970,$B970)=1,1,0))</f>
        <v/>
      </c>
      <c r="AG970">
        <f>IF($AF970=1,SUMPRODUCT(--($AJ$2:$AJ$1501&lt;$AJ970))+1,"")</f>
        <v/>
      </c>
      <c r="AH970">
        <f>IF($B970="","",IF(OR($M970=TRUE(),$M970="TRUE"),1,0))</f>
        <v/>
      </c>
      <c r="AI970">
        <f>IF($B970="","",IF($V970="Yes",1,0))</f>
        <v/>
      </c>
      <c r="AJ970">
        <f>IF($AF970=1,IFERROR(IF(VALUE($B970)&lt;100000000,VALUE($B970),1000000000),IFERROR(IF(VALUE(MID($B970,2,20))&lt;100000000,VALUE(MID($B970,2,20)),1000000000),1000000000))+ROW()/100000,"")</f>
        <v/>
      </c>
    </row>
    <row r="971">
      <c r="C971" s="11" t="n"/>
      <c r="J971" s="7">
        <f>IF($B971="","",I971*Q971/100)</f>
        <v/>
      </c>
      <c r="P971" s="7" t="n"/>
      <c r="Q971" s="7" t="n"/>
      <c r="R971" s="7">
        <f>IF($B971="","",Q971*W971/100)</f>
        <v/>
      </c>
      <c r="S971" s="7">
        <f>IF($B971="","",Q971-R971)</f>
        <v/>
      </c>
      <c r="T971" s="7">
        <f>IF($B971="","",S971-J971)</f>
        <v/>
      </c>
      <c r="W971">
        <f>IF($B971="","",IF($AI971=1,0,IF($AH971=1,Settings!$C$6,Settings!$C$7))*100)</f>
        <v/>
      </c>
      <c r="AA971" s="7" t="n"/>
      <c r="AD971" s="11" t="n"/>
      <c r="AF971">
        <f>IF($B971="","",IF(COUNTIF($B$2:$B971,$B971)=1,1,0))</f>
        <v/>
      </c>
      <c r="AG971">
        <f>IF($AF971=1,SUMPRODUCT(--($AJ$2:$AJ$1501&lt;$AJ971))+1,"")</f>
        <v/>
      </c>
      <c r="AH971">
        <f>IF($B971="","",IF(OR($M971=TRUE(),$M971="TRUE"),1,0))</f>
        <v/>
      </c>
      <c r="AI971">
        <f>IF($B971="","",IF($V971="Yes",1,0))</f>
        <v/>
      </c>
      <c r="AJ971">
        <f>IF($AF971=1,IFERROR(IF(VALUE($B971)&lt;100000000,VALUE($B971),1000000000),IFERROR(IF(VALUE(MID($B971,2,20))&lt;100000000,VALUE(MID($B971,2,20)),1000000000),1000000000))+ROW()/100000,"")</f>
        <v/>
      </c>
    </row>
    <row r="972">
      <c r="C972" s="11" t="n"/>
      <c r="J972" s="7">
        <f>IF($B972="","",I972*Q972/100)</f>
        <v/>
      </c>
      <c r="P972" s="7" t="n"/>
      <c r="Q972" s="7" t="n"/>
      <c r="R972" s="7">
        <f>IF($B972="","",Q972*W972/100)</f>
        <v/>
      </c>
      <c r="S972" s="7">
        <f>IF($B972="","",Q972-R972)</f>
        <v/>
      </c>
      <c r="T972" s="7">
        <f>IF($B972="","",S972-J972)</f>
        <v/>
      </c>
      <c r="W972">
        <f>IF($B972="","",IF($AI972=1,0,IF($AH972=1,Settings!$C$6,Settings!$C$7))*100)</f>
        <v/>
      </c>
      <c r="AA972" s="7" t="n"/>
      <c r="AD972" s="11" t="n"/>
      <c r="AF972">
        <f>IF($B972="","",IF(COUNTIF($B$2:$B972,$B972)=1,1,0))</f>
        <v/>
      </c>
      <c r="AG972">
        <f>IF($AF972=1,SUMPRODUCT(--($AJ$2:$AJ$1501&lt;$AJ972))+1,"")</f>
        <v/>
      </c>
      <c r="AH972">
        <f>IF($B972="","",IF(OR($M972=TRUE(),$M972="TRUE"),1,0))</f>
        <v/>
      </c>
      <c r="AI972">
        <f>IF($B972="","",IF($V972="Yes",1,0))</f>
        <v/>
      </c>
      <c r="AJ972">
        <f>IF($AF972=1,IFERROR(IF(VALUE($B972)&lt;100000000,VALUE($B972),1000000000),IFERROR(IF(VALUE(MID($B972,2,20))&lt;100000000,VALUE(MID($B972,2,20)),1000000000),1000000000))+ROW()/100000,"")</f>
        <v/>
      </c>
    </row>
    <row r="973">
      <c r="C973" s="11" t="n"/>
      <c r="J973" s="7">
        <f>IF($B973="","",I973*Q973/100)</f>
        <v/>
      </c>
      <c r="P973" s="7" t="n"/>
      <c r="Q973" s="7" t="n"/>
      <c r="R973" s="7">
        <f>IF($B973="","",Q973*W973/100)</f>
        <v/>
      </c>
      <c r="S973" s="7">
        <f>IF($B973="","",Q973-R973)</f>
        <v/>
      </c>
      <c r="T973" s="7">
        <f>IF($B973="","",S973-J973)</f>
        <v/>
      </c>
      <c r="W973">
        <f>IF($B973="","",IF($AI973=1,0,IF($AH973=1,Settings!$C$6,Settings!$C$7))*100)</f>
        <v/>
      </c>
      <c r="AA973" s="7" t="n"/>
      <c r="AD973" s="11" t="n"/>
      <c r="AF973">
        <f>IF($B973="","",IF(COUNTIF($B$2:$B973,$B973)=1,1,0))</f>
        <v/>
      </c>
      <c r="AG973">
        <f>IF($AF973=1,SUMPRODUCT(--($AJ$2:$AJ$1501&lt;$AJ973))+1,"")</f>
        <v/>
      </c>
      <c r="AH973">
        <f>IF($B973="","",IF(OR($M973=TRUE(),$M973="TRUE"),1,0))</f>
        <v/>
      </c>
      <c r="AI973">
        <f>IF($B973="","",IF($V973="Yes",1,0))</f>
        <v/>
      </c>
      <c r="AJ973">
        <f>IF($AF973=1,IFERROR(IF(VALUE($B973)&lt;100000000,VALUE($B973),1000000000),IFERROR(IF(VALUE(MID($B973,2,20))&lt;100000000,VALUE(MID($B973,2,20)),1000000000),1000000000))+ROW()/100000,"")</f>
        <v/>
      </c>
    </row>
    <row r="974">
      <c r="C974" s="11" t="n"/>
      <c r="J974" s="7">
        <f>IF($B974="","",I974*Q974/100)</f>
        <v/>
      </c>
      <c r="P974" s="7" t="n"/>
      <c r="Q974" s="7" t="n"/>
      <c r="R974" s="7">
        <f>IF($B974="","",Q974*W974/100)</f>
        <v/>
      </c>
      <c r="S974" s="7">
        <f>IF($B974="","",Q974-R974)</f>
        <v/>
      </c>
      <c r="T974" s="7">
        <f>IF($B974="","",S974-J974)</f>
        <v/>
      </c>
      <c r="W974">
        <f>IF($B974="","",IF($AI974=1,0,IF($AH974=1,Settings!$C$6,Settings!$C$7))*100)</f>
        <v/>
      </c>
      <c r="AA974" s="7" t="n"/>
      <c r="AD974" s="11" t="n"/>
      <c r="AF974">
        <f>IF($B974="","",IF(COUNTIF($B$2:$B974,$B974)=1,1,0))</f>
        <v/>
      </c>
      <c r="AG974">
        <f>IF($AF974=1,SUMPRODUCT(--($AJ$2:$AJ$1501&lt;$AJ974))+1,"")</f>
        <v/>
      </c>
      <c r="AH974">
        <f>IF($B974="","",IF(OR($M974=TRUE(),$M974="TRUE"),1,0))</f>
        <v/>
      </c>
      <c r="AI974">
        <f>IF($B974="","",IF($V974="Yes",1,0))</f>
        <v/>
      </c>
      <c r="AJ974">
        <f>IF($AF974=1,IFERROR(IF(VALUE($B974)&lt;100000000,VALUE($B974),1000000000),IFERROR(IF(VALUE(MID($B974,2,20))&lt;100000000,VALUE(MID($B974,2,20)),1000000000),1000000000))+ROW()/100000,"")</f>
        <v/>
      </c>
    </row>
    <row r="975">
      <c r="C975" s="11" t="n"/>
      <c r="J975" s="7">
        <f>IF($B975="","",I975*Q975/100)</f>
        <v/>
      </c>
      <c r="P975" s="7" t="n"/>
      <c r="Q975" s="7" t="n"/>
      <c r="R975" s="7">
        <f>IF($B975="","",Q975*W975/100)</f>
        <v/>
      </c>
      <c r="S975" s="7">
        <f>IF($B975="","",Q975-R975)</f>
        <v/>
      </c>
      <c r="T975" s="7">
        <f>IF($B975="","",S975-J975)</f>
        <v/>
      </c>
      <c r="W975">
        <f>IF($B975="","",IF($AI975=1,0,IF($AH975=1,Settings!$C$6,Settings!$C$7))*100)</f>
        <v/>
      </c>
      <c r="AA975" s="7" t="n"/>
      <c r="AD975" s="11" t="n"/>
      <c r="AF975">
        <f>IF($B975="","",IF(COUNTIF($B$2:$B975,$B975)=1,1,0))</f>
        <v/>
      </c>
      <c r="AG975">
        <f>IF($AF975=1,SUMPRODUCT(--($AJ$2:$AJ$1501&lt;$AJ975))+1,"")</f>
        <v/>
      </c>
      <c r="AH975">
        <f>IF($B975="","",IF(OR($M975=TRUE(),$M975="TRUE"),1,0))</f>
        <v/>
      </c>
      <c r="AI975">
        <f>IF($B975="","",IF($V975="Yes",1,0))</f>
        <v/>
      </c>
      <c r="AJ975">
        <f>IF($AF975=1,IFERROR(IF(VALUE($B975)&lt;100000000,VALUE($B975),1000000000),IFERROR(IF(VALUE(MID($B975,2,20))&lt;100000000,VALUE(MID($B975,2,20)),1000000000),1000000000))+ROW()/100000,"")</f>
        <v/>
      </c>
    </row>
    <row r="976">
      <c r="C976" s="11" t="n"/>
      <c r="J976" s="7">
        <f>IF($B976="","",I976*Q976/100)</f>
        <v/>
      </c>
      <c r="P976" s="7" t="n"/>
      <c r="Q976" s="7" t="n"/>
      <c r="R976" s="7">
        <f>IF($B976="","",Q976*W976/100)</f>
        <v/>
      </c>
      <c r="S976" s="7">
        <f>IF($B976="","",Q976-R976)</f>
        <v/>
      </c>
      <c r="T976" s="7">
        <f>IF($B976="","",S976-J976)</f>
        <v/>
      </c>
      <c r="W976">
        <f>IF($B976="","",IF($AI976=1,0,IF($AH976=1,Settings!$C$6,Settings!$C$7))*100)</f>
        <v/>
      </c>
      <c r="AA976" s="7" t="n"/>
      <c r="AD976" s="11" t="n"/>
      <c r="AF976">
        <f>IF($B976="","",IF(COUNTIF($B$2:$B976,$B976)=1,1,0))</f>
        <v/>
      </c>
      <c r="AG976">
        <f>IF($AF976=1,SUMPRODUCT(--($AJ$2:$AJ$1501&lt;$AJ976))+1,"")</f>
        <v/>
      </c>
      <c r="AH976">
        <f>IF($B976="","",IF(OR($M976=TRUE(),$M976="TRUE"),1,0))</f>
        <v/>
      </c>
      <c r="AI976">
        <f>IF($B976="","",IF($V976="Yes",1,0))</f>
        <v/>
      </c>
      <c r="AJ976">
        <f>IF($AF976=1,IFERROR(IF(VALUE($B976)&lt;100000000,VALUE($B976),1000000000),IFERROR(IF(VALUE(MID($B976,2,20))&lt;100000000,VALUE(MID($B976,2,20)),1000000000),1000000000))+ROW()/100000,"")</f>
        <v/>
      </c>
    </row>
    <row r="977">
      <c r="C977" s="11" t="n"/>
      <c r="J977" s="7">
        <f>IF($B977="","",I977*Q977/100)</f>
        <v/>
      </c>
      <c r="P977" s="7" t="n"/>
      <c r="Q977" s="7" t="n"/>
      <c r="R977" s="7">
        <f>IF($B977="","",Q977*W977/100)</f>
        <v/>
      </c>
      <c r="S977" s="7">
        <f>IF($B977="","",Q977-R977)</f>
        <v/>
      </c>
      <c r="T977" s="7">
        <f>IF($B977="","",S977-J977)</f>
        <v/>
      </c>
      <c r="W977">
        <f>IF($B977="","",IF($AI977=1,0,IF($AH977=1,Settings!$C$6,Settings!$C$7))*100)</f>
        <v/>
      </c>
      <c r="AA977" s="7" t="n"/>
      <c r="AD977" s="11" t="n"/>
      <c r="AF977">
        <f>IF($B977="","",IF(COUNTIF($B$2:$B977,$B977)=1,1,0))</f>
        <v/>
      </c>
      <c r="AG977">
        <f>IF($AF977=1,SUMPRODUCT(--($AJ$2:$AJ$1501&lt;$AJ977))+1,"")</f>
        <v/>
      </c>
      <c r="AH977">
        <f>IF($B977="","",IF(OR($M977=TRUE(),$M977="TRUE"),1,0))</f>
        <v/>
      </c>
      <c r="AI977">
        <f>IF($B977="","",IF($V977="Yes",1,0))</f>
        <v/>
      </c>
      <c r="AJ977">
        <f>IF($AF977=1,IFERROR(IF(VALUE($B977)&lt;100000000,VALUE($B977),1000000000),IFERROR(IF(VALUE(MID($B977,2,20))&lt;100000000,VALUE(MID($B977,2,20)),1000000000),1000000000))+ROW()/100000,"")</f>
        <v/>
      </c>
    </row>
    <row r="978">
      <c r="C978" s="11" t="n"/>
      <c r="J978" s="7">
        <f>IF($B978="","",I978*Q978/100)</f>
        <v/>
      </c>
      <c r="P978" s="7" t="n"/>
      <c r="Q978" s="7" t="n"/>
      <c r="R978" s="7">
        <f>IF($B978="","",Q978*W978/100)</f>
        <v/>
      </c>
      <c r="S978" s="7">
        <f>IF($B978="","",Q978-R978)</f>
        <v/>
      </c>
      <c r="T978" s="7">
        <f>IF($B978="","",S978-J978)</f>
        <v/>
      </c>
      <c r="W978">
        <f>IF($B978="","",IF($AI978=1,0,IF($AH978=1,Settings!$C$6,Settings!$C$7))*100)</f>
        <v/>
      </c>
      <c r="AA978" s="7" t="n"/>
      <c r="AD978" s="11" t="n"/>
      <c r="AF978">
        <f>IF($B978="","",IF(COUNTIF($B$2:$B978,$B978)=1,1,0))</f>
        <v/>
      </c>
      <c r="AG978">
        <f>IF($AF978=1,SUMPRODUCT(--($AJ$2:$AJ$1501&lt;$AJ978))+1,"")</f>
        <v/>
      </c>
      <c r="AH978">
        <f>IF($B978="","",IF(OR($M978=TRUE(),$M978="TRUE"),1,0))</f>
        <v/>
      </c>
      <c r="AI978">
        <f>IF($B978="","",IF($V978="Yes",1,0))</f>
        <v/>
      </c>
      <c r="AJ978">
        <f>IF($AF978=1,IFERROR(IF(VALUE($B978)&lt;100000000,VALUE($B978),1000000000),IFERROR(IF(VALUE(MID($B978,2,20))&lt;100000000,VALUE(MID($B978,2,20)),1000000000),1000000000))+ROW()/100000,"")</f>
        <v/>
      </c>
    </row>
    <row r="979">
      <c r="C979" s="11" t="n"/>
      <c r="J979" s="7">
        <f>IF($B979="","",I979*Q979/100)</f>
        <v/>
      </c>
      <c r="P979" s="7" t="n"/>
      <c r="Q979" s="7" t="n"/>
      <c r="R979" s="7">
        <f>IF($B979="","",Q979*W979/100)</f>
        <v/>
      </c>
      <c r="S979" s="7">
        <f>IF($B979="","",Q979-R979)</f>
        <v/>
      </c>
      <c r="T979" s="7">
        <f>IF($B979="","",S979-J979)</f>
        <v/>
      </c>
      <c r="W979">
        <f>IF($B979="","",IF($AI979=1,0,IF($AH979=1,Settings!$C$6,Settings!$C$7))*100)</f>
        <v/>
      </c>
      <c r="AA979" s="7" t="n"/>
      <c r="AD979" s="11" t="n"/>
      <c r="AF979">
        <f>IF($B979="","",IF(COUNTIF($B$2:$B979,$B979)=1,1,0))</f>
        <v/>
      </c>
      <c r="AG979">
        <f>IF($AF979=1,SUMPRODUCT(--($AJ$2:$AJ$1501&lt;$AJ979))+1,"")</f>
        <v/>
      </c>
      <c r="AH979">
        <f>IF($B979="","",IF(OR($M979=TRUE(),$M979="TRUE"),1,0))</f>
        <v/>
      </c>
      <c r="AI979">
        <f>IF($B979="","",IF($V979="Yes",1,0))</f>
        <v/>
      </c>
      <c r="AJ979">
        <f>IF($AF979=1,IFERROR(IF(VALUE($B979)&lt;100000000,VALUE($B979),1000000000),IFERROR(IF(VALUE(MID($B979,2,20))&lt;100000000,VALUE(MID($B979,2,20)),1000000000),1000000000))+ROW()/100000,"")</f>
        <v/>
      </c>
    </row>
    <row r="980">
      <c r="C980" s="11" t="n"/>
      <c r="J980" s="7">
        <f>IF($B980="","",I980*Q980/100)</f>
        <v/>
      </c>
      <c r="P980" s="7" t="n"/>
      <c r="Q980" s="7" t="n"/>
      <c r="R980" s="7">
        <f>IF($B980="","",Q980*W980/100)</f>
        <v/>
      </c>
      <c r="S980" s="7">
        <f>IF($B980="","",Q980-R980)</f>
        <v/>
      </c>
      <c r="T980" s="7">
        <f>IF($B980="","",S980-J980)</f>
        <v/>
      </c>
      <c r="W980">
        <f>IF($B980="","",IF($AI980=1,0,IF($AH980=1,Settings!$C$6,Settings!$C$7))*100)</f>
        <v/>
      </c>
      <c r="AA980" s="7" t="n"/>
      <c r="AD980" s="11" t="n"/>
      <c r="AF980">
        <f>IF($B980="","",IF(COUNTIF($B$2:$B980,$B980)=1,1,0))</f>
        <v/>
      </c>
      <c r="AG980">
        <f>IF($AF980=1,SUMPRODUCT(--($AJ$2:$AJ$1501&lt;$AJ980))+1,"")</f>
        <v/>
      </c>
      <c r="AH980">
        <f>IF($B980="","",IF(OR($M980=TRUE(),$M980="TRUE"),1,0))</f>
        <v/>
      </c>
      <c r="AI980">
        <f>IF($B980="","",IF($V980="Yes",1,0))</f>
        <v/>
      </c>
      <c r="AJ980">
        <f>IF($AF980=1,IFERROR(IF(VALUE($B980)&lt;100000000,VALUE($B980),1000000000),IFERROR(IF(VALUE(MID($B980,2,20))&lt;100000000,VALUE(MID($B980,2,20)),1000000000),1000000000))+ROW()/100000,"")</f>
        <v/>
      </c>
    </row>
    <row r="981">
      <c r="C981" s="11" t="n"/>
      <c r="J981" s="7">
        <f>IF($B981="","",I981*Q981/100)</f>
        <v/>
      </c>
      <c r="P981" s="7" t="n"/>
      <c r="Q981" s="7" t="n"/>
      <c r="R981" s="7">
        <f>IF($B981="","",Q981*W981/100)</f>
        <v/>
      </c>
      <c r="S981" s="7">
        <f>IF($B981="","",Q981-R981)</f>
        <v/>
      </c>
      <c r="T981" s="7">
        <f>IF($B981="","",S981-J981)</f>
        <v/>
      </c>
      <c r="W981">
        <f>IF($B981="","",IF($AI981=1,0,IF($AH981=1,Settings!$C$6,Settings!$C$7))*100)</f>
        <v/>
      </c>
      <c r="AA981" s="7" t="n"/>
      <c r="AD981" s="11" t="n"/>
      <c r="AF981">
        <f>IF($B981="","",IF(COUNTIF($B$2:$B981,$B981)=1,1,0))</f>
        <v/>
      </c>
      <c r="AG981">
        <f>IF($AF981=1,SUMPRODUCT(--($AJ$2:$AJ$1501&lt;$AJ981))+1,"")</f>
        <v/>
      </c>
      <c r="AH981">
        <f>IF($B981="","",IF(OR($M981=TRUE(),$M981="TRUE"),1,0))</f>
        <v/>
      </c>
      <c r="AI981">
        <f>IF($B981="","",IF($V981="Yes",1,0))</f>
        <v/>
      </c>
      <c r="AJ981">
        <f>IF($AF981=1,IFERROR(IF(VALUE($B981)&lt;100000000,VALUE($B981),1000000000),IFERROR(IF(VALUE(MID($B981,2,20))&lt;100000000,VALUE(MID($B981,2,20)),1000000000),1000000000))+ROW()/100000,"")</f>
        <v/>
      </c>
    </row>
    <row r="982">
      <c r="C982" s="11" t="n"/>
      <c r="J982" s="7">
        <f>IF($B982="","",I982*Q982/100)</f>
        <v/>
      </c>
      <c r="P982" s="7" t="n"/>
      <c r="Q982" s="7" t="n"/>
      <c r="R982" s="7">
        <f>IF($B982="","",Q982*W982/100)</f>
        <v/>
      </c>
      <c r="S982" s="7">
        <f>IF($B982="","",Q982-R982)</f>
        <v/>
      </c>
      <c r="T982" s="7">
        <f>IF($B982="","",S982-J982)</f>
        <v/>
      </c>
      <c r="W982">
        <f>IF($B982="","",IF($AI982=1,0,IF($AH982=1,Settings!$C$6,Settings!$C$7))*100)</f>
        <v/>
      </c>
      <c r="AA982" s="7" t="n"/>
      <c r="AD982" s="11" t="n"/>
      <c r="AF982">
        <f>IF($B982="","",IF(COUNTIF($B$2:$B982,$B982)=1,1,0))</f>
        <v/>
      </c>
      <c r="AG982">
        <f>IF($AF982=1,SUMPRODUCT(--($AJ$2:$AJ$1501&lt;$AJ982))+1,"")</f>
        <v/>
      </c>
      <c r="AH982">
        <f>IF($B982="","",IF(OR($M982=TRUE(),$M982="TRUE"),1,0))</f>
        <v/>
      </c>
      <c r="AI982">
        <f>IF($B982="","",IF($V982="Yes",1,0))</f>
        <v/>
      </c>
      <c r="AJ982">
        <f>IF($AF982=1,IFERROR(IF(VALUE($B982)&lt;100000000,VALUE($B982),1000000000),IFERROR(IF(VALUE(MID($B982,2,20))&lt;100000000,VALUE(MID($B982,2,20)),1000000000),1000000000))+ROW()/100000,"")</f>
        <v/>
      </c>
    </row>
    <row r="983">
      <c r="C983" s="11" t="n"/>
      <c r="J983" s="7">
        <f>IF($B983="","",I983*Q983/100)</f>
        <v/>
      </c>
      <c r="P983" s="7" t="n"/>
      <c r="Q983" s="7" t="n"/>
      <c r="R983" s="7">
        <f>IF($B983="","",Q983*W983/100)</f>
        <v/>
      </c>
      <c r="S983" s="7">
        <f>IF($B983="","",Q983-R983)</f>
        <v/>
      </c>
      <c r="T983" s="7">
        <f>IF($B983="","",S983-J983)</f>
        <v/>
      </c>
      <c r="W983">
        <f>IF($B983="","",IF($AI983=1,0,IF($AH983=1,Settings!$C$6,Settings!$C$7))*100)</f>
        <v/>
      </c>
      <c r="AA983" s="7" t="n"/>
      <c r="AD983" s="11" t="n"/>
      <c r="AF983">
        <f>IF($B983="","",IF(COUNTIF($B$2:$B983,$B983)=1,1,0))</f>
        <v/>
      </c>
      <c r="AG983">
        <f>IF($AF983=1,SUMPRODUCT(--($AJ$2:$AJ$1501&lt;$AJ983))+1,"")</f>
        <v/>
      </c>
      <c r="AH983">
        <f>IF($B983="","",IF(OR($M983=TRUE(),$M983="TRUE"),1,0))</f>
        <v/>
      </c>
      <c r="AI983">
        <f>IF($B983="","",IF($V983="Yes",1,0))</f>
        <v/>
      </c>
      <c r="AJ983">
        <f>IF($AF983=1,IFERROR(IF(VALUE($B983)&lt;100000000,VALUE($B983),1000000000),IFERROR(IF(VALUE(MID($B983,2,20))&lt;100000000,VALUE(MID($B983,2,20)),1000000000),1000000000))+ROW()/100000,"")</f>
        <v/>
      </c>
    </row>
    <row r="984">
      <c r="C984" s="11" t="n"/>
      <c r="J984" s="7">
        <f>IF($B984="","",I984*Q984/100)</f>
        <v/>
      </c>
      <c r="P984" s="7" t="n"/>
      <c r="Q984" s="7" t="n"/>
      <c r="R984" s="7">
        <f>IF($B984="","",Q984*W984/100)</f>
        <v/>
      </c>
      <c r="S984" s="7">
        <f>IF($B984="","",Q984-R984)</f>
        <v/>
      </c>
      <c r="T984" s="7">
        <f>IF($B984="","",S984-J984)</f>
        <v/>
      </c>
      <c r="W984">
        <f>IF($B984="","",IF($AI984=1,0,IF($AH984=1,Settings!$C$6,Settings!$C$7))*100)</f>
        <v/>
      </c>
      <c r="AA984" s="7" t="n"/>
      <c r="AD984" s="11" t="n"/>
      <c r="AF984">
        <f>IF($B984="","",IF(COUNTIF($B$2:$B984,$B984)=1,1,0))</f>
        <v/>
      </c>
      <c r="AG984">
        <f>IF($AF984=1,SUMPRODUCT(--($AJ$2:$AJ$1501&lt;$AJ984))+1,"")</f>
        <v/>
      </c>
      <c r="AH984">
        <f>IF($B984="","",IF(OR($M984=TRUE(),$M984="TRUE"),1,0))</f>
        <v/>
      </c>
      <c r="AI984">
        <f>IF($B984="","",IF($V984="Yes",1,0))</f>
        <v/>
      </c>
      <c r="AJ984">
        <f>IF($AF984=1,IFERROR(IF(VALUE($B984)&lt;100000000,VALUE($B984),1000000000),IFERROR(IF(VALUE(MID($B984,2,20))&lt;100000000,VALUE(MID($B984,2,20)),1000000000),1000000000))+ROW()/100000,"")</f>
        <v/>
      </c>
    </row>
    <row r="985">
      <c r="C985" s="11" t="n"/>
      <c r="J985" s="7">
        <f>IF($B985="","",I985*Q985/100)</f>
        <v/>
      </c>
      <c r="P985" s="7" t="n"/>
      <c r="Q985" s="7" t="n"/>
      <c r="R985" s="7">
        <f>IF($B985="","",Q985*W985/100)</f>
        <v/>
      </c>
      <c r="S985" s="7">
        <f>IF($B985="","",Q985-R985)</f>
        <v/>
      </c>
      <c r="T985" s="7">
        <f>IF($B985="","",S985-J985)</f>
        <v/>
      </c>
      <c r="W985">
        <f>IF($B985="","",IF($AI985=1,0,IF($AH985=1,Settings!$C$6,Settings!$C$7))*100)</f>
        <v/>
      </c>
      <c r="AA985" s="7" t="n"/>
      <c r="AD985" s="11" t="n"/>
      <c r="AF985">
        <f>IF($B985="","",IF(COUNTIF($B$2:$B985,$B985)=1,1,0))</f>
        <v/>
      </c>
      <c r="AG985">
        <f>IF($AF985=1,SUMPRODUCT(--($AJ$2:$AJ$1501&lt;$AJ985))+1,"")</f>
        <v/>
      </c>
      <c r="AH985">
        <f>IF($B985="","",IF(OR($M985=TRUE(),$M985="TRUE"),1,0))</f>
        <v/>
      </c>
      <c r="AI985">
        <f>IF($B985="","",IF($V985="Yes",1,0))</f>
        <v/>
      </c>
      <c r="AJ985">
        <f>IF($AF985=1,IFERROR(IF(VALUE($B985)&lt;100000000,VALUE($B985),1000000000),IFERROR(IF(VALUE(MID($B985,2,20))&lt;100000000,VALUE(MID($B985,2,20)),1000000000),1000000000))+ROW()/100000,"")</f>
        <v/>
      </c>
    </row>
    <row r="986">
      <c r="C986" s="11" t="n"/>
      <c r="J986" s="7">
        <f>IF($B986="","",I986*Q986/100)</f>
        <v/>
      </c>
      <c r="P986" s="7" t="n"/>
      <c r="Q986" s="7" t="n"/>
      <c r="R986" s="7">
        <f>IF($B986="","",Q986*W986/100)</f>
        <v/>
      </c>
      <c r="S986" s="7">
        <f>IF($B986="","",Q986-R986)</f>
        <v/>
      </c>
      <c r="T986" s="7">
        <f>IF($B986="","",S986-J986)</f>
        <v/>
      </c>
      <c r="W986">
        <f>IF($B986="","",IF($AI986=1,0,IF($AH986=1,Settings!$C$6,Settings!$C$7))*100)</f>
        <v/>
      </c>
      <c r="AA986" s="7" t="n"/>
      <c r="AD986" s="11" t="n"/>
      <c r="AF986">
        <f>IF($B986="","",IF(COUNTIF($B$2:$B986,$B986)=1,1,0))</f>
        <v/>
      </c>
      <c r="AG986">
        <f>IF($AF986=1,SUMPRODUCT(--($AJ$2:$AJ$1501&lt;$AJ986))+1,"")</f>
        <v/>
      </c>
      <c r="AH986">
        <f>IF($B986="","",IF(OR($M986=TRUE(),$M986="TRUE"),1,0))</f>
        <v/>
      </c>
      <c r="AI986">
        <f>IF($B986="","",IF($V986="Yes",1,0))</f>
        <v/>
      </c>
      <c r="AJ986">
        <f>IF($AF986=1,IFERROR(IF(VALUE($B986)&lt;100000000,VALUE($B986),1000000000),IFERROR(IF(VALUE(MID($B986,2,20))&lt;100000000,VALUE(MID($B986,2,20)),1000000000),1000000000))+ROW()/100000,"")</f>
        <v/>
      </c>
    </row>
    <row r="987">
      <c r="C987" s="11" t="n"/>
      <c r="J987" s="7">
        <f>IF($B987="","",I987*Q987/100)</f>
        <v/>
      </c>
      <c r="P987" s="7" t="n"/>
      <c r="Q987" s="7" t="n"/>
      <c r="R987" s="7">
        <f>IF($B987="","",Q987*W987/100)</f>
        <v/>
      </c>
      <c r="S987" s="7">
        <f>IF($B987="","",Q987-R987)</f>
        <v/>
      </c>
      <c r="T987" s="7">
        <f>IF($B987="","",S987-J987)</f>
        <v/>
      </c>
      <c r="W987">
        <f>IF($B987="","",IF($AI987=1,0,IF($AH987=1,Settings!$C$6,Settings!$C$7))*100)</f>
        <v/>
      </c>
      <c r="AA987" s="7" t="n"/>
      <c r="AD987" s="11" t="n"/>
      <c r="AF987">
        <f>IF($B987="","",IF(COUNTIF($B$2:$B987,$B987)=1,1,0))</f>
        <v/>
      </c>
      <c r="AG987">
        <f>IF($AF987=1,SUMPRODUCT(--($AJ$2:$AJ$1501&lt;$AJ987))+1,"")</f>
        <v/>
      </c>
      <c r="AH987">
        <f>IF($B987="","",IF(OR($M987=TRUE(),$M987="TRUE"),1,0))</f>
        <v/>
      </c>
      <c r="AI987">
        <f>IF($B987="","",IF($V987="Yes",1,0))</f>
        <v/>
      </c>
      <c r="AJ987">
        <f>IF($AF987=1,IFERROR(IF(VALUE($B987)&lt;100000000,VALUE($B987),1000000000),IFERROR(IF(VALUE(MID($B987,2,20))&lt;100000000,VALUE(MID($B987,2,20)),1000000000),1000000000))+ROW()/100000,"")</f>
        <v/>
      </c>
    </row>
    <row r="988">
      <c r="C988" s="11" t="n"/>
      <c r="J988" s="7">
        <f>IF($B988="","",I988*Q988/100)</f>
        <v/>
      </c>
      <c r="P988" s="7" t="n"/>
      <c r="Q988" s="7" t="n"/>
      <c r="R988" s="7">
        <f>IF($B988="","",Q988*W988/100)</f>
        <v/>
      </c>
      <c r="S988" s="7">
        <f>IF($B988="","",Q988-R988)</f>
        <v/>
      </c>
      <c r="T988" s="7">
        <f>IF($B988="","",S988-J988)</f>
        <v/>
      </c>
      <c r="W988">
        <f>IF($B988="","",IF($AI988=1,0,IF($AH988=1,Settings!$C$6,Settings!$C$7))*100)</f>
        <v/>
      </c>
      <c r="AA988" s="7" t="n"/>
      <c r="AD988" s="11" t="n"/>
      <c r="AF988">
        <f>IF($B988="","",IF(COUNTIF($B$2:$B988,$B988)=1,1,0))</f>
        <v/>
      </c>
      <c r="AG988">
        <f>IF($AF988=1,SUMPRODUCT(--($AJ$2:$AJ$1501&lt;$AJ988))+1,"")</f>
        <v/>
      </c>
      <c r="AH988">
        <f>IF($B988="","",IF(OR($M988=TRUE(),$M988="TRUE"),1,0))</f>
        <v/>
      </c>
      <c r="AI988">
        <f>IF($B988="","",IF($V988="Yes",1,0))</f>
        <v/>
      </c>
      <c r="AJ988">
        <f>IF($AF988=1,IFERROR(IF(VALUE($B988)&lt;100000000,VALUE($B988),1000000000),IFERROR(IF(VALUE(MID($B988,2,20))&lt;100000000,VALUE(MID($B988,2,20)),1000000000),1000000000))+ROW()/100000,"")</f>
        <v/>
      </c>
    </row>
    <row r="989">
      <c r="C989" s="11" t="n"/>
      <c r="J989" s="7">
        <f>IF($B989="","",I989*Q989/100)</f>
        <v/>
      </c>
      <c r="P989" s="7" t="n"/>
      <c r="Q989" s="7" t="n"/>
      <c r="R989" s="7">
        <f>IF($B989="","",Q989*W989/100)</f>
        <v/>
      </c>
      <c r="S989" s="7">
        <f>IF($B989="","",Q989-R989)</f>
        <v/>
      </c>
      <c r="T989" s="7">
        <f>IF($B989="","",S989-J989)</f>
        <v/>
      </c>
      <c r="W989">
        <f>IF($B989="","",IF($AI989=1,0,IF($AH989=1,Settings!$C$6,Settings!$C$7))*100)</f>
        <v/>
      </c>
      <c r="AA989" s="7" t="n"/>
      <c r="AD989" s="11" t="n"/>
      <c r="AF989">
        <f>IF($B989="","",IF(COUNTIF($B$2:$B989,$B989)=1,1,0))</f>
        <v/>
      </c>
      <c r="AG989">
        <f>IF($AF989=1,SUMPRODUCT(--($AJ$2:$AJ$1501&lt;$AJ989))+1,"")</f>
        <v/>
      </c>
      <c r="AH989">
        <f>IF($B989="","",IF(OR($M989=TRUE(),$M989="TRUE"),1,0))</f>
        <v/>
      </c>
      <c r="AI989">
        <f>IF($B989="","",IF($V989="Yes",1,0))</f>
        <v/>
      </c>
      <c r="AJ989">
        <f>IF($AF989=1,IFERROR(IF(VALUE($B989)&lt;100000000,VALUE($B989),1000000000),IFERROR(IF(VALUE(MID($B989,2,20))&lt;100000000,VALUE(MID($B989,2,20)),1000000000),1000000000))+ROW()/100000,"")</f>
        <v/>
      </c>
    </row>
    <row r="990">
      <c r="C990" s="11" t="n"/>
      <c r="J990" s="7">
        <f>IF($B990="","",I990*Q990/100)</f>
        <v/>
      </c>
      <c r="P990" s="7" t="n"/>
      <c r="Q990" s="7" t="n"/>
      <c r="R990" s="7">
        <f>IF($B990="","",Q990*W990/100)</f>
        <v/>
      </c>
      <c r="S990" s="7">
        <f>IF($B990="","",Q990-R990)</f>
        <v/>
      </c>
      <c r="T990" s="7">
        <f>IF($B990="","",S990-J990)</f>
        <v/>
      </c>
      <c r="W990">
        <f>IF($B990="","",IF($AI990=1,0,IF($AH990=1,Settings!$C$6,Settings!$C$7))*100)</f>
        <v/>
      </c>
      <c r="AA990" s="7" t="n"/>
      <c r="AD990" s="11" t="n"/>
      <c r="AF990">
        <f>IF($B990="","",IF(COUNTIF($B$2:$B990,$B990)=1,1,0))</f>
        <v/>
      </c>
      <c r="AG990">
        <f>IF($AF990=1,SUMPRODUCT(--($AJ$2:$AJ$1501&lt;$AJ990))+1,"")</f>
        <v/>
      </c>
      <c r="AH990">
        <f>IF($B990="","",IF(OR($M990=TRUE(),$M990="TRUE"),1,0))</f>
        <v/>
      </c>
      <c r="AI990">
        <f>IF($B990="","",IF($V990="Yes",1,0))</f>
        <v/>
      </c>
      <c r="AJ990">
        <f>IF($AF990=1,IFERROR(IF(VALUE($B990)&lt;100000000,VALUE($B990),1000000000),IFERROR(IF(VALUE(MID($B990,2,20))&lt;100000000,VALUE(MID($B990,2,20)),1000000000),1000000000))+ROW()/100000,"")</f>
        <v/>
      </c>
    </row>
    <row r="991">
      <c r="C991" s="11" t="n"/>
      <c r="J991" s="7">
        <f>IF($B991="","",I991*Q991/100)</f>
        <v/>
      </c>
      <c r="P991" s="7" t="n"/>
      <c r="Q991" s="7" t="n"/>
      <c r="R991" s="7">
        <f>IF($B991="","",Q991*W991/100)</f>
        <v/>
      </c>
      <c r="S991" s="7">
        <f>IF($B991="","",Q991-R991)</f>
        <v/>
      </c>
      <c r="T991" s="7">
        <f>IF($B991="","",S991-J991)</f>
        <v/>
      </c>
      <c r="W991">
        <f>IF($B991="","",IF($AI991=1,0,IF($AH991=1,Settings!$C$6,Settings!$C$7))*100)</f>
        <v/>
      </c>
      <c r="AA991" s="7" t="n"/>
      <c r="AD991" s="11" t="n"/>
      <c r="AF991">
        <f>IF($B991="","",IF(COUNTIF($B$2:$B991,$B991)=1,1,0))</f>
        <v/>
      </c>
      <c r="AG991">
        <f>IF($AF991=1,SUMPRODUCT(--($AJ$2:$AJ$1501&lt;$AJ991))+1,"")</f>
        <v/>
      </c>
      <c r="AH991">
        <f>IF($B991="","",IF(OR($M991=TRUE(),$M991="TRUE"),1,0))</f>
        <v/>
      </c>
      <c r="AI991">
        <f>IF($B991="","",IF($V991="Yes",1,0))</f>
        <v/>
      </c>
      <c r="AJ991">
        <f>IF($AF991=1,IFERROR(IF(VALUE($B991)&lt;100000000,VALUE($B991),1000000000),IFERROR(IF(VALUE(MID($B991,2,20))&lt;100000000,VALUE(MID($B991,2,20)),1000000000),1000000000))+ROW()/100000,"")</f>
        <v/>
      </c>
    </row>
    <row r="992">
      <c r="C992" s="11" t="n"/>
      <c r="J992" s="7">
        <f>IF($B992="","",I992*Q992/100)</f>
        <v/>
      </c>
      <c r="P992" s="7" t="n"/>
      <c r="Q992" s="7" t="n"/>
      <c r="R992" s="7">
        <f>IF($B992="","",Q992*W992/100)</f>
        <v/>
      </c>
      <c r="S992" s="7">
        <f>IF($B992="","",Q992-R992)</f>
        <v/>
      </c>
      <c r="T992" s="7">
        <f>IF($B992="","",S992-J992)</f>
        <v/>
      </c>
      <c r="W992">
        <f>IF($B992="","",IF($AI992=1,0,IF($AH992=1,Settings!$C$6,Settings!$C$7))*100)</f>
        <v/>
      </c>
      <c r="AA992" s="7" t="n"/>
      <c r="AD992" s="11" t="n"/>
      <c r="AF992">
        <f>IF($B992="","",IF(COUNTIF($B$2:$B992,$B992)=1,1,0))</f>
        <v/>
      </c>
      <c r="AG992">
        <f>IF($AF992=1,SUMPRODUCT(--($AJ$2:$AJ$1501&lt;$AJ992))+1,"")</f>
        <v/>
      </c>
      <c r="AH992">
        <f>IF($B992="","",IF(OR($M992=TRUE(),$M992="TRUE"),1,0))</f>
        <v/>
      </c>
      <c r="AI992">
        <f>IF($B992="","",IF($V992="Yes",1,0))</f>
        <v/>
      </c>
      <c r="AJ992">
        <f>IF($AF992=1,IFERROR(IF(VALUE($B992)&lt;100000000,VALUE($B992),1000000000),IFERROR(IF(VALUE(MID($B992,2,20))&lt;100000000,VALUE(MID($B992,2,20)),1000000000),1000000000))+ROW()/100000,"")</f>
        <v/>
      </c>
    </row>
    <row r="993">
      <c r="C993" s="11" t="n"/>
      <c r="J993" s="7">
        <f>IF($B993="","",I993*Q993/100)</f>
        <v/>
      </c>
      <c r="P993" s="7" t="n"/>
      <c r="Q993" s="7" t="n"/>
      <c r="R993" s="7">
        <f>IF($B993="","",Q993*W993/100)</f>
        <v/>
      </c>
      <c r="S993" s="7">
        <f>IF($B993="","",Q993-R993)</f>
        <v/>
      </c>
      <c r="T993" s="7">
        <f>IF($B993="","",S993-J993)</f>
        <v/>
      </c>
      <c r="W993">
        <f>IF($B993="","",IF($AI993=1,0,IF($AH993=1,Settings!$C$6,Settings!$C$7))*100)</f>
        <v/>
      </c>
      <c r="AA993" s="7" t="n"/>
      <c r="AD993" s="11" t="n"/>
      <c r="AF993">
        <f>IF($B993="","",IF(COUNTIF($B$2:$B993,$B993)=1,1,0))</f>
        <v/>
      </c>
      <c r="AG993">
        <f>IF($AF993=1,SUMPRODUCT(--($AJ$2:$AJ$1501&lt;$AJ993))+1,"")</f>
        <v/>
      </c>
      <c r="AH993">
        <f>IF($B993="","",IF(OR($M993=TRUE(),$M993="TRUE"),1,0))</f>
        <v/>
      </c>
      <c r="AI993">
        <f>IF($B993="","",IF($V993="Yes",1,0))</f>
        <v/>
      </c>
      <c r="AJ993">
        <f>IF($AF993=1,IFERROR(IF(VALUE($B993)&lt;100000000,VALUE($B993),1000000000),IFERROR(IF(VALUE(MID($B993,2,20))&lt;100000000,VALUE(MID($B993,2,20)),1000000000),1000000000))+ROW()/100000,"")</f>
        <v/>
      </c>
    </row>
    <row r="994">
      <c r="C994" s="11" t="n"/>
      <c r="J994" s="7">
        <f>IF($B994="","",I994*Q994/100)</f>
        <v/>
      </c>
      <c r="P994" s="7" t="n"/>
      <c r="Q994" s="7" t="n"/>
      <c r="R994" s="7">
        <f>IF($B994="","",Q994*W994/100)</f>
        <v/>
      </c>
      <c r="S994" s="7">
        <f>IF($B994="","",Q994-R994)</f>
        <v/>
      </c>
      <c r="T994" s="7">
        <f>IF($B994="","",S994-J994)</f>
        <v/>
      </c>
      <c r="W994">
        <f>IF($B994="","",IF($AI994=1,0,IF($AH994=1,Settings!$C$6,Settings!$C$7))*100)</f>
        <v/>
      </c>
      <c r="AA994" s="7" t="n"/>
      <c r="AD994" s="11" t="n"/>
      <c r="AF994">
        <f>IF($B994="","",IF(COUNTIF($B$2:$B994,$B994)=1,1,0))</f>
        <v/>
      </c>
      <c r="AG994">
        <f>IF($AF994=1,SUMPRODUCT(--($AJ$2:$AJ$1501&lt;$AJ994))+1,"")</f>
        <v/>
      </c>
      <c r="AH994">
        <f>IF($B994="","",IF(OR($M994=TRUE(),$M994="TRUE"),1,0))</f>
        <v/>
      </c>
      <c r="AI994">
        <f>IF($B994="","",IF($V994="Yes",1,0))</f>
        <v/>
      </c>
      <c r="AJ994">
        <f>IF($AF994=1,IFERROR(IF(VALUE($B994)&lt;100000000,VALUE($B994),1000000000),IFERROR(IF(VALUE(MID($B994,2,20))&lt;100000000,VALUE(MID($B994,2,20)),1000000000),1000000000))+ROW()/100000,"")</f>
        <v/>
      </c>
    </row>
    <row r="995">
      <c r="C995" s="11" t="n"/>
      <c r="J995" s="7">
        <f>IF($B995="","",I995*Q995/100)</f>
        <v/>
      </c>
      <c r="P995" s="7" t="n"/>
      <c r="Q995" s="7" t="n"/>
      <c r="R995" s="7">
        <f>IF($B995="","",Q995*W995/100)</f>
        <v/>
      </c>
      <c r="S995" s="7">
        <f>IF($B995="","",Q995-R995)</f>
        <v/>
      </c>
      <c r="T995" s="7">
        <f>IF($B995="","",S995-J995)</f>
        <v/>
      </c>
      <c r="W995">
        <f>IF($B995="","",IF($AI995=1,0,IF($AH995=1,Settings!$C$6,Settings!$C$7))*100)</f>
        <v/>
      </c>
      <c r="AA995" s="7" t="n"/>
      <c r="AD995" s="11" t="n"/>
      <c r="AF995">
        <f>IF($B995="","",IF(COUNTIF($B$2:$B995,$B995)=1,1,0))</f>
        <v/>
      </c>
      <c r="AG995">
        <f>IF($AF995=1,SUMPRODUCT(--($AJ$2:$AJ$1501&lt;$AJ995))+1,"")</f>
        <v/>
      </c>
      <c r="AH995">
        <f>IF($B995="","",IF(OR($M995=TRUE(),$M995="TRUE"),1,0))</f>
        <v/>
      </c>
      <c r="AI995">
        <f>IF($B995="","",IF($V995="Yes",1,0))</f>
        <v/>
      </c>
      <c r="AJ995">
        <f>IF($AF995=1,IFERROR(IF(VALUE($B995)&lt;100000000,VALUE($B995),1000000000),IFERROR(IF(VALUE(MID($B995,2,20))&lt;100000000,VALUE(MID($B995,2,20)),1000000000),1000000000))+ROW()/100000,"")</f>
        <v/>
      </c>
    </row>
    <row r="996">
      <c r="C996" s="11" t="n"/>
      <c r="J996" s="7">
        <f>IF($B996="","",I996*Q996/100)</f>
        <v/>
      </c>
      <c r="P996" s="7" t="n"/>
      <c r="Q996" s="7" t="n"/>
      <c r="R996" s="7">
        <f>IF($B996="","",Q996*W996/100)</f>
        <v/>
      </c>
      <c r="S996" s="7">
        <f>IF($B996="","",Q996-R996)</f>
        <v/>
      </c>
      <c r="T996" s="7">
        <f>IF($B996="","",S996-J996)</f>
        <v/>
      </c>
      <c r="W996">
        <f>IF($B996="","",IF($AI996=1,0,IF($AH996=1,Settings!$C$6,Settings!$C$7))*100)</f>
        <v/>
      </c>
      <c r="AA996" s="7" t="n"/>
      <c r="AD996" s="11" t="n"/>
      <c r="AF996">
        <f>IF($B996="","",IF(COUNTIF($B$2:$B996,$B996)=1,1,0))</f>
        <v/>
      </c>
      <c r="AG996">
        <f>IF($AF996=1,SUMPRODUCT(--($AJ$2:$AJ$1501&lt;$AJ996))+1,"")</f>
        <v/>
      </c>
      <c r="AH996">
        <f>IF($B996="","",IF(OR($M996=TRUE(),$M996="TRUE"),1,0))</f>
        <v/>
      </c>
      <c r="AI996">
        <f>IF($B996="","",IF($V996="Yes",1,0))</f>
        <v/>
      </c>
      <c r="AJ996">
        <f>IF($AF996=1,IFERROR(IF(VALUE($B996)&lt;100000000,VALUE($B996),1000000000),IFERROR(IF(VALUE(MID($B996,2,20))&lt;100000000,VALUE(MID($B996,2,20)),1000000000),1000000000))+ROW()/100000,"")</f>
        <v/>
      </c>
    </row>
    <row r="997">
      <c r="C997" s="11" t="n"/>
      <c r="J997" s="7">
        <f>IF($B997="","",I997*Q997/100)</f>
        <v/>
      </c>
      <c r="P997" s="7" t="n"/>
      <c r="Q997" s="7" t="n"/>
      <c r="R997" s="7">
        <f>IF($B997="","",Q997*W997/100)</f>
        <v/>
      </c>
      <c r="S997" s="7">
        <f>IF($B997="","",Q997-R997)</f>
        <v/>
      </c>
      <c r="T997" s="7">
        <f>IF($B997="","",S997-J997)</f>
        <v/>
      </c>
      <c r="W997">
        <f>IF($B997="","",IF($AI997=1,0,IF($AH997=1,Settings!$C$6,Settings!$C$7))*100)</f>
        <v/>
      </c>
      <c r="AA997" s="7" t="n"/>
      <c r="AD997" s="11" t="n"/>
      <c r="AF997">
        <f>IF($B997="","",IF(COUNTIF($B$2:$B997,$B997)=1,1,0))</f>
        <v/>
      </c>
      <c r="AG997">
        <f>IF($AF997=1,SUMPRODUCT(--($AJ$2:$AJ$1501&lt;$AJ997))+1,"")</f>
        <v/>
      </c>
      <c r="AH997">
        <f>IF($B997="","",IF(OR($M997=TRUE(),$M997="TRUE"),1,0))</f>
        <v/>
      </c>
      <c r="AI997">
        <f>IF($B997="","",IF($V997="Yes",1,0))</f>
        <v/>
      </c>
      <c r="AJ997">
        <f>IF($AF997=1,IFERROR(IF(VALUE($B997)&lt;100000000,VALUE($B997),1000000000),IFERROR(IF(VALUE(MID($B997,2,20))&lt;100000000,VALUE(MID($B997,2,20)),1000000000),1000000000))+ROW()/100000,"")</f>
        <v/>
      </c>
    </row>
    <row r="998">
      <c r="C998" s="11" t="n"/>
      <c r="J998" s="7">
        <f>IF($B998="","",I998*Q998/100)</f>
        <v/>
      </c>
      <c r="P998" s="7" t="n"/>
      <c r="Q998" s="7" t="n"/>
      <c r="R998" s="7">
        <f>IF($B998="","",Q998*W998/100)</f>
        <v/>
      </c>
      <c r="S998" s="7">
        <f>IF($B998="","",Q998-R998)</f>
        <v/>
      </c>
      <c r="T998" s="7">
        <f>IF($B998="","",S998-J998)</f>
        <v/>
      </c>
      <c r="W998">
        <f>IF($B998="","",IF($AI998=1,0,IF($AH998=1,Settings!$C$6,Settings!$C$7))*100)</f>
        <v/>
      </c>
      <c r="AA998" s="7" t="n"/>
      <c r="AD998" s="11" t="n"/>
      <c r="AF998">
        <f>IF($B998="","",IF(COUNTIF($B$2:$B998,$B998)=1,1,0))</f>
        <v/>
      </c>
      <c r="AG998">
        <f>IF($AF998=1,SUMPRODUCT(--($AJ$2:$AJ$1501&lt;$AJ998))+1,"")</f>
        <v/>
      </c>
      <c r="AH998">
        <f>IF($B998="","",IF(OR($M998=TRUE(),$M998="TRUE"),1,0))</f>
        <v/>
      </c>
      <c r="AI998">
        <f>IF($B998="","",IF($V998="Yes",1,0))</f>
        <v/>
      </c>
      <c r="AJ998">
        <f>IF($AF998=1,IFERROR(IF(VALUE($B998)&lt;100000000,VALUE($B998),1000000000),IFERROR(IF(VALUE(MID($B998,2,20))&lt;100000000,VALUE(MID($B998,2,20)),1000000000),1000000000))+ROW()/100000,"")</f>
        <v/>
      </c>
    </row>
    <row r="999">
      <c r="C999" s="11" t="n"/>
      <c r="J999" s="7">
        <f>IF($B999="","",I999*Q999/100)</f>
        <v/>
      </c>
      <c r="P999" s="7" t="n"/>
      <c r="Q999" s="7" t="n"/>
      <c r="R999" s="7">
        <f>IF($B999="","",Q999*W999/100)</f>
        <v/>
      </c>
      <c r="S999" s="7">
        <f>IF($B999="","",Q999-R999)</f>
        <v/>
      </c>
      <c r="T999" s="7">
        <f>IF($B999="","",S999-J999)</f>
        <v/>
      </c>
      <c r="W999">
        <f>IF($B999="","",IF($AI999=1,0,IF($AH999=1,Settings!$C$6,Settings!$C$7))*100)</f>
        <v/>
      </c>
      <c r="AA999" s="7" t="n"/>
      <c r="AD999" s="11" t="n"/>
      <c r="AF999">
        <f>IF($B999="","",IF(COUNTIF($B$2:$B999,$B999)=1,1,0))</f>
        <v/>
      </c>
      <c r="AG999">
        <f>IF($AF999=1,SUMPRODUCT(--($AJ$2:$AJ$1501&lt;$AJ999))+1,"")</f>
        <v/>
      </c>
      <c r="AH999">
        <f>IF($B999="","",IF(OR($M999=TRUE(),$M999="TRUE"),1,0))</f>
        <v/>
      </c>
      <c r="AI999">
        <f>IF($B999="","",IF($V999="Yes",1,0))</f>
        <v/>
      </c>
      <c r="AJ999">
        <f>IF($AF999=1,IFERROR(IF(VALUE($B999)&lt;100000000,VALUE($B999),1000000000),IFERROR(IF(VALUE(MID($B999,2,20))&lt;100000000,VALUE(MID($B999,2,20)),1000000000),1000000000))+ROW()/100000,"")</f>
        <v/>
      </c>
    </row>
    <row r="1000">
      <c r="C1000" s="11" t="n"/>
      <c r="J1000" s="7">
        <f>IF($B1000="","",I1000*Q1000/100)</f>
        <v/>
      </c>
      <c r="P1000" s="7" t="n"/>
      <c r="Q1000" s="7" t="n"/>
      <c r="R1000" s="7">
        <f>IF($B1000="","",Q1000*W1000/100)</f>
        <v/>
      </c>
      <c r="S1000" s="7">
        <f>IF($B1000="","",Q1000-R1000)</f>
        <v/>
      </c>
      <c r="T1000" s="7">
        <f>IF($B1000="","",S1000-J1000)</f>
        <v/>
      </c>
      <c r="W1000">
        <f>IF($B1000="","",IF($AI1000=1,0,IF($AH1000=1,Settings!$C$6,Settings!$C$7))*100)</f>
        <v/>
      </c>
      <c r="AA1000" s="7" t="n"/>
      <c r="AD1000" s="11" t="n"/>
      <c r="AF1000">
        <f>IF($B1000="","",IF(COUNTIF($B$2:$B1000,$B1000)=1,1,0))</f>
        <v/>
      </c>
      <c r="AG1000">
        <f>IF($AF1000=1,SUMPRODUCT(--($AJ$2:$AJ$1501&lt;$AJ1000))+1,"")</f>
        <v/>
      </c>
      <c r="AH1000">
        <f>IF($B1000="","",IF(OR($M1000=TRUE(),$M1000="TRUE"),1,0))</f>
        <v/>
      </c>
      <c r="AI1000">
        <f>IF($B1000="","",IF($V1000="Yes",1,0))</f>
        <v/>
      </c>
      <c r="AJ1000">
        <f>IF($AF1000=1,IFERROR(IF(VALUE($B1000)&lt;100000000,VALUE($B1000),1000000000),IFERROR(IF(VALUE(MID($B1000,2,20))&lt;100000000,VALUE(MID($B1000,2,20)),1000000000),1000000000))+ROW()/100000,"")</f>
        <v/>
      </c>
    </row>
    <row r="1001">
      <c r="C1001" s="11" t="n"/>
      <c r="J1001" s="7">
        <f>IF($B1001="","",I1001*Q1001/100)</f>
        <v/>
      </c>
      <c r="P1001" s="7" t="n"/>
      <c r="Q1001" s="7" t="n"/>
      <c r="R1001" s="7">
        <f>IF($B1001="","",Q1001*W1001/100)</f>
        <v/>
      </c>
      <c r="S1001" s="7">
        <f>IF($B1001="","",Q1001-R1001)</f>
        <v/>
      </c>
      <c r="T1001" s="7">
        <f>IF($B1001="","",S1001-J1001)</f>
        <v/>
      </c>
      <c r="W1001">
        <f>IF($B1001="","",IF($AI1001=1,0,IF($AH1001=1,Settings!$C$6,Settings!$C$7))*100)</f>
        <v/>
      </c>
      <c r="AA1001" s="7" t="n"/>
      <c r="AD1001" s="11" t="n"/>
      <c r="AF1001">
        <f>IF($B1001="","",IF(COUNTIF($B$2:$B1001,$B1001)=1,1,0))</f>
        <v/>
      </c>
      <c r="AG1001">
        <f>IF($AF1001=1,SUMPRODUCT(--($AJ$2:$AJ$1501&lt;$AJ1001))+1,"")</f>
        <v/>
      </c>
      <c r="AH1001">
        <f>IF($B1001="","",IF(OR($M1001=TRUE(),$M1001="TRUE"),1,0))</f>
        <v/>
      </c>
      <c r="AI1001">
        <f>IF($B1001="","",IF($V1001="Yes",1,0))</f>
        <v/>
      </c>
      <c r="AJ1001">
        <f>IF($AF1001=1,IFERROR(IF(VALUE($B1001)&lt;100000000,VALUE($B1001),1000000000),IFERROR(IF(VALUE(MID($B1001,2,20))&lt;100000000,VALUE(MID($B1001,2,20)),1000000000),1000000000))+ROW()/100000,"")</f>
        <v/>
      </c>
    </row>
    <row r="1002">
      <c r="C1002" s="11" t="n"/>
      <c r="J1002" s="7">
        <f>IF($B1002="","",I1002*Q1002/100)</f>
        <v/>
      </c>
      <c r="P1002" s="7" t="n"/>
      <c r="Q1002" s="7" t="n"/>
      <c r="R1002" s="7">
        <f>IF($B1002="","",Q1002*W1002/100)</f>
        <v/>
      </c>
      <c r="S1002" s="7">
        <f>IF($B1002="","",Q1002-R1002)</f>
        <v/>
      </c>
      <c r="T1002" s="7">
        <f>IF($B1002="","",S1002-J1002)</f>
        <v/>
      </c>
      <c r="W1002">
        <f>IF($B1002="","",IF($AI1002=1,0,IF($AH1002=1,Settings!$C$6,Settings!$C$7))*100)</f>
        <v/>
      </c>
      <c r="AA1002" s="7" t="n"/>
      <c r="AD1002" s="11" t="n"/>
      <c r="AF1002">
        <f>IF($B1002="","",IF(COUNTIF($B$2:$B1002,$B1002)=1,1,0))</f>
        <v/>
      </c>
      <c r="AG1002">
        <f>IF($AF1002=1,SUMPRODUCT(--($AJ$2:$AJ$1501&lt;$AJ1002))+1,"")</f>
        <v/>
      </c>
      <c r="AH1002">
        <f>IF($B1002="","",IF(OR($M1002=TRUE(),$M1002="TRUE"),1,0))</f>
        <v/>
      </c>
      <c r="AI1002">
        <f>IF($B1002="","",IF($V1002="Yes",1,0))</f>
        <v/>
      </c>
      <c r="AJ1002">
        <f>IF($AF1002=1,IFERROR(IF(VALUE($B1002)&lt;100000000,VALUE($B1002),1000000000),IFERROR(IF(VALUE(MID($B1002,2,20))&lt;100000000,VALUE(MID($B1002,2,20)),1000000000),1000000000))+ROW()/100000,"")</f>
        <v/>
      </c>
    </row>
    <row r="1003">
      <c r="C1003" s="11" t="n"/>
      <c r="J1003" s="7">
        <f>IF($B1003="","",I1003*Q1003/100)</f>
        <v/>
      </c>
      <c r="P1003" s="7" t="n"/>
      <c r="Q1003" s="7" t="n"/>
      <c r="R1003" s="7">
        <f>IF($B1003="","",Q1003*W1003/100)</f>
        <v/>
      </c>
      <c r="S1003" s="7">
        <f>IF($B1003="","",Q1003-R1003)</f>
        <v/>
      </c>
      <c r="T1003" s="7">
        <f>IF($B1003="","",S1003-J1003)</f>
        <v/>
      </c>
      <c r="W1003">
        <f>IF($B1003="","",IF($AI1003=1,0,IF($AH1003=1,Settings!$C$6,Settings!$C$7))*100)</f>
        <v/>
      </c>
      <c r="AA1003" s="7" t="n"/>
      <c r="AD1003" s="11" t="n"/>
      <c r="AF1003">
        <f>IF($B1003="","",IF(COUNTIF($B$2:$B1003,$B1003)=1,1,0))</f>
        <v/>
      </c>
      <c r="AG1003">
        <f>IF($AF1003=1,SUMPRODUCT(--($AJ$2:$AJ$1501&lt;$AJ1003))+1,"")</f>
        <v/>
      </c>
      <c r="AH1003">
        <f>IF($B1003="","",IF(OR($M1003=TRUE(),$M1003="TRUE"),1,0))</f>
        <v/>
      </c>
      <c r="AI1003">
        <f>IF($B1003="","",IF($V1003="Yes",1,0))</f>
        <v/>
      </c>
      <c r="AJ1003">
        <f>IF($AF1003=1,IFERROR(IF(VALUE($B1003)&lt;100000000,VALUE($B1003),1000000000),IFERROR(IF(VALUE(MID($B1003,2,20))&lt;100000000,VALUE(MID($B1003,2,20)),1000000000),1000000000))+ROW()/100000,"")</f>
        <v/>
      </c>
    </row>
    <row r="1004">
      <c r="C1004" s="11" t="n"/>
      <c r="J1004" s="7">
        <f>IF($B1004="","",I1004*Q1004/100)</f>
        <v/>
      </c>
      <c r="P1004" s="7" t="n"/>
      <c r="Q1004" s="7" t="n"/>
      <c r="R1004" s="7">
        <f>IF($B1004="","",Q1004*W1004/100)</f>
        <v/>
      </c>
      <c r="S1004" s="7">
        <f>IF($B1004="","",Q1004-R1004)</f>
        <v/>
      </c>
      <c r="T1004" s="7">
        <f>IF($B1004="","",S1004-J1004)</f>
        <v/>
      </c>
      <c r="W1004">
        <f>IF($B1004="","",IF($AI1004=1,0,IF($AH1004=1,Settings!$C$6,Settings!$C$7))*100)</f>
        <v/>
      </c>
      <c r="AA1004" s="7" t="n"/>
      <c r="AD1004" s="11" t="n"/>
      <c r="AF1004">
        <f>IF($B1004="","",IF(COUNTIF($B$2:$B1004,$B1004)=1,1,0))</f>
        <v/>
      </c>
      <c r="AG1004">
        <f>IF($AF1004=1,SUMPRODUCT(--($AJ$2:$AJ$1501&lt;$AJ1004))+1,"")</f>
        <v/>
      </c>
      <c r="AH1004">
        <f>IF($B1004="","",IF(OR($M1004=TRUE(),$M1004="TRUE"),1,0))</f>
        <v/>
      </c>
      <c r="AI1004">
        <f>IF($B1004="","",IF($V1004="Yes",1,0))</f>
        <v/>
      </c>
      <c r="AJ1004">
        <f>IF($AF1004=1,IFERROR(IF(VALUE($B1004)&lt;100000000,VALUE($B1004),1000000000),IFERROR(IF(VALUE(MID($B1004,2,20))&lt;100000000,VALUE(MID($B1004,2,20)),1000000000),1000000000))+ROW()/100000,"")</f>
        <v/>
      </c>
    </row>
    <row r="1005">
      <c r="C1005" s="11" t="n"/>
      <c r="J1005" s="7">
        <f>IF($B1005="","",I1005*Q1005/100)</f>
        <v/>
      </c>
      <c r="P1005" s="7" t="n"/>
      <c r="Q1005" s="7" t="n"/>
      <c r="R1005" s="7">
        <f>IF($B1005="","",Q1005*W1005/100)</f>
        <v/>
      </c>
      <c r="S1005" s="7">
        <f>IF($B1005="","",Q1005-R1005)</f>
        <v/>
      </c>
      <c r="T1005" s="7">
        <f>IF($B1005="","",S1005-J1005)</f>
        <v/>
      </c>
      <c r="W1005">
        <f>IF($B1005="","",IF($AI1005=1,0,IF($AH1005=1,Settings!$C$6,Settings!$C$7))*100)</f>
        <v/>
      </c>
      <c r="AA1005" s="7" t="n"/>
      <c r="AD1005" s="11" t="n"/>
      <c r="AF1005">
        <f>IF($B1005="","",IF(COUNTIF($B$2:$B1005,$B1005)=1,1,0))</f>
        <v/>
      </c>
      <c r="AG1005">
        <f>IF($AF1005=1,SUMPRODUCT(--($AJ$2:$AJ$1501&lt;$AJ1005))+1,"")</f>
        <v/>
      </c>
      <c r="AH1005">
        <f>IF($B1005="","",IF(OR($M1005=TRUE(),$M1005="TRUE"),1,0))</f>
        <v/>
      </c>
      <c r="AI1005">
        <f>IF($B1005="","",IF($V1005="Yes",1,0))</f>
        <v/>
      </c>
      <c r="AJ1005">
        <f>IF($AF1005=1,IFERROR(IF(VALUE($B1005)&lt;100000000,VALUE($B1005),1000000000),IFERROR(IF(VALUE(MID($B1005,2,20))&lt;100000000,VALUE(MID($B1005,2,20)),1000000000),1000000000))+ROW()/100000,"")</f>
        <v/>
      </c>
    </row>
    <row r="1006">
      <c r="C1006" s="11" t="n"/>
      <c r="J1006" s="7">
        <f>IF($B1006="","",I1006*Q1006/100)</f>
        <v/>
      </c>
      <c r="P1006" s="7" t="n"/>
      <c r="Q1006" s="7" t="n"/>
      <c r="R1006" s="7">
        <f>IF($B1006="","",Q1006*W1006/100)</f>
        <v/>
      </c>
      <c r="S1006" s="7">
        <f>IF($B1006="","",Q1006-R1006)</f>
        <v/>
      </c>
      <c r="T1006" s="7">
        <f>IF($B1006="","",S1006-J1006)</f>
        <v/>
      </c>
      <c r="W1006">
        <f>IF($B1006="","",IF($AI1006=1,0,IF($AH1006=1,Settings!$C$6,Settings!$C$7))*100)</f>
        <v/>
      </c>
      <c r="AA1006" s="7" t="n"/>
      <c r="AD1006" s="11" t="n"/>
      <c r="AF1006">
        <f>IF($B1006="","",IF(COUNTIF($B$2:$B1006,$B1006)=1,1,0))</f>
        <v/>
      </c>
      <c r="AG1006">
        <f>IF($AF1006=1,SUMPRODUCT(--($AJ$2:$AJ$1501&lt;$AJ1006))+1,"")</f>
        <v/>
      </c>
      <c r="AH1006">
        <f>IF($B1006="","",IF(OR($M1006=TRUE(),$M1006="TRUE"),1,0))</f>
        <v/>
      </c>
      <c r="AI1006">
        <f>IF($B1006="","",IF($V1006="Yes",1,0))</f>
        <v/>
      </c>
      <c r="AJ1006">
        <f>IF($AF1006=1,IFERROR(IF(VALUE($B1006)&lt;100000000,VALUE($B1006),1000000000),IFERROR(IF(VALUE(MID($B1006,2,20))&lt;100000000,VALUE(MID($B1006,2,20)),1000000000),1000000000))+ROW()/100000,"")</f>
        <v/>
      </c>
    </row>
    <row r="1007">
      <c r="C1007" s="11" t="n"/>
      <c r="J1007" s="7">
        <f>IF($B1007="","",I1007*Q1007/100)</f>
        <v/>
      </c>
      <c r="P1007" s="7" t="n"/>
      <c r="Q1007" s="7" t="n"/>
      <c r="R1007" s="7">
        <f>IF($B1007="","",Q1007*W1007/100)</f>
        <v/>
      </c>
      <c r="S1007" s="7">
        <f>IF($B1007="","",Q1007-R1007)</f>
        <v/>
      </c>
      <c r="T1007" s="7">
        <f>IF($B1007="","",S1007-J1007)</f>
        <v/>
      </c>
      <c r="W1007">
        <f>IF($B1007="","",IF($AI1007=1,0,IF($AH1007=1,Settings!$C$6,Settings!$C$7))*100)</f>
        <v/>
      </c>
      <c r="AA1007" s="7" t="n"/>
      <c r="AD1007" s="11" t="n"/>
      <c r="AF1007">
        <f>IF($B1007="","",IF(COUNTIF($B$2:$B1007,$B1007)=1,1,0))</f>
        <v/>
      </c>
      <c r="AG1007">
        <f>IF($AF1007=1,SUMPRODUCT(--($AJ$2:$AJ$1501&lt;$AJ1007))+1,"")</f>
        <v/>
      </c>
      <c r="AH1007">
        <f>IF($B1007="","",IF(OR($M1007=TRUE(),$M1007="TRUE"),1,0))</f>
        <v/>
      </c>
      <c r="AI1007">
        <f>IF($B1007="","",IF($V1007="Yes",1,0))</f>
        <v/>
      </c>
      <c r="AJ1007">
        <f>IF($AF1007=1,IFERROR(IF(VALUE($B1007)&lt;100000000,VALUE($B1007),1000000000),IFERROR(IF(VALUE(MID($B1007,2,20))&lt;100000000,VALUE(MID($B1007,2,20)),1000000000),1000000000))+ROW()/100000,"")</f>
        <v/>
      </c>
    </row>
    <row r="1008">
      <c r="C1008" s="11" t="n"/>
      <c r="J1008" s="7">
        <f>IF($B1008="","",I1008*Q1008/100)</f>
        <v/>
      </c>
      <c r="P1008" s="7" t="n"/>
      <c r="Q1008" s="7" t="n"/>
      <c r="R1008" s="7">
        <f>IF($B1008="","",Q1008*W1008/100)</f>
        <v/>
      </c>
      <c r="S1008" s="7">
        <f>IF($B1008="","",Q1008-R1008)</f>
        <v/>
      </c>
      <c r="T1008" s="7">
        <f>IF($B1008="","",S1008-J1008)</f>
        <v/>
      </c>
      <c r="W1008">
        <f>IF($B1008="","",IF($AI1008=1,0,IF($AH1008=1,Settings!$C$6,Settings!$C$7))*100)</f>
        <v/>
      </c>
      <c r="AA1008" s="7" t="n"/>
      <c r="AD1008" s="11" t="n"/>
      <c r="AF1008">
        <f>IF($B1008="","",IF(COUNTIF($B$2:$B1008,$B1008)=1,1,0))</f>
        <v/>
      </c>
      <c r="AG1008">
        <f>IF($AF1008=1,SUMPRODUCT(--($AJ$2:$AJ$1501&lt;$AJ1008))+1,"")</f>
        <v/>
      </c>
      <c r="AH1008">
        <f>IF($B1008="","",IF(OR($M1008=TRUE(),$M1008="TRUE"),1,0))</f>
        <v/>
      </c>
      <c r="AI1008">
        <f>IF($B1008="","",IF($V1008="Yes",1,0))</f>
        <v/>
      </c>
      <c r="AJ1008">
        <f>IF($AF1008=1,IFERROR(IF(VALUE($B1008)&lt;100000000,VALUE($B1008),1000000000),IFERROR(IF(VALUE(MID($B1008,2,20))&lt;100000000,VALUE(MID($B1008,2,20)),1000000000),1000000000))+ROW()/100000,"")</f>
        <v/>
      </c>
    </row>
    <row r="1009">
      <c r="C1009" s="11" t="n"/>
      <c r="J1009" s="7">
        <f>IF($B1009="","",I1009*Q1009/100)</f>
        <v/>
      </c>
      <c r="P1009" s="7" t="n"/>
      <c r="Q1009" s="7" t="n"/>
      <c r="R1009" s="7">
        <f>IF($B1009="","",Q1009*W1009/100)</f>
        <v/>
      </c>
      <c r="S1009" s="7">
        <f>IF($B1009="","",Q1009-R1009)</f>
        <v/>
      </c>
      <c r="T1009" s="7">
        <f>IF($B1009="","",S1009-J1009)</f>
        <v/>
      </c>
      <c r="W1009">
        <f>IF($B1009="","",IF($AI1009=1,0,IF($AH1009=1,Settings!$C$6,Settings!$C$7))*100)</f>
        <v/>
      </c>
      <c r="AA1009" s="7" t="n"/>
      <c r="AD1009" s="11" t="n"/>
      <c r="AF1009">
        <f>IF($B1009="","",IF(COUNTIF($B$2:$B1009,$B1009)=1,1,0))</f>
        <v/>
      </c>
      <c r="AG1009">
        <f>IF($AF1009=1,SUMPRODUCT(--($AJ$2:$AJ$1501&lt;$AJ1009))+1,"")</f>
        <v/>
      </c>
      <c r="AH1009">
        <f>IF($B1009="","",IF(OR($M1009=TRUE(),$M1009="TRUE"),1,0))</f>
        <v/>
      </c>
      <c r="AI1009">
        <f>IF($B1009="","",IF($V1009="Yes",1,0))</f>
        <v/>
      </c>
      <c r="AJ1009">
        <f>IF($AF1009=1,IFERROR(IF(VALUE($B1009)&lt;100000000,VALUE($B1009),1000000000),IFERROR(IF(VALUE(MID($B1009,2,20))&lt;100000000,VALUE(MID($B1009,2,20)),1000000000),1000000000))+ROW()/100000,"")</f>
        <v/>
      </c>
    </row>
    <row r="1010">
      <c r="C1010" s="11" t="n"/>
      <c r="J1010" s="7">
        <f>IF($B1010="","",I1010*Q1010/100)</f>
        <v/>
      </c>
      <c r="P1010" s="7" t="n"/>
      <c r="Q1010" s="7" t="n"/>
      <c r="R1010" s="7">
        <f>IF($B1010="","",Q1010*W1010/100)</f>
        <v/>
      </c>
      <c r="S1010" s="7">
        <f>IF($B1010="","",Q1010-R1010)</f>
        <v/>
      </c>
      <c r="T1010" s="7">
        <f>IF($B1010="","",S1010-J1010)</f>
        <v/>
      </c>
      <c r="W1010">
        <f>IF($B1010="","",IF($AI1010=1,0,IF($AH1010=1,Settings!$C$6,Settings!$C$7))*100)</f>
        <v/>
      </c>
      <c r="AA1010" s="7" t="n"/>
      <c r="AD1010" s="11" t="n"/>
      <c r="AF1010">
        <f>IF($B1010="","",IF(COUNTIF($B$2:$B1010,$B1010)=1,1,0))</f>
        <v/>
      </c>
      <c r="AG1010">
        <f>IF($AF1010=1,SUMPRODUCT(--($AJ$2:$AJ$1501&lt;$AJ1010))+1,"")</f>
        <v/>
      </c>
      <c r="AH1010">
        <f>IF($B1010="","",IF(OR($M1010=TRUE(),$M1010="TRUE"),1,0))</f>
        <v/>
      </c>
      <c r="AI1010">
        <f>IF($B1010="","",IF($V1010="Yes",1,0))</f>
        <v/>
      </c>
      <c r="AJ1010">
        <f>IF($AF1010=1,IFERROR(IF(VALUE($B1010)&lt;100000000,VALUE($B1010),1000000000),IFERROR(IF(VALUE(MID($B1010,2,20))&lt;100000000,VALUE(MID($B1010,2,20)),1000000000),1000000000))+ROW()/100000,"")</f>
        <v/>
      </c>
    </row>
    <row r="1011">
      <c r="C1011" s="11" t="n"/>
      <c r="J1011" s="7">
        <f>IF($B1011="","",I1011*Q1011/100)</f>
        <v/>
      </c>
      <c r="P1011" s="7" t="n"/>
      <c r="Q1011" s="7" t="n"/>
      <c r="R1011" s="7">
        <f>IF($B1011="","",Q1011*W1011/100)</f>
        <v/>
      </c>
      <c r="S1011" s="7">
        <f>IF($B1011="","",Q1011-R1011)</f>
        <v/>
      </c>
      <c r="T1011" s="7">
        <f>IF($B1011="","",S1011-J1011)</f>
        <v/>
      </c>
      <c r="W1011">
        <f>IF($B1011="","",IF($AI1011=1,0,IF($AH1011=1,Settings!$C$6,Settings!$C$7))*100)</f>
        <v/>
      </c>
      <c r="AA1011" s="7" t="n"/>
      <c r="AD1011" s="11" t="n"/>
      <c r="AF1011">
        <f>IF($B1011="","",IF(COUNTIF($B$2:$B1011,$B1011)=1,1,0))</f>
        <v/>
      </c>
      <c r="AG1011">
        <f>IF($AF1011=1,SUMPRODUCT(--($AJ$2:$AJ$1501&lt;$AJ1011))+1,"")</f>
        <v/>
      </c>
      <c r="AH1011">
        <f>IF($B1011="","",IF(OR($M1011=TRUE(),$M1011="TRUE"),1,0))</f>
        <v/>
      </c>
      <c r="AI1011">
        <f>IF($B1011="","",IF($V1011="Yes",1,0))</f>
        <v/>
      </c>
      <c r="AJ1011">
        <f>IF($AF1011=1,IFERROR(IF(VALUE($B1011)&lt;100000000,VALUE($B1011),1000000000),IFERROR(IF(VALUE(MID($B1011,2,20))&lt;100000000,VALUE(MID($B1011,2,20)),1000000000),1000000000))+ROW()/100000,"")</f>
        <v/>
      </c>
    </row>
    <row r="1012">
      <c r="C1012" s="11" t="n"/>
      <c r="J1012" s="7">
        <f>IF($B1012="","",I1012*Q1012/100)</f>
        <v/>
      </c>
      <c r="P1012" s="7" t="n"/>
      <c r="Q1012" s="7" t="n"/>
      <c r="R1012" s="7">
        <f>IF($B1012="","",Q1012*W1012/100)</f>
        <v/>
      </c>
      <c r="S1012" s="7">
        <f>IF($B1012="","",Q1012-R1012)</f>
        <v/>
      </c>
      <c r="T1012" s="7">
        <f>IF($B1012="","",S1012-J1012)</f>
        <v/>
      </c>
      <c r="W1012">
        <f>IF($B1012="","",IF($AI1012=1,0,IF($AH1012=1,Settings!$C$6,Settings!$C$7))*100)</f>
        <v/>
      </c>
      <c r="AA1012" s="7" t="n"/>
      <c r="AD1012" s="11" t="n"/>
      <c r="AF1012">
        <f>IF($B1012="","",IF(COUNTIF($B$2:$B1012,$B1012)=1,1,0))</f>
        <v/>
      </c>
      <c r="AG1012">
        <f>IF($AF1012=1,SUMPRODUCT(--($AJ$2:$AJ$1501&lt;$AJ1012))+1,"")</f>
        <v/>
      </c>
      <c r="AH1012">
        <f>IF($B1012="","",IF(OR($M1012=TRUE(),$M1012="TRUE"),1,0))</f>
        <v/>
      </c>
      <c r="AI1012">
        <f>IF($B1012="","",IF($V1012="Yes",1,0))</f>
        <v/>
      </c>
      <c r="AJ1012">
        <f>IF($AF1012=1,IFERROR(IF(VALUE($B1012)&lt;100000000,VALUE($B1012),1000000000),IFERROR(IF(VALUE(MID($B1012,2,20))&lt;100000000,VALUE(MID($B1012,2,20)),1000000000),1000000000))+ROW()/100000,"")</f>
        <v/>
      </c>
    </row>
    <row r="1013">
      <c r="C1013" s="11" t="n"/>
      <c r="J1013" s="7">
        <f>IF($B1013="","",I1013*Q1013/100)</f>
        <v/>
      </c>
      <c r="P1013" s="7" t="n"/>
      <c r="Q1013" s="7" t="n"/>
      <c r="R1013" s="7">
        <f>IF($B1013="","",Q1013*W1013/100)</f>
        <v/>
      </c>
      <c r="S1013" s="7">
        <f>IF($B1013="","",Q1013-R1013)</f>
        <v/>
      </c>
      <c r="T1013" s="7">
        <f>IF($B1013="","",S1013-J1013)</f>
        <v/>
      </c>
      <c r="W1013">
        <f>IF($B1013="","",IF($AI1013=1,0,IF($AH1013=1,Settings!$C$6,Settings!$C$7))*100)</f>
        <v/>
      </c>
      <c r="AA1013" s="7" t="n"/>
      <c r="AD1013" s="11" t="n"/>
      <c r="AF1013">
        <f>IF($B1013="","",IF(COUNTIF($B$2:$B1013,$B1013)=1,1,0))</f>
        <v/>
      </c>
      <c r="AG1013">
        <f>IF($AF1013=1,SUMPRODUCT(--($AJ$2:$AJ$1501&lt;$AJ1013))+1,"")</f>
        <v/>
      </c>
      <c r="AH1013">
        <f>IF($B1013="","",IF(OR($M1013=TRUE(),$M1013="TRUE"),1,0))</f>
        <v/>
      </c>
      <c r="AI1013">
        <f>IF($B1013="","",IF($V1013="Yes",1,0))</f>
        <v/>
      </c>
      <c r="AJ1013">
        <f>IF($AF1013=1,IFERROR(IF(VALUE($B1013)&lt;100000000,VALUE($B1013),1000000000),IFERROR(IF(VALUE(MID($B1013,2,20))&lt;100000000,VALUE(MID($B1013,2,20)),1000000000),1000000000))+ROW()/100000,"")</f>
        <v/>
      </c>
    </row>
    <row r="1014">
      <c r="C1014" s="11" t="n"/>
      <c r="J1014" s="7">
        <f>IF($B1014="","",I1014*Q1014/100)</f>
        <v/>
      </c>
      <c r="P1014" s="7" t="n"/>
      <c r="Q1014" s="7" t="n"/>
      <c r="R1014" s="7">
        <f>IF($B1014="","",Q1014*W1014/100)</f>
        <v/>
      </c>
      <c r="S1014" s="7">
        <f>IF($B1014="","",Q1014-R1014)</f>
        <v/>
      </c>
      <c r="T1014" s="7">
        <f>IF($B1014="","",S1014-J1014)</f>
        <v/>
      </c>
      <c r="W1014">
        <f>IF($B1014="","",IF($AI1014=1,0,IF($AH1014=1,Settings!$C$6,Settings!$C$7))*100)</f>
        <v/>
      </c>
      <c r="AA1014" s="7" t="n"/>
      <c r="AD1014" s="11" t="n"/>
      <c r="AF1014">
        <f>IF($B1014="","",IF(COUNTIF($B$2:$B1014,$B1014)=1,1,0))</f>
        <v/>
      </c>
      <c r="AG1014">
        <f>IF($AF1014=1,SUMPRODUCT(--($AJ$2:$AJ$1501&lt;$AJ1014))+1,"")</f>
        <v/>
      </c>
      <c r="AH1014">
        <f>IF($B1014="","",IF(OR($M1014=TRUE(),$M1014="TRUE"),1,0))</f>
        <v/>
      </c>
      <c r="AI1014">
        <f>IF($B1014="","",IF($V1014="Yes",1,0))</f>
        <v/>
      </c>
      <c r="AJ1014">
        <f>IF($AF1014=1,IFERROR(IF(VALUE($B1014)&lt;100000000,VALUE($B1014),1000000000),IFERROR(IF(VALUE(MID($B1014,2,20))&lt;100000000,VALUE(MID($B1014,2,20)),1000000000),1000000000))+ROW()/100000,"")</f>
        <v/>
      </c>
    </row>
    <row r="1015">
      <c r="C1015" s="11" t="n"/>
      <c r="J1015" s="7">
        <f>IF($B1015="","",I1015*Q1015/100)</f>
        <v/>
      </c>
      <c r="P1015" s="7" t="n"/>
      <c r="Q1015" s="7" t="n"/>
      <c r="R1015" s="7">
        <f>IF($B1015="","",Q1015*W1015/100)</f>
        <v/>
      </c>
      <c r="S1015" s="7">
        <f>IF($B1015="","",Q1015-R1015)</f>
        <v/>
      </c>
      <c r="T1015" s="7">
        <f>IF($B1015="","",S1015-J1015)</f>
        <v/>
      </c>
      <c r="W1015">
        <f>IF($B1015="","",IF($AI1015=1,0,IF($AH1015=1,Settings!$C$6,Settings!$C$7))*100)</f>
        <v/>
      </c>
      <c r="AA1015" s="7" t="n"/>
      <c r="AD1015" s="11" t="n"/>
      <c r="AF1015">
        <f>IF($B1015="","",IF(COUNTIF($B$2:$B1015,$B1015)=1,1,0))</f>
        <v/>
      </c>
      <c r="AG1015">
        <f>IF($AF1015=1,SUMPRODUCT(--($AJ$2:$AJ$1501&lt;$AJ1015))+1,"")</f>
        <v/>
      </c>
      <c r="AH1015">
        <f>IF($B1015="","",IF(OR($M1015=TRUE(),$M1015="TRUE"),1,0))</f>
        <v/>
      </c>
      <c r="AI1015">
        <f>IF($B1015="","",IF($V1015="Yes",1,0))</f>
        <v/>
      </c>
      <c r="AJ1015">
        <f>IF($AF1015=1,IFERROR(IF(VALUE($B1015)&lt;100000000,VALUE($B1015),1000000000),IFERROR(IF(VALUE(MID($B1015,2,20))&lt;100000000,VALUE(MID($B1015,2,20)),1000000000),1000000000))+ROW()/100000,"")</f>
        <v/>
      </c>
    </row>
    <row r="1016">
      <c r="C1016" s="11" t="n"/>
      <c r="J1016" s="7">
        <f>IF($B1016="","",I1016*Q1016/100)</f>
        <v/>
      </c>
      <c r="P1016" s="7" t="n"/>
      <c r="Q1016" s="7" t="n"/>
      <c r="R1016" s="7">
        <f>IF($B1016="","",Q1016*W1016/100)</f>
        <v/>
      </c>
      <c r="S1016" s="7">
        <f>IF($B1016="","",Q1016-R1016)</f>
        <v/>
      </c>
      <c r="T1016" s="7">
        <f>IF($B1016="","",S1016-J1016)</f>
        <v/>
      </c>
      <c r="W1016">
        <f>IF($B1016="","",IF($AI1016=1,0,IF($AH1016=1,Settings!$C$6,Settings!$C$7))*100)</f>
        <v/>
      </c>
      <c r="AA1016" s="7" t="n"/>
      <c r="AD1016" s="11" t="n"/>
      <c r="AF1016">
        <f>IF($B1016="","",IF(COUNTIF($B$2:$B1016,$B1016)=1,1,0))</f>
        <v/>
      </c>
      <c r="AG1016">
        <f>IF($AF1016=1,SUMPRODUCT(--($AJ$2:$AJ$1501&lt;$AJ1016))+1,"")</f>
        <v/>
      </c>
      <c r="AH1016">
        <f>IF($B1016="","",IF(OR($M1016=TRUE(),$M1016="TRUE"),1,0))</f>
        <v/>
      </c>
      <c r="AI1016">
        <f>IF($B1016="","",IF($V1016="Yes",1,0))</f>
        <v/>
      </c>
      <c r="AJ1016">
        <f>IF($AF1016=1,IFERROR(IF(VALUE($B1016)&lt;100000000,VALUE($B1016),1000000000),IFERROR(IF(VALUE(MID($B1016,2,20))&lt;100000000,VALUE(MID($B1016,2,20)),1000000000),1000000000))+ROW()/100000,"")</f>
        <v/>
      </c>
    </row>
    <row r="1017">
      <c r="C1017" s="11" t="n"/>
      <c r="J1017" s="7">
        <f>IF($B1017="","",I1017*Q1017/100)</f>
        <v/>
      </c>
      <c r="P1017" s="7" t="n"/>
      <c r="Q1017" s="7" t="n"/>
      <c r="R1017" s="7">
        <f>IF($B1017="","",Q1017*W1017/100)</f>
        <v/>
      </c>
      <c r="S1017" s="7">
        <f>IF($B1017="","",Q1017-R1017)</f>
        <v/>
      </c>
      <c r="T1017" s="7">
        <f>IF($B1017="","",S1017-J1017)</f>
        <v/>
      </c>
      <c r="W1017">
        <f>IF($B1017="","",IF($AI1017=1,0,IF($AH1017=1,Settings!$C$6,Settings!$C$7))*100)</f>
        <v/>
      </c>
      <c r="AA1017" s="7" t="n"/>
      <c r="AD1017" s="11" t="n"/>
      <c r="AF1017">
        <f>IF($B1017="","",IF(COUNTIF($B$2:$B1017,$B1017)=1,1,0))</f>
        <v/>
      </c>
      <c r="AG1017">
        <f>IF($AF1017=1,SUMPRODUCT(--($AJ$2:$AJ$1501&lt;$AJ1017))+1,"")</f>
        <v/>
      </c>
      <c r="AH1017">
        <f>IF($B1017="","",IF(OR($M1017=TRUE(),$M1017="TRUE"),1,0))</f>
        <v/>
      </c>
      <c r="AI1017">
        <f>IF($B1017="","",IF($V1017="Yes",1,0))</f>
        <v/>
      </c>
      <c r="AJ1017">
        <f>IF($AF1017=1,IFERROR(IF(VALUE($B1017)&lt;100000000,VALUE($B1017),1000000000),IFERROR(IF(VALUE(MID($B1017,2,20))&lt;100000000,VALUE(MID($B1017,2,20)),1000000000),1000000000))+ROW()/100000,"")</f>
        <v/>
      </c>
    </row>
    <row r="1018">
      <c r="C1018" s="11" t="n"/>
      <c r="J1018" s="7">
        <f>IF($B1018="","",I1018*Q1018/100)</f>
        <v/>
      </c>
      <c r="P1018" s="7" t="n"/>
      <c r="Q1018" s="7" t="n"/>
      <c r="R1018" s="7">
        <f>IF($B1018="","",Q1018*W1018/100)</f>
        <v/>
      </c>
      <c r="S1018" s="7">
        <f>IF($B1018="","",Q1018-R1018)</f>
        <v/>
      </c>
      <c r="T1018" s="7">
        <f>IF($B1018="","",S1018-J1018)</f>
        <v/>
      </c>
      <c r="W1018">
        <f>IF($B1018="","",IF($AI1018=1,0,IF($AH1018=1,Settings!$C$6,Settings!$C$7))*100)</f>
        <v/>
      </c>
      <c r="AA1018" s="7" t="n"/>
      <c r="AD1018" s="11" t="n"/>
      <c r="AF1018">
        <f>IF($B1018="","",IF(COUNTIF($B$2:$B1018,$B1018)=1,1,0))</f>
        <v/>
      </c>
      <c r="AG1018">
        <f>IF($AF1018=1,SUMPRODUCT(--($AJ$2:$AJ$1501&lt;$AJ1018))+1,"")</f>
        <v/>
      </c>
      <c r="AH1018">
        <f>IF($B1018="","",IF(OR($M1018=TRUE(),$M1018="TRUE"),1,0))</f>
        <v/>
      </c>
      <c r="AI1018">
        <f>IF($B1018="","",IF($V1018="Yes",1,0))</f>
        <v/>
      </c>
      <c r="AJ1018">
        <f>IF($AF1018=1,IFERROR(IF(VALUE($B1018)&lt;100000000,VALUE($B1018),1000000000),IFERROR(IF(VALUE(MID($B1018,2,20))&lt;100000000,VALUE(MID($B1018,2,20)),1000000000),1000000000))+ROW()/100000,"")</f>
        <v/>
      </c>
    </row>
    <row r="1019">
      <c r="C1019" s="11" t="n"/>
      <c r="J1019" s="7">
        <f>IF($B1019="","",I1019*Q1019/100)</f>
        <v/>
      </c>
      <c r="P1019" s="7" t="n"/>
      <c r="Q1019" s="7" t="n"/>
      <c r="R1019" s="7">
        <f>IF($B1019="","",Q1019*W1019/100)</f>
        <v/>
      </c>
      <c r="S1019" s="7">
        <f>IF($B1019="","",Q1019-R1019)</f>
        <v/>
      </c>
      <c r="T1019" s="7">
        <f>IF($B1019="","",S1019-J1019)</f>
        <v/>
      </c>
      <c r="W1019">
        <f>IF($B1019="","",IF($AI1019=1,0,IF($AH1019=1,Settings!$C$6,Settings!$C$7))*100)</f>
        <v/>
      </c>
      <c r="AA1019" s="7" t="n"/>
      <c r="AD1019" s="11" t="n"/>
      <c r="AF1019">
        <f>IF($B1019="","",IF(COUNTIF($B$2:$B1019,$B1019)=1,1,0))</f>
        <v/>
      </c>
      <c r="AG1019">
        <f>IF($AF1019=1,SUMPRODUCT(--($AJ$2:$AJ$1501&lt;$AJ1019))+1,"")</f>
        <v/>
      </c>
      <c r="AH1019">
        <f>IF($B1019="","",IF(OR($M1019=TRUE(),$M1019="TRUE"),1,0))</f>
        <v/>
      </c>
      <c r="AI1019">
        <f>IF($B1019="","",IF($V1019="Yes",1,0))</f>
        <v/>
      </c>
      <c r="AJ1019">
        <f>IF($AF1019=1,IFERROR(IF(VALUE($B1019)&lt;100000000,VALUE($B1019),1000000000),IFERROR(IF(VALUE(MID($B1019,2,20))&lt;100000000,VALUE(MID($B1019,2,20)),1000000000),1000000000))+ROW()/100000,"")</f>
        <v/>
      </c>
    </row>
    <row r="1020">
      <c r="C1020" s="11" t="n"/>
      <c r="J1020" s="7">
        <f>IF($B1020="","",I1020*Q1020/100)</f>
        <v/>
      </c>
      <c r="P1020" s="7" t="n"/>
      <c r="Q1020" s="7" t="n"/>
      <c r="R1020" s="7">
        <f>IF($B1020="","",Q1020*W1020/100)</f>
        <v/>
      </c>
      <c r="S1020" s="7">
        <f>IF($B1020="","",Q1020-R1020)</f>
        <v/>
      </c>
      <c r="T1020" s="7">
        <f>IF($B1020="","",S1020-J1020)</f>
        <v/>
      </c>
      <c r="W1020">
        <f>IF($B1020="","",IF($AI1020=1,0,IF($AH1020=1,Settings!$C$6,Settings!$C$7))*100)</f>
        <v/>
      </c>
      <c r="AA1020" s="7" t="n"/>
      <c r="AD1020" s="11" t="n"/>
      <c r="AF1020">
        <f>IF($B1020="","",IF(COUNTIF($B$2:$B1020,$B1020)=1,1,0))</f>
        <v/>
      </c>
      <c r="AG1020">
        <f>IF($AF1020=1,SUMPRODUCT(--($AJ$2:$AJ$1501&lt;$AJ1020))+1,"")</f>
        <v/>
      </c>
      <c r="AH1020">
        <f>IF($B1020="","",IF(OR($M1020=TRUE(),$M1020="TRUE"),1,0))</f>
        <v/>
      </c>
      <c r="AI1020">
        <f>IF($B1020="","",IF($V1020="Yes",1,0))</f>
        <v/>
      </c>
      <c r="AJ1020">
        <f>IF($AF1020=1,IFERROR(IF(VALUE($B1020)&lt;100000000,VALUE($B1020),1000000000),IFERROR(IF(VALUE(MID($B1020,2,20))&lt;100000000,VALUE(MID($B1020,2,20)),1000000000),1000000000))+ROW()/100000,"")</f>
        <v/>
      </c>
    </row>
    <row r="1021">
      <c r="C1021" s="11" t="n"/>
      <c r="J1021" s="7">
        <f>IF($B1021="","",I1021*Q1021/100)</f>
        <v/>
      </c>
      <c r="P1021" s="7" t="n"/>
      <c r="Q1021" s="7" t="n"/>
      <c r="R1021" s="7">
        <f>IF($B1021="","",Q1021*W1021/100)</f>
        <v/>
      </c>
      <c r="S1021" s="7">
        <f>IF($B1021="","",Q1021-R1021)</f>
        <v/>
      </c>
      <c r="T1021" s="7">
        <f>IF($B1021="","",S1021-J1021)</f>
        <v/>
      </c>
      <c r="W1021">
        <f>IF($B1021="","",IF($AI1021=1,0,IF($AH1021=1,Settings!$C$6,Settings!$C$7))*100)</f>
        <v/>
      </c>
      <c r="AA1021" s="7" t="n"/>
      <c r="AD1021" s="11" t="n"/>
      <c r="AF1021">
        <f>IF($B1021="","",IF(COUNTIF($B$2:$B1021,$B1021)=1,1,0))</f>
        <v/>
      </c>
      <c r="AG1021">
        <f>IF($AF1021=1,SUMPRODUCT(--($AJ$2:$AJ$1501&lt;$AJ1021))+1,"")</f>
        <v/>
      </c>
      <c r="AH1021">
        <f>IF($B1021="","",IF(OR($M1021=TRUE(),$M1021="TRUE"),1,0))</f>
        <v/>
      </c>
      <c r="AI1021">
        <f>IF($B1021="","",IF($V1021="Yes",1,0))</f>
        <v/>
      </c>
      <c r="AJ1021">
        <f>IF($AF1021=1,IFERROR(IF(VALUE($B1021)&lt;100000000,VALUE($B1021),1000000000),IFERROR(IF(VALUE(MID($B1021,2,20))&lt;100000000,VALUE(MID($B1021,2,20)),1000000000),1000000000))+ROW()/100000,"")</f>
        <v/>
      </c>
    </row>
    <row r="1022">
      <c r="C1022" s="11" t="n"/>
      <c r="J1022" s="7">
        <f>IF($B1022="","",I1022*Q1022/100)</f>
        <v/>
      </c>
      <c r="P1022" s="7" t="n"/>
      <c r="Q1022" s="7" t="n"/>
      <c r="R1022" s="7">
        <f>IF($B1022="","",Q1022*W1022/100)</f>
        <v/>
      </c>
      <c r="S1022" s="7">
        <f>IF($B1022="","",Q1022-R1022)</f>
        <v/>
      </c>
      <c r="T1022" s="7">
        <f>IF($B1022="","",S1022-J1022)</f>
        <v/>
      </c>
      <c r="W1022">
        <f>IF($B1022="","",IF($AI1022=1,0,IF($AH1022=1,Settings!$C$6,Settings!$C$7))*100)</f>
        <v/>
      </c>
      <c r="AA1022" s="7" t="n"/>
      <c r="AD1022" s="11" t="n"/>
      <c r="AF1022">
        <f>IF($B1022="","",IF(COUNTIF($B$2:$B1022,$B1022)=1,1,0))</f>
        <v/>
      </c>
      <c r="AG1022">
        <f>IF($AF1022=1,SUMPRODUCT(--($AJ$2:$AJ$1501&lt;$AJ1022))+1,"")</f>
        <v/>
      </c>
      <c r="AH1022">
        <f>IF($B1022="","",IF(OR($M1022=TRUE(),$M1022="TRUE"),1,0))</f>
        <v/>
      </c>
      <c r="AI1022">
        <f>IF($B1022="","",IF($V1022="Yes",1,0))</f>
        <v/>
      </c>
      <c r="AJ1022">
        <f>IF($AF1022=1,IFERROR(IF(VALUE($B1022)&lt;100000000,VALUE($B1022),1000000000),IFERROR(IF(VALUE(MID($B1022,2,20))&lt;100000000,VALUE(MID($B1022,2,20)),1000000000),1000000000))+ROW()/100000,"")</f>
        <v/>
      </c>
    </row>
    <row r="1023">
      <c r="C1023" s="11" t="n"/>
      <c r="J1023" s="7">
        <f>IF($B1023="","",I1023*Q1023/100)</f>
        <v/>
      </c>
      <c r="P1023" s="7" t="n"/>
      <c r="Q1023" s="7" t="n"/>
      <c r="R1023" s="7">
        <f>IF($B1023="","",Q1023*W1023/100)</f>
        <v/>
      </c>
      <c r="S1023" s="7">
        <f>IF($B1023="","",Q1023-R1023)</f>
        <v/>
      </c>
      <c r="T1023" s="7">
        <f>IF($B1023="","",S1023-J1023)</f>
        <v/>
      </c>
      <c r="W1023">
        <f>IF($B1023="","",IF($AI1023=1,0,IF($AH1023=1,Settings!$C$6,Settings!$C$7))*100)</f>
        <v/>
      </c>
      <c r="AA1023" s="7" t="n"/>
      <c r="AD1023" s="11" t="n"/>
      <c r="AF1023">
        <f>IF($B1023="","",IF(COUNTIF($B$2:$B1023,$B1023)=1,1,0))</f>
        <v/>
      </c>
      <c r="AG1023">
        <f>IF($AF1023=1,SUMPRODUCT(--($AJ$2:$AJ$1501&lt;$AJ1023))+1,"")</f>
        <v/>
      </c>
      <c r="AH1023">
        <f>IF($B1023="","",IF(OR($M1023=TRUE(),$M1023="TRUE"),1,0))</f>
        <v/>
      </c>
      <c r="AI1023">
        <f>IF($B1023="","",IF($V1023="Yes",1,0))</f>
        <v/>
      </c>
      <c r="AJ1023">
        <f>IF($AF1023=1,IFERROR(IF(VALUE($B1023)&lt;100000000,VALUE($B1023),1000000000),IFERROR(IF(VALUE(MID($B1023,2,20))&lt;100000000,VALUE(MID($B1023,2,20)),1000000000),1000000000))+ROW()/100000,"")</f>
        <v/>
      </c>
    </row>
    <row r="1024">
      <c r="C1024" s="11" t="n"/>
      <c r="J1024" s="7">
        <f>IF($B1024="","",I1024*Q1024/100)</f>
        <v/>
      </c>
      <c r="P1024" s="7" t="n"/>
      <c r="Q1024" s="7" t="n"/>
      <c r="R1024" s="7">
        <f>IF($B1024="","",Q1024*W1024/100)</f>
        <v/>
      </c>
      <c r="S1024" s="7">
        <f>IF($B1024="","",Q1024-R1024)</f>
        <v/>
      </c>
      <c r="T1024" s="7">
        <f>IF($B1024="","",S1024-J1024)</f>
        <v/>
      </c>
      <c r="W1024">
        <f>IF($B1024="","",IF($AI1024=1,0,IF($AH1024=1,Settings!$C$6,Settings!$C$7))*100)</f>
        <v/>
      </c>
      <c r="AA1024" s="7" t="n"/>
      <c r="AD1024" s="11" t="n"/>
      <c r="AF1024">
        <f>IF($B1024="","",IF(COUNTIF($B$2:$B1024,$B1024)=1,1,0))</f>
        <v/>
      </c>
      <c r="AG1024">
        <f>IF($AF1024=1,SUMPRODUCT(--($AJ$2:$AJ$1501&lt;$AJ1024))+1,"")</f>
        <v/>
      </c>
      <c r="AH1024">
        <f>IF($B1024="","",IF(OR($M1024=TRUE(),$M1024="TRUE"),1,0))</f>
        <v/>
      </c>
      <c r="AI1024">
        <f>IF($B1024="","",IF($V1024="Yes",1,0))</f>
        <v/>
      </c>
      <c r="AJ1024">
        <f>IF($AF1024=1,IFERROR(IF(VALUE($B1024)&lt;100000000,VALUE($B1024),1000000000),IFERROR(IF(VALUE(MID($B1024,2,20))&lt;100000000,VALUE(MID($B1024,2,20)),1000000000),1000000000))+ROW()/100000,"")</f>
        <v/>
      </c>
    </row>
    <row r="1025">
      <c r="C1025" s="11" t="n"/>
      <c r="J1025" s="7">
        <f>IF($B1025="","",I1025*Q1025/100)</f>
        <v/>
      </c>
      <c r="P1025" s="7" t="n"/>
      <c r="Q1025" s="7" t="n"/>
      <c r="R1025" s="7">
        <f>IF($B1025="","",Q1025*W1025/100)</f>
        <v/>
      </c>
      <c r="S1025" s="7">
        <f>IF($B1025="","",Q1025-R1025)</f>
        <v/>
      </c>
      <c r="T1025" s="7">
        <f>IF($B1025="","",S1025-J1025)</f>
        <v/>
      </c>
      <c r="W1025">
        <f>IF($B1025="","",IF($AI1025=1,0,IF($AH1025=1,Settings!$C$6,Settings!$C$7))*100)</f>
        <v/>
      </c>
      <c r="AA1025" s="7" t="n"/>
      <c r="AD1025" s="11" t="n"/>
      <c r="AF1025">
        <f>IF($B1025="","",IF(COUNTIF($B$2:$B1025,$B1025)=1,1,0))</f>
        <v/>
      </c>
      <c r="AG1025">
        <f>IF($AF1025=1,SUMPRODUCT(--($AJ$2:$AJ$1501&lt;$AJ1025))+1,"")</f>
        <v/>
      </c>
      <c r="AH1025">
        <f>IF($B1025="","",IF(OR($M1025=TRUE(),$M1025="TRUE"),1,0))</f>
        <v/>
      </c>
      <c r="AI1025">
        <f>IF($B1025="","",IF($V1025="Yes",1,0))</f>
        <v/>
      </c>
      <c r="AJ1025">
        <f>IF($AF1025=1,IFERROR(IF(VALUE($B1025)&lt;100000000,VALUE($B1025),1000000000),IFERROR(IF(VALUE(MID($B1025,2,20))&lt;100000000,VALUE(MID($B1025,2,20)),1000000000),1000000000))+ROW()/100000,"")</f>
        <v/>
      </c>
    </row>
    <row r="1026">
      <c r="C1026" s="11" t="n"/>
      <c r="J1026" s="7">
        <f>IF($B1026="","",I1026*Q1026/100)</f>
        <v/>
      </c>
      <c r="P1026" s="7" t="n"/>
      <c r="Q1026" s="7" t="n"/>
      <c r="R1026" s="7">
        <f>IF($B1026="","",Q1026*W1026/100)</f>
        <v/>
      </c>
      <c r="S1026" s="7">
        <f>IF($B1026="","",Q1026-R1026)</f>
        <v/>
      </c>
      <c r="T1026" s="7">
        <f>IF($B1026="","",S1026-J1026)</f>
        <v/>
      </c>
      <c r="W1026">
        <f>IF($B1026="","",IF($AI1026=1,0,IF($AH1026=1,Settings!$C$6,Settings!$C$7))*100)</f>
        <v/>
      </c>
      <c r="AA1026" s="7" t="n"/>
      <c r="AD1026" s="11" t="n"/>
      <c r="AF1026">
        <f>IF($B1026="","",IF(COUNTIF($B$2:$B1026,$B1026)=1,1,0))</f>
        <v/>
      </c>
      <c r="AG1026">
        <f>IF($AF1026=1,SUMPRODUCT(--($AJ$2:$AJ$1501&lt;$AJ1026))+1,"")</f>
        <v/>
      </c>
      <c r="AH1026">
        <f>IF($B1026="","",IF(OR($M1026=TRUE(),$M1026="TRUE"),1,0))</f>
        <v/>
      </c>
      <c r="AI1026">
        <f>IF($B1026="","",IF($V1026="Yes",1,0))</f>
        <v/>
      </c>
      <c r="AJ1026">
        <f>IF($AF1026=1,IFERROR(IF(VALUE($B1026)&lt;100000000,VALUE($B1026),1000000000),IFERROR(IF(VALUE(MID($B1026,2,20))&lt;100000000,VALUE(MID($B1026,2,20)),1000000000),1000000000))+ROW()/100000,"")</f>
        <v/>
      </c>
    </row>
    <row r="1027">
      <c r="C1027" s="11" t="n"/>
      <c r="J1027" s="7">
        <f>IF($B1027="","",I1027*Q1027/100)</f>
        <v/>
      </c>
      <c r="P1027" s="7" t="n"/>
      <c r="Q1027" s="7" t="n"/>
      <c r="R1027" s="7">
        <f>IF($B1027="","",Q1027*W1027/100)</f>
        <v/>
      </c>
      <c r="S1027" s="7">
        <f>IF($B1027="","",Q1027-R1027)</f>
        <v/>
      </c>
      <c r="T1027" s="7">
        <f>IF($B1027="","",S1027-J1027)</f>
        <v/>
      </c>
      <c r="W1027">
        <f>IF($B1027="","",IF($AI1027=1,0,IF($AH1027=1,Settings!$C$6,Settings!$C$7))*100)</f>
        <v/>
      </c>
      <c r="AA1027" s="7" t="n"/>
      <c r="AD1027" s="11" t="n"/>
      <c r="AF1027">
        <f>IF($B1027="","",IF(COUNTIF($B$2:$B1027,$B1027)=1,1,0))</f>
        <v/>
      </c>
      <c r="AG1027">
        <f>IF($AF1027=1,SUMPRODUCT(--($AJ$2:$AJ$1501&lt;$AJ1027))+1,"")</f>
        <v/>
      </c>
      <c r="AH1027">
        <f>IF($B1027="","",IF(OR($M1027=TRUE(),$M1027="TRUE"),1,0))</f>
        <v/>
      </c>
      <c r="AI1027">
        <f>IF($B1027="","",IF($V1027="Yes",1,0))</f>
        <v/>
      </c>
      <c r="AJ1027">
        <f>IF($AF1027=1,IFERROR(IF(VALUE($B1027)&lt;100000000,VALUE($B1027),1000000000),IFERROR(IF(VALUE(MID($B1027,2,20))&lt;100000000,VALUE(MID($B1027,2,20)),1000000000),1000000000))+ROW()/100000,"")</f>
        <v/>
      </c>
    </row>
    <row r="1028">
      <c r="C1028" s="11" t="n"/>
      <c r="J1028" s="7">
        <f>IF($B1028="","",I1028*Q1028/100)</f>
        <v/>
      </c>
      <c r="P1028" s="7" t="n"/>
      <c r="Q1028" s="7" t="n"/>
      <c r="R1028" s="7">
        <f>IF($B1028="","",Q1028*W1028/100)</f>
        <v/>
      </c>
      <c r="S1028" s="7">
        <f>IF($B1028="","",Q1028-R1028)</f>
        <v/>
      </c>
      <c r="T1028" s="7">
        <f>IF($B1028="","",S1028-J1028)</f>
        <v/>
      </c>
      <c r="W1028">
        <f>IF($B1028="","",IF($AI1028=1,0,IF($AH1028=1,Settings!$C$6,Settings!$C$7))*100)</f>
        <v/>
      </c>
      <c r="AA1028" s="7" t="n"/>
      <c r="AD1028" s="11" t="n"/>
      <c r="AF1028">
        <f>IF($B1028="","",IF(COUNTIF($B$2:$B1028,$B1028)=1,1,0))</f>
        <v/>
      </c>
      <c r="AG1028">
        <f>IF($AF1028=1,SUMPRODUCT(--($AJ$2:$AJ$1501&lt;$AJ1028))+1,"")</f>
        <v/>
      </c>
      <c r="AH1028">
        <f>IF($B1028="","",IF(OR($M1028=TRUE(),$M1028="TRUE"),1,0))</f>
        <v/>
      </c>
      <c r="AI1028">
        <f>IF($B1028="","",IF($V1028="Yes",1,0))</f>
        <v/>
      </c>
      <c r="AJ1028">
        <f>IF($AF1028=1,IFERROR(IF(VALUE($B1028)&lt;100000000,VALUE($B1028),1000000000),IFERROR(IF(VALUE(MID($B1028,2,20))&lt;100000000,VALUE(MID($B1028,2,20)),1000000000),1000000000))+ROW()/100000,"")</f>
        <v/>
      </c>
    </row>
    <row r="1029">
      <c r="C1029" s="11" t="n"/>
      <c r="J1029" s="7">
        <f>IF($B1029="","",I1029*Q1029/100)</f>
        <v/>
      </c>
      <c r="P1029" s="7" t="n"/>
      <c r="Q1029" s="7" t="n"/>
      <c r="R1029" s="7">
        <f>IF($B1029="","",Q1029*W1029/100)</f>
        <v/>
      </c>
      <c r="S1029" s="7">
        <f>IF($B1029="","",Q1029-R1029)</f>
        <v/>
      </c>
      <c r="T1029" s="7">
        <f>IF($B1029="","",S1029-J1029)</f>
        <v/>
      </c>
      <c r="W1029">
        <f>IF($B1029="","",IF($AI1029=1,0,IF($AH1029=1,Settings!$C$6,Settings!$C$7))*100)</f>
        <v/>
      </c>
      <c r="AA1029" s="7" t="n"/>
      <c r="AD1029" s="11" t="n"/>
      <c r="AF1029">
        <f>IF($B1029="","",IF(COUNTIF($B$2:$B1029,$B1029)=1,1,0))</f>
        <v/>
      </c>
      <c r="AG1029">
        <f>IF($AF1029=1,SUMPRODUCT(--($AJ$2:$AJ$1501&lt;$AJ1029))+1,"")</f>
        <v/>
      </c>
      <c r="AH1029">
        <f>IF($B1029="","",IF(OR($M1029=TRUE(),$M1029="TRUE"),1,0))</f>
        <v/>
      </c>
      <c r="AI1029">
        <f>IF($B1029="","",IF($V1029="Yes",1,0))</f>
        <v/>
      </c>
      <c r="AJ1029">
        <f>IF($AF1029=1,IFERROR(IF(VALUE($B1029)&lt;100000000,VALUE($B1029),1000000000),IFERROR(IF(VALUE(MID($B1029,2,20))&lt;100000000,VALUE(MID($B1029,2,20)),1000000000),1000000000))+ROW()/100000,"")</f>
        <v/>
      </c>
    </row>
    <row r="1030">
      <c r="C1030" s="11" t="n"/>
      <c r="J1030" s="7">
        <f>IF($B1030="","",I1030*Q1030/100)</f>
        <v/>
      </c>
      <c r="P1030" s="7" t="n"/>
      <c r="Q1030" s="7" t="n"/>
      <c r="R1030" s="7">
        <f>IF($B1030="","",Q1030*W1030/100)</f>
        <v/>
      </c>
      <c r="S1030" s="7">
        <f>IF($B1030="","",Q1030-R1030)</f>
        <v/>
      </c>
      <c r="T1030" s="7">
        <f>IF($B1030="","",S1030-J1030)</f>
        <v/>
      </c>
      <c r="W1030">
        <f>IF($B1030="","",IF($AI1030=1,0,IF($AH1030=1,Settings!$C$6,Settings!$C$7))*100)</f>
        <v/>
      </c>
      <c r="AA1030" s="7" t="n"/>
      <c r="AD1030" s="11" t="n"/>
      <c r="AF1030">
        <f>IF($B1030="","",IF(COUNTIF($B$2:$B1030,$B1030)=1,1,0))</f>
        <v/>
      </c>
      <c r="AG1030">
        <f>IF($AF1030=1,SUMPRODUCT(--($AJ$2:$AJ$1501&lt;$AJ1030))+1,"")</f>
        <v/>
      </c>
      <c r="AH1030">
        <f>IF($B1030="","",IF(OR($M1030=TRUE(),$M1030="TRUE"),1,0))</f>
        <v/>
      </c>
      <c r="AI1030">
        <f>IF($B1030="","",IF($V1030="Yes",1,0))</f>
        <v/>
      </c>
      <c r="AJ1030">
        <f>IF($AF1030=1,IFERROR(IF(VALUE($B1030)&lt;100000000,VALUE($B1030),1000000000),IFERROR(IF(VALUE(MID($B1030,2,20))&lt;100000000,VALUE(MID($B1030,2,20)),1000000000),1000000000))+ROW()/100000,"")</f>
        <v/>
      </c>
    </row>
    <row r="1031">
      <c r="C1031" s="11" t="n"/>
      <c r="J1031" s="7">
        <f>IF($B1031="","",I1031*Q1031/100)</f>
        <v/>
      </c>
      <c r="P1031" s="7" t="n"/>
      <c r="Q1031" s="7" t="n"/>
      <c r="R1031" s="7">
        <f>IF($B1031="","",Q1031*W1031/100)</f>
        <v/>
      </c>
      <c r="S1031" s="7">
        <f>IF($B1031="","",Q1031-R1031)</f>
        <v/>
      </c>
      <c r="T1031" s="7">
        <f>IF($B1031="","",S1031-J1031)</f>
        <v/>
      </c>
      <c r="W1031">
        <f>IF($B1031="","",IF($AI1031=1,0,IF($AH1031=1,Settings!$C$6,Settings!$C$7))*100)</f>
        <v/>
      </c>
      <c r="AA1031" s="7" t="n"/>
      <c r="AD1031" s="11" t="n"/>
      <c r="AF1031">
        <f>IF($B1031="","",IF(COUNTIF($B$2:$B1031,$B1031)=1,1,0))</f>
        <v/>
      </c>
      <c r="AG1031">
        <f>IF($AF1031=1,SUMPRODUCT(--($AJ$2:$AJ$1501&lt;$AJ1031))+1,"")</f>
        <v/>
      </c>
      <c r="AH1031">
        <f>IF($B1031="","",IF(OR($M1031=TRUE(),$M1031="TRUE"),1,0))</f>
        <v/>
      </c>
      <c r="AI1031">
        <f>IF($B1031="","",IF($V1031="Yes",1,0))</f>
        <v/>
      </c>
      <c r="AJ1031">
        <f>IF($AF1031=1,IFERROR(IF(VALUE($B1031)&lt;100000000,VALUE($B1031),1000000000),IFERROR(IF(VALUE(MID($B1031,2,20))&lt;100000000,VALUE(MID($B1031,2,20)),1000000000),1000000000))+ROW()/100000,"")</f>
        <v/>
      </c>
    </row>
    <row r="1032">
      <c r="C1032" s="11" t="n"/>
      <c r="J1032" s="7">
        <f>IF($B1032="","",I1032*Q1032/100)</f>
        <v/>
      </c>
      <c r="P1032" s="7" t="n"/>
      <c r="Q1032" s="7" t="n"/>
      <c r="R1032" s="7">
        <f>IF($B1032="","",Q1032*W1032/100)</f>
        <v/>
      </c>
      <c r="S1032" s="7">
        <f>IF($B1032="","",Q1032-R1032)</f>
        <v/>
      </c>
      <c r="T1032" s="7">
        <f>IF($B1032="","",S1032-J1032)</f>
        <v/>
      </c>
      <c r="W1032">
        <f>IF($B1032="","",IF($AI1032=1,0,IF($AH1032=1,Settings!$C$6,Settings!$C$7))*100)</f>
        <v/>
      </c>
      <c r="AA1032" s="7" t="n"/>
      <c r="AD1032" s="11" t="n"/>
      <c r="AF1032">
        <f>IF($B1032="","",IF(COUNTIF($B$2:$B1032,$B1032)=1,1,0))</f>
        <v/>
      </c>
      <c r="AG1032">
        <f>IF($AF1032=1,SUMPRODUCT(--($AJ$2:$AJ$1501&lt;$AJ1032))+1,"")</f>
        <v/>
      </c>
      <c r="AH1032">
        <f>IF($B1032="","",IF(OR($M1032=TRUE(),$M1032="TRUE"),1,0))</f>
        <v/>
      </c>
      <c r="AI1032">
        <f>IF($B1032="","",IF($V1032="Yes",1,0))</f>
        <v/>
      </c>
      <c r="AJ1032">
        <f>IF($AF1032=1,IFERROR(IF(VALUE($B1032)&lt;100000000,VALUE($B1032),1000000000),IFERROR(IF(VALUE(MID($B1032,2,20))&lt;100000000,VALUE(MID($B1032,2,20)),1000000000),1000000000))+ROW()/100000,"")</f>
        <v/>
      </c>
    </row>
    <row r="1033">
      <c r="C1033" s="11" t="n"/>
      <c r="J1033" s="7">
        <f>IF($B1033="","",I1033*Q1033/100)</f>
        <v/>
      </c>
      <c r="P1033" s="7" t="n"/>
      <c r="Q1033" s="7" t="n"/>
      <c r="R1033" s="7">
        <f>IF($B1033="","",Q1033*W1033/100)</f>
        <v/>
      </c>
      <c r="S1033" s="7">
        <f>IF($B1033="","",Q1033-R1033)</f>
        <v/>
      </c>
      <c r="T1033" s="7">
        <f>IF($B1033="","",S1033-J1033)</f>
        <v/>
      </c>
      <c r="W1033">
        <f>IF($B1033="","",IF($AI1033=1,0,IF($AH1033=1,Settings!$C$6,Settings!$C$7))*100)</f>
        <v/>
      </c>
      <c r="AA1033" s="7" t="n"/>
      <c r="AD1033" s="11" t="n"/>
      <c r="AF1033">
        <f>IF($B1033="","",IF(COUNTIF($B$2:$B1033,$B1033)=1,1,0))</f>
        <v/>
      </c>
      <c r="AG1033">
        <f>IF($AF1033=1,SUMPRODUCT(--($AJ$2:$AJ$1501&lt;$AJ1033))+1,"")</f>
        <v/>
      </c>
      <c r="AH1033">
        <f>IF($B1033="","",IF(OR($M1033=TRUE(),$M1033="TRUE"),1,0))</f>
        <v/>
      </c>
      <c r="AI1033">
        <f>IF($B1033="","",IF($V1033="Yes",1,0))</f>
        <v/>
      </c>
      <c r="AJ1033">
        <f>IF($AF1033=1,IFERROR(IF(VALUE($B1033)&lt;100000000,VALUE($B1033),1000000000),IFERROR(IF(VALUE(MID($B1033,2,20))&lt;100000000,VALUE(MID($B1033,2,20)),1000000000),1000000000))+ROW()/100000,"")</f>
        <v/>
      </c>
    </row>
    <row r="1034">
      <c r="C1034" s="11" t="n"/>
      <c r="J1034" s="7">
        <f>IF($B1034="","",I1034*Q1034/100)</f>
        <v/>
      </c>
      <c r="P1034" s="7" t="n"/>
      <c r="Q1034" s="7" t="n"/>
      <c r="R1034" s="7">
        <f>IF($B1034="","",Q1034*W1034/100)</f>
        <v/>
      </c>
      <c r="S1034" s="7">
        <f>IF($B1034="","",Q1034-R1034)</f>
        <v/>
      </c>
      <c r="T1034" s="7">
        <f>IF($B1034="","",S1034-J1034)</f>
        <v/>
      </c>
      <c r="W1034">
        <f>IF($B1034="","",IF($AI1034=1,0,IF($AH1034=1,Settings!$C$6,Settings!$C$7))*100)</f>
        <v/>
      </c>
      <c r="AA1034" s="7" t="n"/>
      <c r="AD1034" s="11" t="n"/>
      <c r="AF1034">
        <f>IF($B1034="","",IF(COUNTIF($B$2:$B1034,$B1034)=1,1,0))</f>
        <v/>
      </c>
      <c r="AG1034">
        <f>IF($AF1034=1,SUMPRODUCT(--($AJ$2:$AJ$1501&lt;$AJ1034))+1,"")</f>
        <v/>
      </c>
      <c r="AH1034">
        <f>IF($B1034="","",IF(OR($M1034=TRUE(),$M1034="TRUE"),1,0))</f>
        <v/>
      </c>
      <c r="AI1034">
        <f>IF($B1034="","",IF($V1034="Yes",1,0))</f>
        <v/>
      </c>
      <c r="AJ1034">
        <f>IF($AF1034=1,IFERROR(IF(VALUE($B1034)&lt;100000000,VALUE($B1034),1000000000),IFERROR(IF(VALUE(MID($B1034,2,20))&lt;100000000,VALUE(MID($B1034,2,20)),1000000000),1000000000))+ROW()/100000,"")</f>
        <v/>
      </c>
    </row>
    <row r="1035">
      <c r="C1035" s="11" t="n"/>
      <c r="J1035" s="7">
        <f>IF($B1035="","",I1035*Q1035/100)</f>
        <v/>
      </c>
      <c r="P1035" s="7" t="n"/>
      <c r="Q1035" s="7" t="n"/>
      <c r="R1035" s="7">
        <f>IF($B1035="","",Q1035*W1035/100)</f>
        <v/>
      </c>
      <c r="S1035" s="7">
        <f>IF($B1035="","",Q1035-R1035)</f>
        <v/>
      </c>
      <c r="T1035" s="7">
        <f>IF($B1035="","",S1035-J1035)</f>
        <v/>
      </c>
      <c r="W1035">
        <f>IF($B1035="","",IF($AI1035=1,0,IF($AH1035=1,Settings!$C$6,Settings!$C$7))*100)</f>
        <v/>
      </c>
      <c r="AA1035" s="7" t="n"/>
      <c r="AD1035" s="11" t="n"/>
      <c r="AF1035">
        <f>IF($B1035="","",IF(COUNTIF($B$2:$B1035,$B1035)=1,1,0))</f>
        <v/>
      </c>
      <c r="AG1035">
        <f>IF($AF1035=1,SUMPRODUCT(--($AJ$2:$AJ$1501&lt;$AJ1035))+1,"")</f>
        <v/>
      </c>
      <c r="AH1035">
        <f>IF($B1035="","",IF(OR($M1035=TRUE(),$M1035="TRUE"),1,0))</f>
        <v/>
      </c>
      <c r="AI1035">
        <f>IF($B1035="","",IF($V1035="Yes",1,0))</f>
        <v/>
      </c>
      <c r="AJ1035">
        <f>IF($AF1035=1,IFERROR(IF(VALUE($B1035)&lt;100000000,VALUE($B1035),1000000000),IFERROR(IF(VALUE(MID($B1035,2,20))&lt;100000000,VALUE(MID($B1035,2,20)),1000000000),1000000000))+ROW()/100000,"")</f>
        <v/>
      </c>
    </row>
    <row r="1036">
      <c r="C1036" s="11" t="n"/>
      <c r="J1036" s="7">
        <f>IF($B1036="","",I1036*Q1036/100)</f>
        <v/>
      </c>
      <c r="P1036" s="7" t="n"/>
      <c r="Q1036" s="7" t="n"/>
      <c r="R1036" s="7">
        <f>IF($B1036="","",Q1036*W1036/100)</f>
        <v/>
      </c>
      <c r="S1036" s="7">
        <f>IF($B1036="","",Q1036-R1036)</f>
        <v/>
      </c>
      <c r="T1036" s="7">
        <f>IF($B1036="","",S1036-J1036)</f>
        <v/>
      </c>
      <c r="W1036">
        <f>IF($B1036="","",IF($AI1036=1,0,IF($AH1036=1,Settings!$C$6,Settings!$C$7))*100)</f>
        <v/>
      </c>
      <c r="AA1036" s="7" t="n"/>
      <c r="AD1036" s="11" t="n"/>
      <c r="AF1036">
        <f>IF($B1036="","",IF(COUNTIF($B$2:$B1036,$B1036)=1,1,0))</f>
        <v/>
      </c>
      <c r="AG1036">
        <f>IF($AF1036=1,SUMPRODUCT(--($AJ$2:$AJ$1501&lt;$AJ1036))+1,"")</f>
        <v/>
      </c>
      <c r="AH1036">
        <f>IF($B1036="","",IF(OR($M1036=TRUE(),$M1036="TRUE"),1,0))</f>
        <v/>
      </c>
      <c r="AI1036">
        <f>IF($B1036="","",IF($V1036="Yes",1,0))</f>
        <v/>
      </c>
      <c r="AJ1036">
        <f>IF($AF1036=1,IFERROR(IF(VALUE($B1036)&lt;100000000,VALUE($B1036),1000000000),IFERROR(IF(VALUE(MID($B1036,2,20))&lt;100000000,VALUE(MID($B1036,2,20)),1000000000),1000000000))+ROW()/100000,"")</f>
        <v/>
      </c>
    </row>
    <row r="1037">
      <c r="C1037" s="11" t="n"/>
      <c r="J1037" s="7">
        <f>IF($B1037="","",I1037*Q1037/100)</f>
        <v/>
      </c>
      <c r="P1037" s="7" t="n"/>
      <c r="Q1037" s="7" t="n"/>
      <c r="R1037" s="7">
        <f>IF($B1037="","",Q1037*W1037/100)</f>
        <v/>
      </c>
      <c r="S1037" s="7">
        <f>IF($B1037="","",Q1037-R1037)</f>
        <v/>
      </c>
      <c r="T1037" s="7">
        <f>IF($B1037="","",S1037-J1037)</f>
        <v/>
      </c>
      <c r="W1037">
        <f>IF($B1037="","",IF($AI1037=1,0,IF($AH1037=1,Settings!$C$6,Settings!$C$7))*100)</f>
        <v/>
      </c>
      <c r="AA1037" s="7" t="n"/>
      <c r="AD1037" s="11" t="n"/>
      <c r="AF1037">
        <f>IF($B1037="","",IF(COUNTIF($B$2:$B1037,$B1037)=1,1,0))</f>
        <v/>
      </c>
      <c r="AG1037">
        <f>IF($AF1037=1,SUMPRODUCT(--($AJ$2:$AJ$1501&lt;$AJ1037))+1,"")</f>
        <v/>
      </c>
      <c r="AH1037">
        <f>IF($B1037="","",IF(OR($M1037=TRUE(),$M1037="TRUE"),1,0))</f>
        <v/>
      </c>
      <c r="AI1037">
        <f>IF($B1037="","",IF($V1037="Yes",1,0))</f>
        <v/>
      </c>
      <c r="AJ1037">
        <f>IF($AF1037=1,IFERROR(IF(VALUE($B1037)&lt;100000000,VALUE($B1037),1000000000),IFERROR(IF(VALUE(MID($B1037,2,20))&lt;100000000,VALUE(MID($B1037,2,20)),1000000000),1000000000))+ROW()/100000,"")</f>
        <v/>
      </c>
    </row>
    <row r="1038">
      <c r="C1038" s="11" t="n"/>
      <c r="J1038" s="7">
        <f>IF($B1038="","",I1038*Q1038/100)</f>
        <v/>
      </c>
      <c r="P1038" s="7" t="n"/>
      <c r="Q1038" s="7" t="n"/>
      <c r="R1038" s="7">
        <f>IF($B1038="","",Q1038*W1038/100)</f>
        <v/>
      </c>
      <c r="S1038" s="7">
        <f>IF($B1038="","",Q1038-R1038)</f>
        <v/>
      </c>
      <c r="T1038" s="7">
        <f>IF($B1038="","",S1038-J1038)</f>
        <v/>
      </c>
      <c r="W1038">
        <f>IF($B1038="","",IF($AI1038=1,0,IF($AH1038=1,Settings!$C$6,Settings!$C$7))*100)</f>
        <v/>
      </c>
      <c r="AA1038" s="7" t="n"/>
      <c r="AD1038" s="11" t="n"/>
      <c r="AF1038">
        <f>IF($B1038="","",IF(COUNTIF($B$2:$B1038,$B1038)=1,1,0))</f>
        <v/>
      </c>
      <c r="AG1038">
        <f>IF($AF1038=1,SUMPRODUCT(--($AJ$2:$AJ$1501&lt;$AJ1038))+1,"")</f>
        <v/>
      </c>
      <c r="AH1038">
        <f>IF($B1038="","",IF(OR($M1038=TRUE(),$M1038="TRUE"),1,0))</f>
        <v/>
      </c>
      <c r="AI1038">
        <f>IF($B1038="","",IF($V1038="Yes",1,0))</f>
        <v/>
      </c>
      <c r="AJ1038">
        <f>IF($AF1038=1,IFERROR(IF(VALUE($B1038)&lt;100000000,VALUE($B1038),1000000000),IFERROR(IF(VALUE(MID($B1038,2,20))&lt;100000000,VALUE(MID($B1038,2,20)),1000000000),1000000000))+ROW()/100000,"")</f>
        <v/>
      </c>
    </row>
    <row r="1039">
      <c r="C1039" s="11" t="n"/>
      <c r="J1039" s="7">
        <f>IF($B1039="","",I1039*Q1039/100)</f>
        <v/>
      </c>
      <c r="P1039" s="7" t="n"/>
      <c r="Q1039" s="7" t="n"/>
      <c r="R1039" s="7">
        <f>IF($B1039="","",Q1039*W1039/100)</f>
        <v/>
      </c>
      <c r="S1039" s="7">
        <f>IF($B1039="","",Q1039-R1039)</f>
        <v/>
      </c>
      <c r="T1039" s="7">
        <f>IF($B1039="","",S1039-J1039)</f>
        <v/>
      </c>
      <c r="W1039">
        <f>IF($B1039="","",IF($AI1039=1,0,IF($AH1039=1,Settings!$C$6,Settings!$C$7))*100)</f>
        <v/>
      </c>
      <c r="AA1039" s="7" t="n"/>
      <c r="AD1039" s="11" t="n"/>
      <c r="AF1039">
        <f>IF($B1039="","",IF(COUNTIF($B$2:$B1039,$B1039)=1,1,0))</f>
        <v/>
      </c>
      <c r="AG1039">
        <f>IF($AF1039=1,SUMPRODUCT(--($AJ$2:$AJ$1501&lt;$AJ1039))+1,"")</f>
        <v/>
      </c>
      <c r="AH1039">
        <f>IF($B1039="","",IF(OR($M1039=TRUE(),$M1039="TRUE"),1,0))</f>
        <v/>
      </c>
      <c r="AI1039">
        <f>IF($B1039="","",IF($V1039="Yes",1,0))</f>
        <v/>
      </c>
      <c r="AJ1039">
        <f>IF($AF1039=1,IFERROR(IF(VALUE($B1039)&lt;100000000,VALUE($B1039),1000000000),IFERROR(IF(VALUE(MID($B1039,2,20))&lt;100000000,VALUE(MID($B1039,2,20)),1000000000),1000000000))+ROW()/100000,"")</f>
        <v/>
      </c>
    </row>
    <row r="1040">
      <c r="C1040" s="11" t="n"/>
      <c r="J1040" s="7">
        <f>IF($B1040="","",I1040*Q1040/100)</f>
        <v/>
      </c>
      <c r="P1040" s="7" t="n"/>
      <c r="Q1040" s="7" t="n"/>
      <c r="R1040" s="7">
        <f>IF($B1040="","",Q1040*W1040/100)</f>
        <v/>
      </c>
      <c r="S1040" s="7">
        <f>IF($B1040="","",Q1040-R1040)</f>
        <v/>
      </c>
      <c r="T1040" s="7">
        <f>IF($B1040="","",S1040-J1040)</f>
        <v/>
      </c>
      <c r="W1040">
        <f>IF($B1040="","",IF($AI1040=1,0,IF($AH1040=1,Settings!$C$6,Settings!$C$7))*100)</f>
        <v/>
      </c>
      <c r="AA1040" s="7" t="n"/>
      <c r="AD1040" s="11" t="n"/>
      <c r="AF1040">
        <f>IF($B1040="","",IF(COUNTIF($B$2:$B1040,$B1040)=1,1,0))</f>
        <v/>
      </c>
      <c r="AG1040">
        <f>IF($AF1040=1,SUMPRODUCT(--($AJ$2:$AJ$1501&lt;$AJ1040))+1,"")</f>
        <v/>
      </c>
      <c r="AH1040">
        <f>IF($B1040="","",IF(OR($M1040=TRUE(),$M1040="TRUE"),1,0))</f>
        <v/>
      </c>
      <c r="AI1040">
        <f>IF($B1040="","",IF($V1040="Yes",1,0))</f>
        <v/>
      </c>
      <c r="AJ1040">
        <f>IF($AF1040=1,IFERROR(IF(VALUE($B1040)&lt;100000000,VALUE($B1040),1000000000),IFERROR(IF(VALUE(MID($B1040,2,20))&lt;100000000,VALUE(MID($B1040,2,20)),1000000000),1000000000))+ROW()/100000,"")</f>
        <v/>
      </c>
    </row>
    <row r="1041">
      <c r="C1041" s="11" t="n"/>
      <c r="J1041" s="7">
        <f>IF($B1041="","",I1041*Q1041/100)</f>
        <v/>
      </c>
      <c r="P1041" s="7" t="n"/>
      <c r="Q1041" s="7" t="n"/>
      <c r="R1041" s="7">
        <f>IF($B1041="","",Q1041*W1041/100)</f>
        <v/>
      </c>
      <c r="S1041" s="7">
        <f>IF($B1041="","",Q1041-R1041)</f>
        <v/>
      </c>
      <c r="T1041" s="7">
        <f>IF($B1041="","",S1041-J1041)</f>
        <v/>
      </c>
      <c r="W1041">
        <f>IF($B1041="","",IF($AI1041=1,0,IF($AH1041=1,Settings!$C$6,Settings!$C$7))*100)</f>
        <v/>
      </c>
      <c r="AA1041" s="7" t="n"/>
      <c r="AD1041" s="11" t="n"/>
      <c r="AF1041">
        <f>IF($B1041="","",IF(COUNTIF($B$2:$B1041,$B1041)=1,1,0))</f>
        <v/>
      </c>
      <c r="AG1041">
        <f>IF($AF1041=1,SUMPRODUCT(--($AJ$2:$AJ$1501&lt;$AJ1041))+1,"")</f>
        <v/>
      </c>
      <c r="AH1041">
        <f>IF($B1041="","",IF(OR($M1041=TRUE(),$M1041="TRUE"),1,0))</f>
        <v/>
      </c>
      <c r="AI1041">
        <f>IF($B1041="","",IF($V1041="Yes",1,0))</f>
        <v/>
      </c>
      <c r="AJ1041">
        <f>IF($AF1041=1,IFERROR(IF(VALUE($B1041)&lt;100000000,VALUE($B1041),1000000000),IFERROR(IF(VALUE(MID($B1041,2,20))&lt;100000000,VALUE(MID($B1041,2,20)),1000000000),1000000000))+ROW()/100000,"")</f>
        <v/>
      </c>
    </row>
    <row r="1042">
      <c r="C1042" s="11" t="n"/>
      <c r="J1042" s="7">
        <f>IF($B1042="","",I1042*Q1042/100)</f>
        <v/>
      </c>
      <c r="P1042" s="7" t="n"/>
      <c r="Q1042" s="7" t="n"/>
      <c r="R1042" s="7">
        <f>IF($B1042="","",Q1042*W1042/100)</f>
        <v/>
      </c>
      <c r="S1042" s="7">
        <f>IF($B1042="","",Q1042-R1042)</f>
        <v/>
      </c>
      <c r="T1042" s="7">
        <f>IF($B1042="","",S1042-J1042)</f>
        <v/>
      </c>
      <c r="W1042">
        <f>IF($B1042="","",IF($AI1042=1,0,IF($AH1042=1,Settings!$C$6,Settings!$C$7))*100)</f>
        <v/>
      </c>
      <c r="AA1042" s="7" t="n"/>
      <c r="AD1042" s="11" t="n"/>
      <c r="AF1042">
        <f>IF($B1042="","",IF(COUNTIF($B$2:$B1042,$B1042)=1,1,0))</f>
        <v/>
      </c>
      <c r="AG1042">
        <f>IF($AF1042=1,SUMPRODUCT(--($AJ$2:$AJ$1501&lt;$AJ1042))+1,"")</f>
        <v/>
      </c>
      <c r="AH1042">
        <f>IF($B1042="","",IF(OR($M1042=TRUE(),$M1042="TRUE"),1,0))</f>
        <v/>
      </c>
      <c r="AI1042">
        <f>IF($B1042="","",IF($V1042="Yes",1,0))</f>
        <v/>
      </c>
      <c r="AJ1042">
        <f>IF($AF1042=1,IFERROR(IF(VALUE($B1042)&lt;100000000,VALUE($B1042),1000000000),IFERROR(IF(VALUE(MID($B1042,2,20))&lt;100000000,VALUE(MID($B1042,2,20)),1000000000),1000000000))+ROW()/100000,"")</f>
        <v/>
      </c>
    </row>
    <row r="1043">
      <c r="C1043" s="11" t="n"/>
      <c r="J1043" s="7">
        <f>IF($B1043="","",I1043*Q1043/100)</f>
        <v/>
      </c>
      <c r="P1043" s="7" t="n"/>
      <c r="Q1043" s="7" t="n"/>
      <c r="R1043" s="7">
        <f>IF($B1043="","",Q1043*W1043/100)</f>
        <v/>
      </c>
      <c r="S1043" s="7">
        <f>IF($B1043="","",Q1043-R1043)</f>
        <v/>
      </c>
      <c r="T1043" s="7">
        <f>IF($B1043="","",S1043-J1043)</f>
        <v/>
      </c>
      <c r="W1043">
        <f>IF($B1043="","",IF($AI1043=1,0,IF($AH1043=1,Settings!$C$6,Settings!$C$7))*100)</f>
        <v/>
      </c>
      <c r="AA1043" s="7" t="n"/>
      <c r="AD1043" s="11" t="n"/>
      <c r="AF1043">
        <f>IF($B1043="","",IF(COUNTIF($B$2:$B1043,$B1043)=1,1,0))</f>
        <v/>
      </c>
      <c r="AG1043">
        <f>IF($AF1043=1,SUMPRODUCT(--($AJ$2:$AJ$1501&lt;$AJ1043))+1,"")</f>
        <v/>
      </c>
      <c r="AH1043">
        <f>IF($B1043="","",IF(OR($M1043=TRUE(),$M1043="TRUE"),1,0))</f>
        <v/>
      </c>
      <c r="AI1043">
        <f>IF($B1043="","",IF($V1043="Yes",1,0))</f>
        <v/>
      </c>
      <c r="AJ1043">
        <f>IF($AF1043=1,IFERROR(IF(VALUE($B1043)&lt;100000000,VALUE($B1043),1000000000),IFERROR(IF(VALUE(MID($B1043,2,20))&lt;100000000,VALUE(MID($B1043,2,20)),1000000000),1000000000))+ROW()/100000,"")</f>
        <v/>
      </c>
    </row>
    <row r="1044">
      <c r="C1044" s="11" t="n"/>
      <c r="J1044" s="7">
        <f>IF($B1044="","",I1044*Q1044/100)</f>
        <v/>
      </c>
      <c r="P1044" s="7" t="n"/>
      <c r="Q1044" s="7" t="n"/>
      <c r="R1044" s="7">
        <f>IF($B1044="","",Q1044*W1044/100)</f>
        <v/>
      </c>
      <c r="S1044" s="7">
        <f>IF($B1044="","",Q1044-R1044)</f>
        <v/>
      </c>
      <c r="T1044" s="7">
        <f>IF($B1044="","",S1044-J1044)</f>
        <v/>
      </c>
      <c r="W1044">
        <f>IF($B1044="","",IF($AI1044=1,0,IF($AH1044=1,Settings!$C$6,Settings!$C$7))*100)</f>
        <v/>
      </c>
      <c r="AA1044" s="7" t="n"/>
      <c r="AD1044" s="11" t="n"/>
      <c r="AF1044">
        <f>IF($B1044="","",IF(COUNTIF($B$2:$B1044,$B1044)=1,1,0))</f>
        <v/>
      </c>
      <c r="AG1044">
        <f>IF($AF1044=1,SUMPRODUCT(--($AJ$2:$AJ$1501&lt;$AJ1044))+1,"")</f>
        <v/>
      </c>
      <c r="AH1044">
        <f>IF($B1044="","",IF(OR($M1044=TRUE(),$M1044="TRUE"),1,0))</f>
        <v/>
      </c>
      <c r="AI1044">
        <f>IF($B1044="","",IF($V1044="Yes",1,0))</f>
        <v/>
      </c>
      <c r="AJ1044">
        <f>IF($AF1044=1,IFERROR(IF(VALUE($B1044)&lt;100000000,VALUE($B1044),1000000000),IFERROR(IF(VALUE(MID($B1044,2,20))&lt;100000000,VALUE(MID($B1044,2,20)),1000000000),1000000000))+ROW()/100000,"")</f>
        <v/>
      </c>
    </row>
    <row r="1045">
      <c r="C1045" s="11" t="n"/>
      <c r="J1045" s="7">
        <f>IF($B1045="","",I1045*Q1045/100)</f>
        <v/>
      </c>
      <c r="P1045" s="7" t="n"/>
      <c r="Q1045" s="7" t="n"/>
      <c r="R1045" s="7">
        <f>IF($B1045="","",Q1045*W1045/100)</f>
        <v/>
      </c>
      <c r="S1045" s="7">
        <f>IF($B1045="","",Q1045-R1045)</f>
        <v/>
      </c>
      <c r="T1045" s="7">
        <f>IF($B1045="","",S1045-J1045)</f>
        <v/>
      </c>
      <c r="W1045">
        <f>IF($B1045="","",IF($AI1045=1,0,IF($AH1045=1,Settings!$C$6,Settings!$C$7))*100)</f>
        <v/>
      </c>
      <c r="AA1045" s="7" t="n"/>
      <c r="AD1045" s="11" t="n"/>
      <c r="AF1045">
        <f>IF($B1045="","",IF(COUNTIF($B$2:$B1045,$B1045)=1,1,0))</f>
        <v/>
      </c>
      <c r="AG1045">
        <f>IF($AF1045=1,SUMPRODUCT(--($AJ$2:$AJ$1501&lt;$AJ1045))+1,"")</f>
        <v/>
      </c>
      <c r="AH1045">
        <f>IF($B1045="","",IF(OR($M1045=TRUE(),$M1045="TRUE"),1,0))</f>
        <v/>
      </c>
      <c r="AI1045">
        <f>IF($B1045="","",IF($V1045="Yes",1,0))</f>
        <v/>
      </c>
      <c r="AJ1045">
        <f>IF($AF1045=1,IFERROR(IF(VALUE($B1045)&lt;100000000,VALUE($B1045),1000000000),IFERROR(IF(VALUE(MID($B1045,2,20))&lt;100000000,VALUE(MID($B1045,2,20)),1000000000),1000000000))+ROW()/100000,"")</f>
        <v/>
      </c>
    </row>
    <row r="1046">
      <c r="C1046" s="11" t="n"/>
      <c r="J1046" s="7">
        <f>IF($B1046="","",I1046*Q1046/100)</f>
        <v/>
      </c>
      <c r="P1046" s="7" t="n"/>
      <c r="Q1046" s="7" t="n"/>
      <c r="R1046" s="7">
        <f>IF($B1046="","",Q1046*W1046/100)</f>
        <v/>
      </c>
      <c r="S1046" s="7">
        <f>IF($B1046="","",Q1046-R1046)</f>
        <v/>
      </c>
      <c r="T1046" s="7">
        <f>IF($B1046="","",S1046-J1046)</f>
        <v/>
      </c>
      <c r="W1046">
        <f>IF($B1046="","",IF($AI1046=1,0,IF($AH1046=1,Settings!$C$6,Settings!$C$7))*100)</f>
        <v/>
      </c>
      <c r="AA1046" s="7" t="n"/>
      <c r="AD1046" s="11" t="n"/>
      <c r="AF1046">
        <f>IF($B1046="","",IF(COUNTIF($B$2:$B1046,$B1046)=1,1,0))</f>
        <v/>
      </c>
      <c r="AG1046">
        <f>IF($AF1046=1,SUMPRODUCT(--($AJ$2:$AJ$1501&lt;$AJ1046))+1,"")</f>
        <v/>
      </c>
      <c r="AH1046">
        <f>IF($B1046="","",IF(OR($M1046=TRUE(),$M1046="TRUE"),1,0))</f>
        <v/>
      </c>
      <c r="AI1046">
        <f>IF($B1046="","",IF($V1046="Yes",1,0))</f>
        <v/>
      </c>
      <c r="AJ1046">
        <f>IF($AF1046=1,IFERROR(IF(VALUE($B1046)&lt;100000000,VALUE($B1046),1000000000),IFERROR(IF(VALUE(MID($B1046,2,20))&lt;100000000,VALUE(MID($B1046,2,20)),1000000000),1000000000))+ROW()/100000,"")</f>
        <v/>
      </c>
    </row>
    <row r="1047">
      <c r="C1047" s="11" t="n"/>
      <c r="J1047" s="7">
        <f>IF($B1047="","",I1047*Q1047/100)</f>
        <v/>
      </c>
      <c r="P1047" s="7" t="n"/>
      <c r="Q1047" s="7" t="n"/>
      <c r="R1047" s="7">
        <f>IF($B1047="","",Q1047*W1047/100)</f>
        <v/>
      </c>
      <c r="S1047" s="7">
        <f>IF($B1047="","",Q1047-R1047)</f>
        <v/>
      </c>
      <c r="T1047" s="7">
        <f>IF($B1047="","",S1047-J1047)</f>
        <v/>
      </c>
      <c r="W1047">
        <f>IF($B1047="","",IF($AI1047=1,0,IF($AH1047=1,Settings!$C$6,Settings!$C$7))*100)</f>
        <v/>
      </c>
      <c r="AA1047" s="7" t="n"/>
      <c r="AD1047" s="11" t="n"/>
      <c r="AF1047">
        <f>IF($B1047="","",IF(COUNTIF($B$2:$B1047,$B1047)=1,1,0))</f>
        <v/>
      </c>
      <c r="AG1047">
        <f>IF($AF1047=1,SUMPRODUCT(--($AJ$2:$AJ$1501&lt;$AJ1047))+1,"")</f>
        <v/>
      </c>
      <c r="AH1047">
        <f>IF($B1047="","",IF(OR($M1047=TRUE(),$M1047="TRUE"),1,0))</f>
        <v/>
      </c>
      <c r="AI1047">
        <f>IF($B1047="","",IF($V1047="Yes",1,0))</f>
        <v/>
      </c>
      <c r="AJ1047">
        <f>IF($AF1047=1,IFERROR(IF(VALUE($B1047)&lt;100000000,VALUE($B1047),1000000000),IFERROR(IF(VALUE(MID($B1047,2,20))&lt;100000000,VALUE(MID($B1047,2,20)),1000000000),1000000000))+ROW()/100000,"")</f>
        <v/>
      </c>
    </row>
    <row r="1048">
      <c r="C1048" s="11" t="n"/>
      <c r="J1048" s="7">
        <f>IF($B1048="","",I1048*Q1048/100)</f>
        <v/>
      </c>
      <c r="P1048" s="7" t="n"/>
      <c r="Q1048" s="7" t="n"/>
      <c r="R1048" s="7">
        <f>IF($B1048="","",Q1048*W1048/100)</f>
        <v/>
      </c>
      <c r="S1048" s="7">
        <f>IF($B1048="","",Q1048-R1048)</f>
        <v/>
      </c>
      <c r="T1048" s="7">
        <f>IF($B1048="","",S1048-J1048)</f>
        <v/>
      </c>
      <c r="W1048">
        <f>IF($B1048="","",IF($AI1048=1,0,IF($AH1048=1,Settings!$C$6,Settings!$C$7))*100)</f>
        <v/>
      </c>
      <c r="AA1048" s="7" t="n"/>
      <c r="AD1048" s="11" t="n"/>
      <c r="AF1048">
        <f>IF($B1048="","",IF(COUNTIF($B$2:$B1048,$B1048)=1,1,0))</f>
        <v/>
      </c>
      <c r="AG1048">
        <f>IF($AF1048=1,SUMPRODUCT(--($AJ$2:$AJ$1501&lt;$AJ1048))+1,"")</f>
        <v/>
      </c>
      <c r="AH1048">
        <f>IF($B1048="","",IF(OR($M1048=TRUE(),$M1048="TRUE"),1,0))</f>
        <v/>
      </c>
      <c r="AI1048">
        <f>IF($B1048="","",IF($V1048="Yes",1,0))</f>
        <v/>
      </c>
      <c r="AJ1048">
        <f>IF($AF1048=1,IFERROR(IF(VALUE($B1048)&lt;100000000,VALUE($B1048),1000000000),IFERROR(IF(VALUE(MID($B1048,2,20))&lt;100000000,VALUE(MID($B1048,2,20)),1000000000),1000000000))+ROW()/100000,"")</f>
        <v/>
      </c>
    </row>
    <row r="1049">
      <c r="C1049" s="11" t="n"/>
      <c r="J1049" s="7">
        <f>IF($B1049="","",I1049*Q1049/100)</f>
        <v/>
      </c>
      <c r="P1049" s="7" t="n"/>
      <c r="Q1049" s="7" t="n"/>
      <c r="R1049" s="7">
        <f>IF($B1049="","",Q1049*W1049/100)</f>
        <v/>
      </c>
      <c r="S1049" s="7">
        <f>IF($B1049="","",Q1049-R1049)</f>
        <v/>
      </c>
      <c r="T1049" s="7">
        <f>IF($B1049="","",S1049-J1049)</f>
        <v/>
      </c>
      <c r="W1049">
        <f>IF($B1049="","",IF($AI1049=1,0,IF($AH1049=1,Settings!$C$6,Settings!$C$7))*100)</f>
        <v/>
      </c>
      <c r="AA1049" s="7" t="n"/>
      <c r="AD1049" s="11" t="n"/>
      <c r="AF1049">
        <f>IF($B1049="","",IF(COUNTIF($B$2:$B1049,$B1049)=1,1,0))</f>
        <v/>
      </c>
      <c r="AG1049">
        <f>IF($AF1049=1,SUMPRODUCT(--($AJ$2:$AJ$1501&lt;$AJ1049))+1,"")</f>
        <v/>
      </c>
      <c r="AH1049">
        <f>IF($B1049="","",IF(OR($M1049=TRUE(),$M1049="TRUE"),1,0))</f>
        <v/>
      </c>
      <c r="AI1049">
        <f>IF($B1049="","",IF($V1049="Yes",1,0))</f>
        <v/>
      </c>
      <c r="AJ1049">
        <f>IF($AF1049=1,IFERROR(IF(VALUE($B1049)&lt;100000000,VALUE($B1049),1000000000),IFERROR(IF(VALUE(MID($B1049,2,20))&lt;100000000,VALUE(MID($B1049,2,20)),1000000000),1000000000))+ROW()/100000,"")</f>
        <v/>
      </c>
    </row>
    <row r="1050">
      <c r="C1050" s="11" t="n"/>
      <c r="J1050" s="7">
        <f>IF($B1050="","",I1050*Q1050/100)</f>
        <v/>
      </c>
      <c r="P1050" s="7" t="n"/>
      <c r="Q1050" s="7" t="n"/>
      <c r="R1050" s="7">
        <f>IF($B1050="","",Q1050*W1050/100)</f>
        <v/>
      </c>
      <c r="S1050" s="7">
        <f>IF($B1050="","",Q1050-R1050)</f>
        <v/>
      </c>
      <c r="T1050" s="7">
        <f>IF($B1050="","",S1050-J1050)</f>
        <v/>
      </c>
      <c r="W1050">
        <f>IF($B1050="","",IF($AI1050=1,0,IF($AH1050=1,Settings!$C$6,Settings!$C$7))*100)</f>
        <v/>
      </c>
      <c r="AA1050" s="7" t="n"/>
      <c r="AD1050" s="11" t="n"/>
      <c r="AF1050">
        <f>IF($B1050="","",IF(COUNTIF($B$2:$B1050,$B1050)=1,1,0))</f>
        <v/>
      </c>
      <c r="AG1050">
        <f>IF($AF1050=1,SUMPRODUCT(--($AJ$2:$AJ$1501&lt;$AJ1050))+1,"")</f>
        <v/>
      </c>
      <c r="AH1050">
        <f>IF($B1050="","",IF(OR($M1050=TRUE(),$M1050="TRUE"),1,0))</f>
        <v/>
      </c>
      <c r="AI1050">
        <f>IF($B1050="","",IF($V1050="Yes",1,0))</f>
        <v/>
      </c>
      <c r="AJ1050">
        <f>IF($AF1050=1,IFERROR(IF(VALUE($B1050)&lt;100000000,VALUE($B1050),1000000000),IFERROR(IF(VALUE(MID($B1050,2,20))&lt;100000000,VALUE(MID($B1050,2,20)),1000000000),1000000000))+ROW()/100000,"")</f>
        <v/>
      </c>
    </row>
    <row r="1051">
      <c r="C1051" s="11" t="n"/>
      <c r="J1051" s="7">
        <f>IF($B1051="","",I1051*Q1051/100)</f>
        <v/>
      </c>
      <c r="P1051" s="7" t="n"/>
      <c r="Q1051" s="7" t="n"/>
      <c r="R1051" s="7">
        <f>IF($B1051="","",Q1051*W1051/100)</f>
        <v/>
      </c>
      <c r="S1051" s="7">
        <f>IF($B1051="","",Q1051-R1051)</f>
        <v/>
      </c>
      <c r="T1051" s="7">
        <f>IF($B1051="","",S1051-J1051)</f>
        <v/>
      </c>
      <c r="W1051">
        <f>IF($B1051="","",IF($AI1051=1,0,IF($AH1051=1,Settings!$C$6,Settings!$C$7))*100)</f>
        <v/>
      </c>
      <c r="AA1051" s="7" t="n"/>
      <c r="AD1051" s="11" t="n"/>
      <c r="AF1051">
        <f>IF($B1051="","",IF(COUNTIF($B$2:$B1051,$B1051)=1,1,0))</f>
        <v/>
      </c>
      <c r="AG1051">
        <f>IF($AF1051=1,SUMPRODUCT(--($AJ$2:$AJ$1501&lt;$AJ1051))+1,"")</f>
        <v/>
      </c>
      <c r="AH1051">
        <f>IF($B1051="","",IF(OR($M1051=TRUE(),$M1051="TRUE"),1,0))</f>
        <v/>
      </c>
      <c r="AI1051">
        <f>IF($B1051="","",IF($V1051="Yes",1,0))</f>
        <v/>
      </c>
      <c r="AJ1051">
        <f>IF($AF1051=1,IFERROR(IF(VALUE($B1051)&lt;100000000,VALUE($B1051),1000000000),IFERROR(IF(VALUE(MID($B1051,2,20))&lt;100000000,VALUE(MID($B1051,2,20)),1000000000),1000000000))+ROW()/100000,"")</f>
        <v/>
      </c>
    </row>
    <row r="1052">
      <c r="C1052" s="11" t="n"/>
      <c r="J1052" s="7">
        <f>IF($B1052="","",I1052*Q1052/100)</f>
        <v/>
      </c>
      <c r="P1052" s="7" t="n"/>
      <c r="Q1052" s="7" t="n"/>
      <c r="R1052" s="7">
        <f>IF($B1052="","",Q1052*W1052/100)</f>
        <v/>
      </c>
      <c r="S1052" s="7">
        <f>IF($B1052="","",Q1052-R1052)</f>
        <v/>
      </c>
      <c r="T1052" s="7">
        <f>IF($B1052="","",S1052-J1052)</f>
        <v/>
      </c>
      <c r="W1052">
        <f>IF($B1052="","",IF($AI1052=1,0,IF($AH1052=1,Settings!$C$6,Settings!$C$7))*100)</f>
        <v/>
      </c>
      <c r="AA1052" s="7" t="n"/>
      <c r="AD1052" s="11" t="n"/>
      <c r="AF1052">
        <f>IF($B1052="","",IF(COUNTIF($B$2:$B1052,$B1052)=1,1,0))</f>
        <v/>
      </c>
      <c r="AG1052">
        <f>IF($AF1052=1,SUMPRODUCT(--($AJ$2:$AJ$1501&lt;$AJ1052))+1,"")</f>
        <v/>
      </c>
      <c r="AH1052">
        <f>IF($B1052="","",IF(OR($M1052=TRUE(),$M1052="TRUE"),1,0))</f>
        <v/>
      </c>
      <c r="AI1052">
        <f>IF($B1052="","",IF($V1052="Yes",1,0))</f>
        <v/>
      </c>
      <c r="AJ1052">
        <f>IF($AF1052=1,IFERROR(IF(VALUE($B1052)&lt;100000000,VALUE($B1052),1000000000),IFERROR(IF(VALUE(MID($B1052,2,20))&lt;100000000,VALUE(MID($B1052,2,20)),1000000000),1000000000))+ROW()/100000,"")</f>
        <v/>
      </c>
    </row>
    <row r="1053">
      <c r="C1053" s="11" t="n"/>
      <c r="J1053" s="7">
        <f>IF($B1053="","",I1053*Q1053/100)</f>
        <v/>
      </c>
      <c r="P1053" s="7" t="n"/>
      <c r="Q1053" s="7" t="n"/>
      <c r="R1053" s="7">
        <f>IF($B1053="","",Q1053*W1053/100)</f>
        <v/>
      </c>
      <c r="S1053" s="7">
        <f>IF($B1053="","",Q1053-R1053)</f>
        <v/>
      </c>
      <c r="T1053" s="7">
        <f>IF($B1053="","",S1053-J1053)</f>
        <v/>
      </c>
      <c r="W1053">
        <f>IF($B1053="","",IF($AI1053=1,0,IF($AH1053=1,Settings!$C$6,Settings!$C$7))*100)</f>
        <v/>
      </c>
      <c r="AA1053" s="7" t="n"/>
      <c r="AD1053" s="11" t="n"/>
      <c r="AF1053">
        <f>IF($B1053="","",IF(COUNTIF($B$2:$B1053,$B1053)=1,1,0))</f>
        <v/>
      </c>
      <c r="AG1053">
        <f>IF($AF1053=1,SUMPRODUCT(--($AJ$2:$AJ$1501&lt;$AJ1053))+1,"")</f>
        <v/>
      </c>
      <c r="AH1053">
        <f>IF($B1053="","",IF(OR($M1053=TRUE(),$M1053="TRUE"),1,0))</f>
        <v/>
      </c>
      <c r="AI1053">
        <f>IF($B1053="","",IF($V1053="Yes",1,0))</f>
        <v/>
      </c>
      <c r="AJ1053">
        <f>IF($AF1053=1,IFERROR(IF(VALUE($B1053)&lt;100000000,VALUE($B1053),1000000000),IFERROR(IF(VALUE(MID($B1053,2,20))&lt;100000000,VALUE(MID($B1053,2,20)),1000000000),1000000000))+ROW()/100000,"")</f>
        <v/>
      </c>
    </row>
    <row r="1054">
      <c r="C1054" s="11" t="n"/>
      <c r="J1054" s="7">
        <f>IF($B1054="","",I1054*Q1054/100)</f>
        <v/>
      </c>
      <c r="P1054" s="7" t="n"/>
      <c r="Q1054" s="7" t="n"/>
      <c r="R1054" s="7">
        <f>IF($B1054="","",Q1054*W1054/100)</f>
        <v/>
      </c>
      <c r="S1054" s="7">
        <f>IF($B1054="","",Q1054-R1054)</f>
        <v/>
      </c>
      <c r="T1054" s="7">
        <f>IF($B1054="","",S1054-J1054)</f>
        <v/>
      </c>
      <c r="W1054">
        <f>IF($B1054="","",IF($AI1054=1,0,IF($AH1054=1,Settings!$C$6,Settings!$C$7))*100)</f>
        <v/>
      </c>
      <c r="AA1054" s="7" t="n"/>
      <c r="AD1054" s="11" t="n"/>
      <c r="AF1054">
        <f>IF($B1054="","",IF(COUNTIF($B$2:$B1054,$B1054)=1,1,0))</f>
        <v/>
      </c>
      <c r="AG1054">
        <f>IF($AF1054=1,SUMPRODUCT(--($AJ$2:$AJ$1501&lt;$AJ1054))+1,"")</f>
        <v/>
      </c>
      <c r="AH1054">
        <f>IF($B1054="","",IF(OR($M1054=TRUE(),$M1054="TRUE"),1,0))</f>
        <v/>
      </c>
      <c r="AI1054">
        <f>IF($B1054="","",IF($V1054="Yes",1,0))</f>
        <v/>
      </c>
      <c r="AJ1054">
        <f>IF($AF1054=1,IFERROR(IF(VALUE($B1054)&lt;100000000,VALUE($B1054),1000000000),IFERROR(IF(VALUE(MID($B1054,2,20))&lt;100000000,VALUE(MID($B1054,2,20)),1000000000),1000000000))+ROW()/100000,"")</f>
        <v/>
      </c>
    </row>
    <row r="1055">
      <c r="C1055" s="11" t="n"/>
      <c r="J1055" s="7">
        <f>IF($B1055="","",I1055*Q1055/100)</f>
        <v/>
      </c>
      <c r="P1055" s="7" t="n"/>
      <c r="Q1055" s="7" t="n"/>
      <c r="R1055" s="7">
        <f>IF($B1055="","",Q1055*W1055/100)</f>
        <v/>
      </c>
      <c r="S1055" s="7">
        <f>IF($B1055="","",Q1055-R1055)</f>
        <v/>
      </c>
      <c r="T1055" s="7">
        <f>IF($B1055="","",S1055-J1055)</f>
        <v/>
      </c>
      <c r="W1055">
        <f>IF($B1055="","",IF($AI1055=1,0,IF($AH1055=1,Settings!$C$6,Settings!$C$7))*100)</f>
        <v/>
      </c>
      <c r="AA1055" s="7" t="n"/>
      <c r="AD1055" s="11" t="n"/>
      <c r="AF1055">
        <f>IF($B1055="","",IF(COUNTIF($B$2:$B1055,$B1055)=1,1,0))</f>
        <v/>
      </c>
      <c r="AG1055">
        <f>IF($AF1055=1,SUMPRODUCT(--($AJ$2:$AJ$1501&lt;$AJ1055))+1,"")</f>
        <v/>
      </c>
      <c r="AH1055">
        <f>IF($B1055="","",IF(OR($M1055=TRUE(),$M1055="TRUE"),1,0))</f>
        <v/>
      </c>
      <c r="AI1055">
        <f>IF($B1055="","",IF($V1055="Yes",1,0))</f>
        <v/>
      </c>
      <c r="AJ1055">
        <f>IF($AF1055=1,IFERROR(IF(VALUE($B1055)&lt;100000000,VALUE($B1055),1000000000),IFERROR(IF(VALUE(MID($B1055,2,20))&lt;100000000,VALUE(MID($B1055,2,20)),1000000000),1000000000))+ROW()/100000,"")</f>
        <v/>
      </c>
    </row>
    <row r="1056">
      <c r="C1056" s="11" t="n"/>
      <c r="J1056" s="7">
        <f>IF($B1056="","",I1056*Q1056/100)</f>
        <v/>
      </c>
      <c r="P1056" s="7" t="n"/>
      <c r="Q1056" s="7" t="n"/>
      <c r="R1056" s="7">
        <f>IF($B1056="","",Q1056*W1056/100)</f>
        <v/>
      </c>
      <c r="S1056" s="7">
        <f>IF($B1056="","",Q1056-R1056)</f>
        <v/>
      </c>
      <c r="T1056" s="7">
        <f>IF($B1056="","",S1056-J1056)</f>
        <v/>
      </c>
      <c r="W1056">
        <f>IF($B1056="","",IF($AI1056=1,0,IF($AH1056=1,Settings!$C$6,Settings!$C$7))*100)</f>
        <v/>
      </c>
      <c r="AA1056" s="7" t="n"/>
      <c r="AD1056" s="11" t="n"/>
      <c r="AF1056">
        <f>IF($B1056="","",IF(COUNTIF($B$2:$B1056,$B1056)=1,1,0))</f>
        <v/>
      </c>
      <c r="AG1056">
        <f>IF($AF1056=1,SUMPRODUCT(--($AJ$2:$AJ$1501&lt;$AJ1056))+1,"")</f>
        <v/>
      </c>
      <c r="AH1056">
        <f>IF($B1056="","",IF(OR($M1056=TRUE(),$M1056="TRUE"),1,0))</f>
        <v/>
      </c>
      <c r="AI1056">
        <f>IF($B1056="","",IF($V1056="Yes",1,0))</f>
        <v/>
      </c>
      <c r="AJ1056">
        <f>IF($AF1056=1,IFERROR(IF(VALUE($B1056)&lt;100000000,VALUE($B1056),1000000000),IFERROR(IF(VALUE(MID($B1056,2,20))&lt;100000000,VALUE(MID($B1056,2,20)),1000000000),1000000000))+ROW()/100000,"")</f>
        <v/>
      </c>
    </row>
    <row r="1057">
      <c r="C1057" s="11" t="n"/>
      <c r="J1057" s="7">
        <f>IF($B1057="","",I1057*Q1057/100)</f>
        <v/>
      </c>
      <c r="P1057" s="7" t="n"/>
      <c r="Q1057" s="7" t="n"/>
      <c r="R1057" s="7">
        <f>IF($B1057="","",Q1057*W1057/100)</f>
        <v/>
      </c>
      <c r="S1057" s="7">
        <f>IF($B1057="","",Q1057-R1057)</f>
        <v/>
      </c>
      <c r="T1057" s="7">
        <f>IF($B1057="","",S1057-J1057)</f>
        <v/>
      </c>
      <c r="W1057">
        <f>IF($B1057="","",IF($AI1057=1,0,IF($AH1057=1,Settings!$C$6,Settings!$C$7))*100)</f>
        <v/>
      </c>
      <c r="AA1057" s="7" t="n"/>
      <c r="AD1057" s="11" t="n"/>
      <c r="AF1057">
        <f>IF($B1057="","",IF(COUNTIF($B$2:$B1057,$B1057)=1,1,0))</f>
        <v/>
      </c>
      <c r="AG1057">
        <f>IF($AF1057=1,SUMPRODUCT(--($AJ$2:$AJ$1501&lt;$AJ1057))+1,"")</f>
        <v/>
      </c>
      <c r="AH1057">
        <f>IF($B1057="","",IF(OR($M1057=TRUE(),$M1057="TRUE"),1,0))</f>
        <v/>
      </c>
      <c r="AI1057">
        <f>IF($B1057="","",IF($V1057="Yes",1,0))</f>
        <v/>
      </c>
      <c r="AJ1057">
        <f>IF($AF1057=1,IFERROR(IF(VALUE($B1057)&lt;100000000,VALUE($B1057),1000000000),IFERROR(IF(VALUE(MID($B1057,2,20))&lt;100000000,VALUE(MID($B1057,2,20)),1000000000),1000000000))+ROW()/100000,"")</f>
        <v/>
      </c>
    </row>
    <row r="1058">
      <c r="C1058" s="11" t="n"/>
      <c r="J1058" s="7">
        <f>IF($B1058="","",I1058*Q1058/100)</f>
        <v/>
      </c>
      <c r="P1058" s="7" t="n"/>
      <c r="Q1058" s="7" t="n"/>
      <c r="R1058" s="7">
        <f>IF($B1058="","",Q1058*W1058/100)</f>
        <v/>
      </c>
      <c r="S1058" s="7">
        <f>IF($B1058="","",Q1058-R1058)</f>
        <v/>
      </c>
      <c r="T1058" s="7">
        <f>IF($B1058="","",S1058-J1058)</f>
        <v/>
      </c>
      <c r="W1058">
        <f>IF($B1058="","",IF($AI1058=1,0,IF($AH1058=1,Settings!$C$6,Settings!$C$7))*100)</f>
        <v/>
      </c>
      <c r="AA1058" s="7" t="n"/>
      <c r="AD1058" s="11" t="n"/>
      <c r="AF1058">
        <f>IF($B1058="","",IF(COUNTIF($B$2:$B1058,$B1058)=1,1,0))</f>
        <v/>
      </c>
      <c r="AG1058">
        <f>IF($AF1058=1,SUMPRODUCT(--($AJ$2:$AJ$1501&lt;$AJ1058))+1,"")</f>
        <v/>
      </c>
      <c r="AH1058">
        <f>IF($B1058="","",IF(OR($M1058=TRUE(),$M1058="TRUE"),1,0))</f>
        <v/>
      </c>
      <c r="AI1058">
        <f>IF($B1058="","",IF($V1058="Yes",1,0))</f>
        <v/>
      </c>
      <c r="AJ1058">
        <f>IF($AF1058=1,IFERROR(IF(VALUE($B1058)&lt;100000000,VALUE($B1058),1000000000),IFERROR(IF(VALUE(MID($B1058,2,20))&lt;100000000,VALUE(MID($B1058,2,20)),1000000000),1000000000))+ROW()/100000,"")</f>
        <v/>
      </c>
    </row>
    <row r="1059">
      <c r="C1059" s="11" t="n"/>
      <c r="J1059" s="7">
        <f>IF($B1059="","",I1059*Q1059/100)</f>
        <v/>
      </c>
      <c r="P1059" s="7" t="n"/>
      <c r="Q1059" s="7" t="n"/>
      <c r="R1059" s="7">
        <f>IF($B1059="","",Q1059*W1059/100)</f>
        <v/>
      </c>
      <c r="S1059" s="7">
        <f>IF($B1059="","",Q1059-R1059)</f>
        <v/>
      </c>
      <c r="T1059" s="7">
        <f>IF($B1059="","",S1059-J1059)</f>
        <v/>
      </c>
      <c r="W1059">
        <f>IF($B1059="","",IF($AI1059=1,0,IF($AH1059=1,Settings!$C$6,Settings!$C$7))*100)</f>
        <v/>
      </c>
      <c r="AA1059" s="7" t="n"/>
      <c r="AD1059" s="11" t="n"/>
      <c r="AF1059">
        <f>IF($B1059="","",IF(COUNTIF($B$2:$B1059,$B1059)=1,1,0))</f>
        <v/>
      </c>
      <c r="AG1059">
        <f>IF($AF1059=1,SUMPRODUCT(--($AJ$2:$AJ$1501&lt;$AJ1059))+1,"")</f>
        <v/>
      </c>
      <c r="AH1059">
        <f>IF($B1059="","",IF(OR($M1059=TRUE(),$M1059="TRUE"),1,0))</f>
        <v/>
      </c>
      <c r="AI1059">
        <f>IF($B1059="","",IF($V1059="Yes",1,0))</f>
        <v/>
      </c>
      <c r="AJ1059">
        <f>IF($AF1059=1,IFERROR(IF(VALUE($B1059)&lt;100000000,VALUE($B1059),1000000000),IFERROR(IF(VALUE(MID($B1059,2,20))&lt;100000000,VALUE(MID($B1059,2,20)),1000000000),1000000000))+ROW()/100000,"")</f>
        <v/>
      </c>
    </row>
    <row r="1060">
      <c r="C1060" s="11" t="n"/>
      <c r="J1060" s="7">
        <f>IF($B1060="","",I1060*Q1060/100)</f>
        <v/>
      </c>
      <c r="P1060" s="7" t="n"/>
      <c r="Q1060" s="7" t="n"/>
      <c r="R1060" s="7">
        <f>IF($B1060="","",Q1060*W1060/100)</f>
        <v/>
      </c>
      <c r="S1060" s="7">
        <f>IF($B1060="","",Q1060-R1060)</f>
        <v/>
      </c>
      <c r="T1060" s="7">
        <f>IF($B1060="","",S1060-J1060)</f>
        <v/>
      </c>
      <c r="W1060">
        <f>IF($B1060="","",IF($AI1060=1,0,IF($AH1060=1,Settings!$C$6,Settings!$C$7))*100)</f>
        <v/>
      </c>
      <c r="AA1060" s="7" t="n"/>
      <c r="AD1060" s="11" t="n"/>
      <c r="AF1060">
        <f>IF($B1060="","",IF(COUNTIF($B$2:$B1060,$B1060)=1,1,0))</f>
        <v/>
      </c>
      <c r="AG1060">
        <f>IF($AF1060=1,SUMPRODUCT(--($AJ$2:$AJ$1501&lt;$AJ1060))+1,"")</f>
        <v/>
      </c>
      <c r="AH1060">
        <f>IF($B1060="","",IF(OR($M1060=TRUE(),$M1060="TRUE"),1,0))</f>
        <v/>
      </c>
      <c r="AI1060">
        <f>IF($B1060="","",IF($V1060="Yes",1,0))</f>
        <v/>
      </c>
      <c r="AJ1060">
        <f>IF($AF1060=1,IFERROR(IF(VALUE($B1060)&lt;100000000,VALUE($B1060),1000000000),IFERROR(IF(VALUE(MID($B1060,2,20))&lt;100000000,VALUE(MID($B1060,2,20)),1000000000),1000000000))+ROW()/100000,"")</f>
        <v/>
      </c>
    </row>
    <row r="1061">
      <c r="C1061" s="11" t="n"/>
      <c r="J1061" s="7">
        <f>IF($B1061="","",I1061*Q1061/100)</f>
        <v/>
      </c>
      <c r="P1061" s="7" t="n"/>
      <c r="Q1061" s="7" t="n"/>
      <c r="R1061" s="7">
        <f>IF($B1061="","",Q1061*W1061/100)</f>
        <v/>
      </c>
      <c r="S1061" s="7">
        <f>IF($B1061="","",Q1061-R1061)</f>
        <v/>
      </c>
      <c r="T1061" s="7">
        <f>IF($B1061="","",S1061-J1061)</f>
        <v/>
      </c>
      <c r="W1061">
        <f>IF($B1061="","",IF($AI1061=1,0,IF($AH1061=1,Settings!$C$6,Settings!$C$7))*100)</f>
        <v/>
      </c>
      <c r="AA1061" s="7" t="n"/>
      <c r="AD1061" s="11" t="n"/>
      <c r="AF1061">
        <f>IF($B1061="","",IF(COUNTIF($B$2:$B1061,$B1061)=1,1,0))</f>
        <v/>
      </c>
      <c r="AG1061">
        <f>IF($AF1061=1,SUMPRODUCT(--($AJ$2:$AJ$1501&lt;$AJ1061))+1,"")</f>
        <v/>
      </c>
      <c r="AH1061">
        <f>IF($B1061="","",IF(OR($M1061=TRUE(),$M1061="TRUE"),1,0))</f>
        <v/>
      </c>
      <c r="AI1061">
        <f>IF($B1061="","",IF($V1061="Yes",1,0))</f>
        <v/>
      </c>
      <c r="AJ1061">
        <f>IF($AF1061=1,IFERROR(IF(VALUE($B1061)&lt;100000000,VALUE($B1061),1000000000),IFERROR(IF(VALUE(MID($B1061,2,20))&lt;100000000,VALUE(MID($B1061,2,20)),1000000000),1000000000))+ROW()/100000,"")</f>
        <v/>
      </c>
    </row>
    <row r="1062">
      <c r="C1062" s="11" t="n"/>
      <c r="J1062" s="7">
        <f>IF($B1062="","",I1062*Q1062/100)</f>
        <v/>
      </c>
      <c r="P1062" s="7" t="n"/>
      <c r="Q1062" s="7" t="n"/>
      <c r="R1062" s="7">
        <f>IF($B1062="","",Q1062*W1062/100)</f>
        <v/>
      </c>
      <c r="S1062" s="7">
        <f>IF($B1062="","",Q1062-R1062)</f>
        <v/>
      </c>
      <c r="T1062" s="7">
        <f>IF($B1062="","",S1062-J1062)</f>
        <v/>
      </c>
      <c r="W1062">
        <f>IF($B1062="","",IF($AI1062=1,0,IF($AH1062=1,Settings!$C$6,Settings!$C$7))*100)</f>
        <v/>
      </c>
      <c r="AA1062" s="7" t="n"/>
      <c r="AD1062" s="11" t="n"/>
      <c r="AF1062">
        <f>IF($B1062="","",IF(COUNTIF($B$2:$B1062,$B1062)=1,1,0))</f>
        <v/>
      </c>
      <c r="AG1062">
        <f>IF($AF1062=1,SUMPRODUCT(--($AJ$2:$AJ$1501&lt;$AJ1062))+1,"")</f>
        <v/>
      </c>
      <c r="AH1062">
        <f>IF($B1062="","",IF(OR($M1062=TRUE(),$M1062="TRUE"),1,0))</f>
        <v/>
      </c>
      <c r="AI1062">
        <f>IF($B1062="","",IF($V1062="Yes",1,0))</f>
        <v/>
      </c>
      <c r="AJ1062">
        <f>IF($AF1062=1,IFERROR(IF(VALUE($B1062)&lt;100000000,VALUE($B1062),1000000000),IFERROR(IF(VALUE(MID($B1062,2,20))&lt;100000000,VALUE(MID($B1062,2,20)),1000000000),1000000000))+ROW()/100000,"")</f>
        <v/>
      </c>
    </row>
    <row r="1063">
      <c r="C1063" s="11" t="n"/>
      <c r="J1063" s="7">
        <f>IF($B1063="","",I1063*Q1063/100)</f>
        <v/>
      </c>
      <c r="P1063" s="7" t="n"/>
      <c r="Q1063" s="7" t="n"/>
      <c r="R1063" s="7">
        <f>IF($B1063="","",Q1063*W1063/100)</f>
        <v/>
      </c>
      <c r="S1063" s="7">
        <f>IF($B1063="","",Q1063-R1063)</f>
        <v/>
      </c>
      <c r="T1063" s="7">
        <f>IF($B1063="","",S1063-J1063)</f>
        <v/>
      </c>
      <c r="W1063">
        <f>IF($B1063="","",IF($AI1063=1,0,IF($AH1063=1,Settings!$C$6,Settings!$C$7))*100)</f>
        <v/>
      </c>
      <c r="AA1063" s="7" t="n"/>
      <c r="AD1063" s="11" t="n"/>
      <c r="AF1063">
        <f>IF($B1063="","",IF(COUNTIF($B$2:$B1063,$B1063)=1,1,0))</f>
        <v/>
      </c>
      <c r="AG1063">
        <f>IF($AF1063=1,SUMPRODUCT(--($AJ$2:$AJ$1501&lt;$AJ1063))+1,"")</f>
        <v/>
      </c>
      <c r="AH1063">
        <f>IF($B1063="","",IF(OR($M1063=TRUE(),$M1063="TRUE"),1,0))</f>
        <v/>
      </c>
      <c r="AI1063">
        <f>IF($B1063="","",IF($V1063="Yes",1,0))</f>
        <v/>
      </c>
      <c r="AJ1063">
        <f>IF($AF1063=1,IFERROR(IF(VALUE($B1063)&lt;100000000,VALUE($B1063),1000000000),IFERROR(IF(VALUE(MID($B1063,2,20))&lt;100000000,VALUE(MID($B1063,2,20)),1000000000),1000000000))+ROW()/100000,"")</f>
        <v/>
      </c>
    </row>
    <row r="1064">
      <c r="C1064" s="11" t="n"/>
      <c r="J1064" s="7">
        <f>IF($B1064="","",I1064*Q1064/100)</f>
        <v/>
      </c>
      <c r="P1064" s="7" t="n"/>
      <c r="Q1064" s="7" t="n"/>
      <c r="R1064" s="7">
        <f>IF($B1064="","",Q1064*W1064/100)</f>
        <v/>
      </c>
      <c r="S1064" s="7">
        <f>IF($B1064="","",Q1064-R1064)</f>
        <v/>
      </c>
      <c r="T1064" s="7">
        <f>IF($B1064="","",S1064-J1064)</f>
        <v/>
      </c>
      <c r="W1064">
        <f>IF($B1064="","",IF($AI1064=1,0,IF($AH1064=1,Settings!$C$6,Settings!$C$7))*100)</f>
        <v/>
      </c>
      <c r="AA1064" s="7" t="n"/>
      <c r="AD1064" s="11" t="n"/>
      <c r="AF1064">
        <f>IF($B1064="","",IF(COUNTIF($B$2:$B1064,$B1064)=1,1,0))</f>
        <v/>
      </c>
      <c r="AG1064">
        <f>IF($AF1064=1,SUMPRODUCT(--($AJ$2:$AJ$1501&lt;$AJ1064))+1,"")</f>
        <v/>
      </c>
      <c r="AH1064">
        <f>IF($B1064="","",IF(OR($M1064=TRUE(),$M1064="TRUE"),1,0))</f>
        <v/>
      </c>
      <c r="AI1064">
        <f>IF($B1064="","",IF($V1064="Yes",1,0))</f>
        <v/>
      </c>
      <c r="AJ1064">
        <f>IF($AF1064=1,IFERROR(IF(VALUE($B1064)&lt;100000000,VALUE($B1064),1000000000),IFERROR(IF(VALUE(MID($B1064,2,20))&lt;100000000,VALUE(MID($B1064,2,20)),1000000000),1000000000))+ROW()/100000,"")</f>
        <v/>
      </c>
    </row>
    <row r="1065">
      <c r="C1065" s="11" t="n"/>
      <c r="J1065" s="7">
        <f>IF($B1065="","",I1065*Q1065/100)</f>
        <v/>
      </c>
      <c r="P1065" s="7" t="n"/>
      <c r="Q1065" s="7" t="n"/>
      <c r="R1065" s="7">
        <f>IF($B1065="","",Q1065*W1065/100)</f>
        <v/>
      </c>
      <c r="S1065" s="7">
        <f>IF($B1065="","",Q1065-R1065)</f>
        <v/>
      </c>
      <c r="T1065" s="7">
        <f>IF($B1065="","",S1065-J1065)</f>
        <v/>
      </c>
      <c r="W1065">
        <f>IF($B1065="","",IF($AI1065=1,0,IF($AH1065=1,Settings!$C$6,Settings!$C$7))*100)</f>
        <v/>
      </c>
      <c r="AA1065" s="7" t="n"/>
      <c r="AD1065" s="11" t="n"/>
      <c r="AF1065">
        <f>IF($B1065="","",IF(COUNTIF($B$2:$B1065,$B1065)=1,1,0))</f>
        <v/>
      </c>
      <c r="AG1065">
        <f>IF($AF1065=1,SUMPRODUCT(--($AJ$2:$AJ$1501&lt;$AJ1065))+1,"")</f>
        <v/>
      </c>
      <c r="AH1065">
        <f>IF($B1065="","",IF(OR($M1065=TRUE(),$M1065="TRUE"),1,0))</f>
        <v/>
      </c>
      <c r="AI1065">
        <f>IF($B1065="","",IF($V1065="Yes",1,0))</f>
        <v/>
      </c>
      <c r="AJ1065">
        <f>IF($AF1065=1,IFERROR(IF(VALUE($B1065)&lt;100000000,VALUE($B1065),1000000000),IFERROR(IF(VALUE(MID($B1065,2,20))&lt;100000000,VALUE(MID($B1065,2,20)),1000000000),1000000000))+ROW()/100000,"")</f>
        <v/>
      </c>
    </row>
    <row r="1066">
      <c r="C1066" s="11" t="n"/>
      <c r="J1066" s="7">
        <f>IF($B1066="","",I1066*Q1066/100)</f>
        <v/>
      </c>
      <c r="P1066" s="7" t="n"/>
      <c r="Q1066" s="7" t="n"/>
      <c r="R1066" s="7">
        <f>IF($B1066="","",Q1066*W1066/100)</f>
        <v/>
      </c>
      <c r="S1066" s="7">
        <f>IF($B1066="","",Q1066-R1066)</f>
        <v/>
      </c>
      <c r="T1066" s="7">
        <f>IF($B1066="","",S1066-J1066)</f>
        <v/>
      </c>
      <c r="W1066">
        <f>IF($B1066="","",IF($AI1066=1,0,IF($AH1066=1,Settings!$C$6,Settings!$C$7))*100)</f>
        <v/>
      </c>
      <c r="AA1066" s="7" t="n"/>
      <c r="AD1066" s="11" t="n"/>
      <c r="AF1066">
        <f>IF($B1066="","",IF(COUNTIF($B$2:$B1066,$B1066)=1,1,0))</f>
        <v/>
      </c>
      <c r="AG1066">
        <f>IF($AF1066=1,SUMPRODUCT(--($AJ$2:$AJ$1501&lt;$AJ1066))+1,"")</f>
        <v/>
      </c>
      <c r="AH1066">
        <f>IF($B1066="","",IF(OR($M1066=TRUE(),$M1066="TRUE"),1,0))</f>
        <v/>
      </c>
      <c r="AI1066">
        <f>IF($B1066="","",IF($V1066="Yes",1,0))</f>
        <v/>
      </c>
      <c r="AJ1066">
        <f>IF($AF1066=1,IFERROR(IF(VALUE($B1066)&lt;100000000,VALUE($B1066),1000000000),IFERROR(IF(VALUE(MID($B1066,2,20))&lt;100000000,VALUE(MID($B1066,2,20)),1000000000),1000000000))+ROW()/100000,"")</f>
        <v/>
      </c>
    </row>
    <row r="1067">
      <c r="C1067" s="11" t="n"/>
      <c r="J1067" s="7">
        <f>IF($B1067="","",I1067*Q1067/100)</f>
        <v/>
      </c>
      <c r="P1067" s="7" t="n"/>
      <c r="Q1067" s="7" t="n"/>
      <c r="R1067" s="7">
        <f>IF($B1067="","",Q1067*W1067/100)</f>
        <v/>
      </c>
      <c r="S1067" s="7">
        <f>IF($B1067="","",Q1067-R1067)</f>
        <v/>
      </c>
      <c r="T1067" s="7">
        <f>IF($B1067="","",S1067-J1067)</f>
        <v/>
      </c>
      <c r="W1067">
        <f>IF($B1067="","",IF($AI1067=1,0,IF($AH1067=1,Settings!$C$6,Settings!$C$7))*100)</f>
        <v/>
      </c>
      <c r="AA1067" s="7" t="n"/>
      <c r="AD1067" s="11" t="n"/>
      <c r="AF1067">
        <f>IF($B1067="","",IF(COUNTIF($B$2:$B1067,$B1067)=1,1,0))</f>
        <v/>
      </c>
      <c r="AG1067">
        <f>IF($AF1067=1,SUMPRODUCT(--($AJ$2:$AJ$1501&lt;$AJ1067))+1,"")</f>
        <v/>
      </c>
      <c r="AH1067">
        <f>IF($B1067="","",IF(OR($M1067=TRUE(),$M1067="TRUE"),1,0))</f>
        <v/>
      </c>
      <c r="AI1067">
        <f>IF($B1067="","",IF($V1067="Yes",1,0))</f>
        <v/>
      </c>
      <c r="AJ1067">
        <f>IF($AF1067=1,IFERROR(IF(VALUE($B1067)&lt;100000000,VALUE($B1067),1000000000),IFERROR(IF(VALUE(MID($B1067,2,20))&lt;100000000,VALUE(MID($B1067,2,20)),1000000000),1000000000))+ROW()/100000,"")</f>
        <v/>
      </c>
    </row>
    <row r="1068">
      <c r="C1068" s="11" t="n"/>
      <c r="J1068" s="7">
        <f>IF($B1068="","",I1068*Q1068/100)</f>
        <v/>
      </c>
      <c r="P1068" s="7" t="n"/>
      <c r="Q1068" s="7" t="n"/>
      <c r="R1068" s="7">
        <f>IF($B1068="","",Q1068*W1068/100)</f>
        <v/>
      </c>
      <c r="S1068" s="7">
        <f>IF($B1068="","",Q1068-R1068)</f>
        <v/>
      </c>
      <c r="T1068" s="7">
        <f>IF($B1068="","",S1068-J1068)</f>
        <v/>
      </c>
      <c r="W1068">
        <f>IF($B1068="","",IF($AI1068=1,0,IF($AH1068=1,Settings!$C$6,Settings!$C$7))*100)</f>
        <v/>
      </c>
      <c r="AA1068" s="7" t="n"/>
      <c r="AD1068" s="11" t="n"/>
      <c r="AF1068">
        <f>IF($B1068="","",IF(COUNTIF($B$2:$B1068,$B1068)=1,1,0))</f>
        <v/>
      </c>
      <c r="AG1068">
        <f>IF($AF1068=1,SUMPRODUCT(--($AJ$2:$AJ$1501&lt;$AJ1068))+1,"")</f>
        <v/>
      </c>
      <c r="AH1068">
        <f>IF($B1068="","",IF(OR($M1068=TRUE(),$M1068="TRUE"),1,0))</f>
        <v/>
      </c>
      <c r="AI1068">
        <f>IF($B1068="","",IF($V1068="Yes",1,0))</f>
        <v/>
      </c>
      <c r="AJ1068">
        <f>IF($AF1068=1,IFERROR(IF(VALUE($B1068)&lt;100000000,VALUE($B1068),1000000000),IFERROR(IF(VALUE(MID($B1068,2,20))&lt;100000000,VALUE(MID($B1068,2,20)),1000000000),1000000000))+ROW()/100000,"")</f>
        <v/>
      </c>
    </row>
    <row r="1069">
      <c r="C1069" s="11" t="n"/>
      <c r="J1069" s="7">
        <f>IF($B1069="","",I1069*Q1069/100)</f>
        <v/>
      </c>
      <c r="P1069" s="7" t="n"/>
      <c r="Q1069" s="7" t="n"/>
      <c r="R1069" s="7">
        <f>IF($B1069="","",Q1069*W1069/100)</f>
        <v/>
      </c>
      <c r="S1069" s="7">
        <f>IF($B1069="","",Q1069-R1069)</f>
        <v/>
      </c>
      <c r="T1069" s="7">
        <f>IF($B1069="","",S1069-J1069)</f>
        <v/>
      </c>
      <c r="W1069">
        <f>IF($B1069="","",IF($AI1069=1,0,IF($AH1069=1,Settings!$C$6,Settings!$C$7))*100)</f>
        <v/>
      </c>
      <c r="AA1069" s="7" t="n"/>
      <c r="AD1069" s="11" t="n"/>
      <c r="AF1069">
        <f>IF($B1069="","",IF(COUNTIF($B$2:$B1069,$B1069)=1,1,0))</f>
        <v/>
      </c>
      <c r="AG1069">
        <f>IF($AF1069=1,SUMPRODUCT(--($AJ$2:$AJ$1501&lt;$AJ1069))+1,"")</f>
        <v/>
      </c>
      <c r="AH1069">
        <f>IF($B1069="","",IF(OR($M1069=TRUE(),$M1069="TRUE"),1,0))</f>
        <v/>
      </c>
      <c r="AI1069">
        <f>IF($B1069="","",IF($V1069="Yes",1,0))</f>
        <v/>
      </c>
      <c r="AJ1069">
        <f>IF($AF1069=1,IFERROR(IF(VALUE($B1069)&lt;100000000,VALUE($B1069),1000000000),IFERROR(IF(VALUE(MID($B1069,2,20))&lt;100000000,VALUE(MID($B1069,2,20)),1000000000),1000000000))+ROW()/100000,"")</f>
        <v/>
      </c>
    </row>
    <row r="1070">
      <c r="C1070" s="11" t="n"/>
      <c r="J1070" s="7">
        <f>IF($B1070="","",I1070*Q1070/100)</f>
        <v/>
      </c>
      <c r="P1070" s="7" t="n"/>
      <c r="Q1070" s="7" t="n"/>
      <c r="R1070" s="7">
        <f>IF($B1070="","",Q1070*W1070/100)</f>
        <v/>
      </c>
      <c r="S1070" s="7">
        <f>IF($B1070="","",Q1070-R1070)</f>
        <v/>
      </c>
      <c r="T1070" s="7">
        <f>IF($B1070="","",S1070-J1070)</f>
        <v/>
      </c>
      <c r="W1070">
        <f>IF($B1070="","",IF($AI1070=1,0,IF($AH1070=1,Settings!$C$6,Settings!$C$7))*100)</f>
        <v/>
      </c>
      <c r="AA1070" s="7" t="n"/>
      <c r="AD1070" s="11" t="n"/>
      <c r="AF1070">
        <f>IF($B1070="","",IF(COUNTIF($B$2:$B1070,$B1070)=1,1,0))</f>
        <v/>
      </c>
      <c r="AG1070">
        <f>IF($AF1070=1,SUMPRODUCT(--($AJ$2:$AJ$1501&lt;$AJ1070))+1,"")</f>
        <v/>
      </c>
      <c r="AH1070">
        <f>IF($B1070="","",IF(OR($M1070=TRUE(),$M1070="TRUE"),1,0))</f>
        <v/>
      </c>
      <c r="AI1070">
        <f>IF($B1070="","",IF($V1070="Yes",1,0))</f>
        <v/>
      </c>
      <c r="AJ1070">
        <f>IF($AF1070=1,IFERROR(IF(VALUE($B1070)&lt;100000000,VALUE($B1070),1000000000),IFERROR(IF(VALUE(MID($B1070,2,20))&lt;100000000,VALUE(MID($B1070,2,20)),1000000000),1000000000))+ROW()/100000,"")</f>
        <v/>
      </c>
    </row>
    <row r="1071">
      <c r="C1071" s="11" t="n"/>
      <c r="J1071" s="7">
        <f>IF($B1071="","",I1071*Q1071/100)</f>
        <v/>
      </c>
      <c r="P1071" s="7" t="n"/>
      <c r="Q1071" s="7" t="n"/>
      <c r="R1071" s="7">
        <f>IF($B1071="","",Q1071*W1071/100)</f>
        <v/>
      </c>
      <c r="S1071" s="7">
        <f>IF($B1071="","",Q1071-R1071)</f>
        <v/>
      </c>
      <c r="T1071" s="7">
        <f>IF($B1071="","",S1071-J1071)</f>
        <v/>
      </c>
      <c r="W1071">
        <f>IF($B1071="","",IF($AI1071=1,0,IF($AH1071=1,Settings!$C$6,Settings!$C$7))*100)</f>
        <v/>
      </c>
      <c r="AA1071" s="7" t="n"/>
      <c r="AD1071" s="11" t="n"/>
      <c r="AF1071">
        <f>IF($B1071="","",IF(COUNTIF($B$2:$B1071,$B1071)=1,1,0))</f>
        <v/>
      </c>
      <c r="AG1071">
        <f>IF($AF1071=1,SUMPRODUCT(--($AJ$2:$AJ$1501&lt;$AJ1071))+1,"")</f>
        <v/>
      </c>
      <c r="AH1071">
        <f>IF($B1071="","",IF(OR($M1071=TRUE(),$M1071="TRUE"),1,0))</f>
        <v/>
      </c>
      <c r="AI1071">
        <f>IF($B1071="","",IF($V1071="Yes",1,0))</f>
        <v/>
      </c>
      <c r="AJ1071">
        <f>IF($AF1071=1,IFERROR(IF(VALUE($B1071)&lt;100000000,VALUE($B1071),1000000000),IFERROR(IF(VALUE(MID($B1071,2,20))&lt;100000000,VALUE(MID($B1071,2,20)),1000000000),1000000000))+ROW()/100000,"")</f>
        <v/>
      </c>
    </row>
    <row r="1072">
      <c r="C1072" s="11" t="n"/>
      <c r="J1072" s="7">
        <f>IF($B1072="","",I1072*Q1072/100)</f>
        <v/>
      </c>
      <c r="P1072" s="7" t="n"/>
      <c r="Q1072" s="7" t="n"/>
      <c r="R1072" s="7">
        <f>IF($B1072="","",Q1072*W1072/100)</f>
        <v/>
      </c>
      <c r="S1072" s="7">
        <f>IF($B1072="","",Q1072-R1072)</f>
        <v/>
      </c>
      <c r="T1072" s="7">
        <f>IF($B1072="","",S1072-J1072)</f>
        <v/>
      </c>
      <c r="W1072">
        <f>IF($B1072="","",IF($AI1072=1,0,IF($AH1072=1,Settings!$C$6,Settings!$C$7))*100)</f>
        <v/>
      </c>
      <c r="AA1072" s="7" t="n"/>
      <c r="AD1072" s="11" t="n"/>
      <c r="AF1072">
        <f>IF($B1072="","",IF(COUNTIF($B$2:$B1072,$B1072)=1,1,0))</f>
        <v/>
      </c>
      <c r="AG1072">
        <f>IF($AF1072=1,SUMPRODUCT(--($AJ$2:$AJ$1501&lt;$AJ1072))+1,"")</f>
        <v/>
      </c>
      <c r="AH1072">
        <f>IF($B1072="","",IF(OR($M1072=TRUE(),$M1072="TRUE"),1,0))</f>
        <v/>
      </c>
      <c r="AI1072">
        <f>IF($B1072="","",IF($V1072="Yes",1,0))</f>
        <v/>
      </c>
      <c r="AJ1072">
        <f>IF($AF1072=1,IFERROR(IF(VALUE($B1072)&lt;100000000,VALUE($B1072),1000000000),IFERROR(IF(VALUE(MID($B1072,2,20))&lt;100000000,VALUE(MID($B1072,2,20)),1000000000),1000000000))+ROW()/100000,"")</f>
        <v/>
      </c>
    </row>
    <row r="1073">
      <c r="C1073" s="11" t="n"/>
      <c r="J1073" s="7">
        <f>IF($B1073="","",I1073*Q1073/100)</f>
        <v/>
      </c>
      <c r="P1073" s="7" t="n"/>
      <c r="Q1073" s="7" t="n"/>
      <c r="R1073" s="7">
        <f>IF($B1073="","",Q1073*W1073/100)</f>
        <v/>
      </c>
      <c r="S1073" s="7">
        <f>IF($B1073="","",Q1073-R1073)</f>
        <v/>
      </c>
      <c r="T1073" s="7">
        <f>IF($B1073="","",S1073-J1073)</f>
        <v/>
      </c>
      <c r="W1073">
        <f>IF($B1073="","",IF($AI1073=1,0,IF($AH1073=1,Settings!$C$6,Settings!$C$7))*100)</f>
        <v/>
      </c>
      <c r="AA1073" s="7" t="n"/>
      <c r="AD1073" s="11" t="n"/>
      <c r="AF1073">
        <f>IF($B1073="","",IF(COUNTIF($B$2:$B1073,$B1073)=1,1,0))</f>
        <v/>
      </c>
      <c r="AG1073">
        <f>IF($AF1073=1,SUMPRODUCT(--($AJ$2:$AJ$1501&lt;$AJ1073))+1,"")</f>
        <v/>
      </c>
      <c r="AH1073">
        <f>IF($B1073="","",IF(OR($M1073=TRUE(),$M1073="TRUE"),1,0))</f>
        <v/>
      </c>
      <c r="AI1073">
        <f>IF($B1073="","",IF($V1073="Yes",1,0))</f>
        <v/>
      </c>
      <c r="AJ1073">
        <f>IF($AF1073=1,IFERROR(IF(VALUE($B1073)&lt;100000000,VALUE($B1073),1000000000),IFERROR(IF(VALUE(MID($B1073,2,20))&lt;100000000,VALUE(MID($B1073,2,20)),1000000000),1000000000))+ROW()/100000,"")</f>
        <v/>
      </c>
    </row>
    <row r="1074">
      <c r="C1074" s="11" t="n"/>
      <c r="J1074" s="7">
        <f>IF($B1074="","",I1074*Q1074/100)</f>
        <v/>
      </c>
      <c r="P1074" s="7" t="n"/>
      <c r="Q1074" s="7" t="n"/>
      <c r="R1074" s="7">
        <f>IF($B1074="","",Q1074*W1074/100)</f>
        <v/>
      </c>
      <c r="S1074" s="7">
        <f>IF($B1074="","",Q1074-R1074)</f>
        <v/>
      </c>
      <c r="T1074" s="7">
        <f>IF($B1074="","",S1074-J1074)</f>
        <v/>
      </c>
      <c r="W1074">
        <f>IF($B1074="","",IF($AI1074=1,0,IF($AH1074=1,Settings!$C$6,Settings!$C$7))*100)</f>
        <v/>
      </c>
      <c r="AA1074" s="7" t="n"/>
      <c r="AD1074" s="11" t="n"/>
      <c r="AF1074">
        <f>IF($B1074="","",IF(COUNTIF($B$2:$B1074,$B1074)=1,1,0))</f>
        <v/>
      </c>
      <c r="AG1074">
        <f>IF($AF1074=1,SUMPRODUCT(--($AJ$2:$AJ$1501&lt;$AJ1074))+1,"")</f>
        <v/>
      </c>
      <c r="AH1074">
        <f>IF($B1074="","",IF(OR($M1074=TRUE(),$M1074="TRUE"),1,0))</f>
        <v/>
      </c>
      <c r="AI1074">
        <f>IF($B1074="","",IF($V1074="Yes",1,0))</f>
        <v/>
      </c>
      <c r="AJ1074">
        <f>IF($AF1074=1,IFERROR(IF(VALUE($B1074)&lt;100000000,VALUE($B1074),1000000000),IFERROR(IF(VALUE(MID($B1074,2,20))&lt;100000000,VALUE(MID($B1074,2,20)),1000000000),1000000000))+ROW()/100000,"")</f>
        <v/>
      </c>
    </row>
    <row r="1075">
      <c r="C1075" s="11" t="n"/>
      <c r="J1075" s="7">
        <f>IF($B1075="","",I1075*Q1075/100)</f>
        <v/>
      </c>
      <c r="P1075" s="7" t="n"/>
      <c r="Q1075" s="7" t="n"/>
      <c r="R1075" s="7">
        <f>IF($B1075="","",Q1075*W1075/100)</f>
        <v/>
      </c>
      <c r="S1075" s="7">
        <f>IF($B1075="","",Q1075-R1075)</f>
        <v/>
      </c>
      <c r="T1075" s="7">
        <f>IF($B1075="","",S1075-J1075)</f>
        <v/>
      </c>
      <c r="W1075">
        <f>IF($B1075="","",IF($AI1075=1,0,IF($AH1075=1,Settings!$C$6,Settings!$C$7))*100)</f>
        <v/>
      </c>
      <c r="AA1075" s="7" t="n"/>
      <c r="AD1075" s="11" t="n"/>
      <c r="AF1075">
        <f>IF($B1075="","",IF(COUNTIF($B$2:$B1075,$B1075)=1,1,0))</f>
        <v/>
      </c>
      <c r="AG1075">
        <f>IF($AF1075=1,SUMPRODUCT(--($AJ$2:$AJ$1501&lt;$AJ1075))+1,"")</f>
        <v/>
      </c>
      <c r="AH1075">
        <f>IF($B1075="","",IF(OR($M1075=TRUE(),$M1075="TRUE"),1,0))</f>
        <v/>
      </c>
      <c r="AI1075">
        <f>IF($B1075="","",IF($V1075="Yes",1,0))</f>
        <v/>
      </c>
      <c r="AJ1075">
        <f>IF($AF1075=1,IFERROR(IF(VALUE($B1075)&lt;100000000,VALUE($B1075),1000000000),IFERROR(IF(VALUE(MID($B1075,2,20))&lt;100000000,VALUE(MID($B1075,2,20)),1000000000),1000000000))+ROW()/100000,"")</f>
        <v/>
      </c>
    </row>
    <row r="1076">
      <c r="C1076" s="11" t="n"/>
      <c r="J1076" s="7">
        <f>IF($B1076="","",I1076*Q1076/100)</f>
        <v/>
      </c>
      <c r="P1076" s="7" t="n"/>
      <c r="Q1076" s="7" t="n"/>
      <c r="R1076" s="7">
        <f>IF($B1076="","",Q1076*W1076/100)</f>
        <v/>
      </c>
      <c r="S1076" s="7">
        <f>IF($B1076="","",Q1076-R1076)</f>
        <v/>
      </c>
      <c r="T1076" s="7">
        <f>IF($B1076="","",S1076-J1076)</f>
        <v/>
      </c>
      <c r="W1076">
        <f>IF($B1076="","",IF($AI1076=1,0,IF($AH1076=1,Settings!$C$6,Settings!$C$7))*100)</f>
        <v/>
      </c>
      <c r="AA1076" s="7" t="n"/>
      <c r="AD1076" s="11" t="n"/>
      <c r="AF1076">
        <f>IF($B1076="","",IF(COUNTIF($B$2:$B1076,$B1076)=1,1,0))</f>
        <v/>
      </c>
      <c r="AG1076">
        <f>IF($AF1076=1,SUMPRODUCT(--($AJ$2:$AJ$1501&lt;$AJ1076))+1,"")</f>
        <v/>
      </c>
      <c r="AH1076">
        <f>IF($B1076="","",IF(OR($M1076=TRUE(),$M1076="TRUE"),1,0))</f>
        <v/>
      </c>
      <c r="AI1076">
        <f>IF($B1076="","",IF($V1076="Yes",1,0))</f>
        <v/>
      </c>
      <c r="AJ1076">
        <f>IF($AF1076=1,IFERROR(IF(VALUE($B1076)&lt;100000000,VALUE($B1076),1000000000),IFERROR(IF(VALUE(MID($B1076,2,20))&lt;100000000,VALUE(MID($B1076,2,20)),1000000000),1000000000))+ROW()/100000,"")</f>
        <v/>
      </c>
    </row>
    <row r="1077">
      <c r="C1077" s="11" t="n"/>
      <c r="J1077" s="7">
        <f>IF($B1077="","",I1077*Q1077/100)</f>
        <v/>
      </c>
      <c r="P1077" s="7" t="n"/>
      <c r="Q1077" s="7" t="n"/>
      <c r="R1077" s="7">
        <f>IF($B1077="","",Q1077*W1077/100)</f>
        <v/>
      </c>
      <c r="S1077" s="7">
        <f>IF($B1077="","",Q1077-R1077)</f>
        <v/>
      </c>
      <c r="T1077" s="7">
        <f>IF($B1077="","",S1077-J1077)</f>
        <v/>
      </c>
      <c r="W1077">
        <f>IF($B1077="","",IF($AI1077=1,0,IF($AH1077=1,Settings!$C$6,Settings!$C$7))*100)</f>
        <v/>
      </c>
      <c r="AA1077" s="7" t="n"/>
      <c r="AD1077" s="11" t="n"/>
      <c r="AF1077">
        <f>IF($B1077="","",IF(COUNTIF($B$2:$B1077,$B1077)=1,1,0))</f>
        <v/>
      </c>
      <c r="AG1077">
        <f>IF($AF1077=1,SUMPRODUCT(--($AJ$2:$AJ$1501&lt;$AJ1077))+1,"")</f>
        <v/>
      </c>
      <c r="AH1077">
        <f>IF($B1077="","",IF(OR($M1077=TRUE(),$M1077="TRUE"),1,0))</f>
        <v/>
      </c>
      <c r="AI1077">
        <f>IF($B1077="","",IF($V1077="Yes",1,0))</f>
        <v/>
      </c>
      <c r="AJ1077">
        <f>IF($AF1077=1,IFERROR(IF(VALUE($B1077)&lt;100000000,VALUE($B1077),1000000000),IFERROR(IF(VALUE(MID($B1077,2,20))&lt;100000000,VALUE(MID($B1077,2,20)),1000000000),1000000000))+ROW()/100000,"")</f>
        <v/>
      </c>
    </row>
    <row r="1078">
      <c r="C1078" s="11" t="n"/>
      <c r="J1078" s="7">
        <f>IF($B1078="","",I1078*Q1078/100)</f>
        <v/>
      </c>
      <c r="P1078" s="7" t="n"/>
      <c r="Q1078" s="7" t="n"/>
      <c r="R1078" s="7">
        <f>IF($B1078="","",Q1078*W1078/100)</f>
        <v/>
      </c>
      <c r="S1078" s="7">
        <f>IF($B1078="","",Q1078-R1078)</f>
        <v/>
      </c>
      <c r="T1078" s="7">
        <f>IF($B1078="","",S1078-J1078)</f>
        <v/>
      </c>
      <c r="W1078">
        <f>IF($B1078="","",IF($AI1078=1,0,IF($AH1078=1,Settings!$C$6,Settings!$C$7))*100)</f>
        <v/>
      </c>
      <c r="AA1078" s="7" t="n"/>
      <c r="AD1078" s="11" t="n"/>
      <c r="AF1078">
        <f>IF($B1078="","",IF(COUNTIF($B$2:$B1078,$B1078)=1,1,0))</f>
        <v/>
      </c>
      <c r="AG1078">
        <f>IF($AF1078=1,SUMPRODUCT(--($AJ$2:$AJ$1501&lt;$AJ1078))+1,"")</f>
        <v/>
      </c>
      <c r="AH1078">
        <f>IF($B1078="","",IF(OR($M1078=TRUE(),$M1078="TRUE"),1,0))</f>
        <v/>
      </c>
      <c r="AI1078">
        <f>IF($B1078="","",IF($V1078="Yes",1,0))</f>
        <v/>
      </c>
      <c r="AJ1078">
        <f>IF($AF1078=1,IFERROR(IF(VALUE($B1078)&lt;100000000,VALUE($B1078),1000000000),IFERROR(IF(VALUE(MID($B1078,2,20))&lt;100000000,VALUE(MID($B1078,2,20)),1000000000),1000000000))+ROW()/100000,"")</f>
        <v/>
      </c>
    </row>
    <row r="1079">
      <c r="C1079" s="11" t="n"/>
      <c r="J1079" s="7">
        <f>IF($B1079="","",I1079*Q1079/100)</f>
        <v/>
      </c>
      <c r="P1079" s="7" t="n"/>
      <c r="Q1079" s="7" t="n"/>
      <c r="R1079" s="7">
        <f>IF($B1079="","",Q1079*W1079/100)</f>
        <v/>
      </c>
      <c r="S1079" s="7">
        <f>IF($B1079="","",Q1079-R1079)</f>
        <v/>
      </c>
      <c r="T1079" s="7">
        <f>IF($B1079="","",S1079-J1079)</f>
        <v/>
      </c>
      <c r="W1079">
        <f>IF($B1079="","",IF($AI1079=1,0,IF($AH1079=1,Settings!$C$6,Settings!$C$7))*100)</f>
        <v/>
      </c>
      <c r="AA1079" s="7" t="n"/>
      <c r="AD1079" s="11" t="n"/>
      <c r="AF1079">
        <f>IF($B1079="","",IF(COUNTIF($B$2:$B1079,$B1079)=1,1,0))</f>
        <v/>
      </c>
      <c r="AG1079">
        <f>IF($AF1079=1,SUMPRODUCT(--($AJ$2:$AJ$1501&lt;$AJ1079))+1,"")</f>
        <v/>
      </c>
      <c r="AH1079">
        <f>IF($B1079="","",IF(OR($M1079=TRUE(),$M1079="TRUE"),1,0))</f>
        <v/>
      </c>
      <c r="AI1079">
        <f>IF($B1079="","",IF($V1079="Yes",1,0))</f>
        <v/>
      </c>
      <c r="AJ1079">
        <f>IF($AF1079=1,IFERROR(IF(VALUE($B1079)&lt;100000000,VALUE($B1079),1000000000),IFERROR(IF(VALUE(MID($B1079,2,20))&lt;100000000,VALUE(MID($B1079,2,20)),1000000000),1000000000))+ROW()/100000,"")</f>
        <v/>
      </c>
    </row>
    <row r="1080">
      <c r="C1080" s="11" t="n"/>
      <c r="J1080" s="7">
        <f>IF($B1080="","",I1080*Q1080/100)</f>
        <v/>
      </c>
      <c r="P1080" s="7" t="n"/>
      <c r="Q1080" s="7" t="n"/>
      <c r="R1080" s="7">
        <f>IF($B1080="","",Q1080*W1080/100)</f>
        <v/>
      </c>
      <c r="S1080" s="7">
        <f>IF($B1080="","",Q1080-R1080)</f>
        <v/>
      </c>
      <c r="T1080" s="7">
        <f>IF($B1080="","",S1080-J1080)</f>
        <v/>
      </c>
      <c r="W1080">
        <f>IF($B1080="","",IF($AI1080=1,0,IF($AH1080=1,Settings!$C$6,Settings!$C$7))*100)</f>
        <v/>
      </c>
      <c r="AA1080" s="7" t="n"/>
      <c r="AD1080" s="11" t="n"/>
      <c r="AF1080">
        <f>IF($B1080="","",IF(COUNTIF($B$2:$B1080,$B1080)=1,1,0))</f>
        <v/>
      </c>
      <c r="AG1080">
        <f>IF($AF1080=1,SUMPRODUCT(--($AJ$2:$AJ$1501&lt;$AJ1080))+1,"")</f>
        <v/>
      </c>
      <c r="AH1080">
        <f>IF($B1080="","",IF(OR($M1080=TRUE(),$M1080="TRUE"),1,0))</f>
        <v/>
      </c>
      <c r="AI1080">
        <f>IF($B1080="","",IF($V1080="Yes",1,0))</f>
        <v/>
      </c>
      <c r="AJ1080">
        <f>IF($AF1080=1,IFERROR(IF(VALUE($B1080)&lt;100000000,VALUE($B1080),1000000000),IFERROR(IF(VALUE(MID($B1080,2,20))&lt;100000000,VALUE(MID($B1080,2,20)),1000000000),1000000000))+ROW()/100000,"")</f>
        <v/>
      </c>
    </row>
    <row r="1081">
      <c r="C1081" s="11" t="n"/>
      <c r="J1081" s="7">
        <f>IF($B1081="","",I1081*Q1081/100)</f>
        <v/>
      </c>
      <c r="P1081" s="7" t="n"/>
      <c r="Q1081" s="7" t="n"/>
      <c r="R1081" s="7">
        <f>IF($B1081="","",Q1081*W1081/100)</f>
        <v/>
      </c>
      <c r="S1081" s="7">
        <f>IF($B1081="","",Q1081-R1081)</f>
        <v/>
      </c>
      <c r="T1081" s="7">
        <f>IF($B1081="","",S1081-J1081)</f>
        <v/>
      </c>
      <c r="W1081">
        <f>IF($B1081="","",IF($AI1081=1,0,IF($AH1081=1,Settings!$C$6,Settings!$C$7))*100)</f>
        <v/>
      </c>
      <c r="AA1081" s="7" t="n"/>
      <c r="AD1081" s="11" t="n"/>
      <c r="AF1081">
        <f>IF($B1081="","",IF(COUNTIF($B$2:$B1081,$B1081)=1,1,0))</f>
        <v/>
      </c>
      <c r="AG1081">
        <f>IF($AF1081=1,SUMPRODUCT(--($AJ$2:$AJ$1501&lt;$AJ1081))+1,"")</f>
        <v/>
      </c>
      <c r="AH1081">
        <f>IF($B1081="","",IF(OR($M1081=TRUE(),$M1081="TRUE"),1,0))</f>
        <v/>
      </c>
      <c r="AI1081">
        <f>IF($B1081="","",IF($V1081="Yes",1,0))</f>
        <v/>
      </c>
      <c r="AJ1081">
        <f>IF($AF1081=1,IFERROR(IF(VALUE($B1081)&lt;100000000,VALUE($B1081),1000000000),IFERROR(IF(VALUE(MID($B1081,2,20))&lt;100000000,VALUE(MID($B1081,2,20)),1000000000),1000000000))+ROW()/100000,"")</f>
        <v/>
      </c>
    </row>
    <row r="1082">
      <c r="C1082" s="11" t="n"/>
      <c r="J1082" s="7">
        <f>IF($B1082="","",I1082*Q1082/100)</f>
        <v/>
      </c>
      <c r="P1082" s="7" t="n"/>
      <c r="Q1082" s="7" t="n"/>
      <c r="R1082" s="7">
        <f>IF($B1082="","",Q1082*W1082/100)</f>
        <v/>
      </c>
      <c r="S1082" s="7">
        <f>IF($B1082="","",Q1082-R1082)</f>
        <v/>
      </c>
      <c r="T1082" s="7">
        <f>IF($B1082="","",S1082-J1082)</f>
        <v/>
      </c>
      <c r="W1082">
        <f>IF($B1082="","",IF($AI1082=1,0,IF($AH1082=1,Settings!$C$6,Settings!$C$7))*100)</f>
        <v/>
      </c>
      <c r="AA1082" s="7" t="n"/>
      <c r="AD1082" s="11" t="n"/>
      <c r="AF1082">
        <f>IF($B1082="","",IF(COUNTIF($B$2:$B1082,$B1082)=1,1,0))</f>
        <v/>
      </c>
      <c r="AG1082">
        <f>IF($AF1082=1,SUMPRODUCT(--($AJ$2:$AJ$1501&lt;$AJ1082))+1,"")</f>
        <v/>
      </c>
      <c r="AH1082">
        <f>IF($B1082="","",IF(OR($M1082=TRUE(),$M1082="TRUE"),1,0))</f>
        <v/>
      </c>
      <c r="AI1082">
        <f>IF($B1082="","",IF($V1082="Yes",1,0))</f>
        <v/>
      </c>
      <c r="AJ1082">
        <f>IF($AF1082=1,IFERROR(IF(VALUE($B1082)&lt;100000000,VALUE($B1082),1000000000),IFERROR(IF(VALUE(MID($B1082,2,20))&lt;100000000,VALUE(MID($B1082,2,20)),1000000000),1000000000))+ROW()/100000,"")</f>
        <v/>
      </c>
    </row>
    <row r="1083">
      <c r="C1083" s="11" t="n"/>
      <c r="J1083" s="7">
        <f>IF($B1083="","",I1083*Q1083/100)</f>
        <v/>
      </c>
      <c r="P1083" s="7" t="n"/>
      <c r="Q1083" s="7" t="n"/>
      <c r="R1083" s="7">
        <f>IF($B1083="","",Q1083*W1083/100)</f>
        <v/>
      </c>
      <c r="S1083" s="7">
        <f>IF($B1083="","",Q1083-R1083)</f>
        <v/>
      </c>
      <c r="T1083" s="7">
        <f>IF($B1083="","",S1083-J1083)</f>
        <v/>
      </c>
      <c r="W1083">
        <f>IF($B1083="","",IF($AI1083=1,0,IF($AH1083=1,Settings!$C$6,Settings!$C$7))*100)</f>
        <v/>
      </c>
      <c r="AA1083" s="7" t="n"/>
      <c r="AD1083" s="11" t="n"/>
      <c r="AF1083">
        <f>IF($B1083="","",IF(COUNTIF($B$2:$B1083,$B1083)=1,1,0))</f>
        <v/>
      </c>
      <c r="AG1083">
        <f>IF($AF1083=1,SUMPRODUCT(--($AJ$2:$AJ$1501&lt;$AJ1083))+1,"")</f>
        <v/>
      </c>
      <c r="AH1083">
        <f>IF($B1083="","",IF(OR($M1083=TRUE(),$M1083="TRUE"),1,0))</f>
        <v/>
      </c>
      <c r="AI1083">
        <f>IF($B1083="","",IF($V1083="Yes",1,0))</f>
        <v/>
      </c>
      <c r="AJ1083">
        <f>IF($AF1083=1,IFERROR(IF(VALUE($B1083)&lt;100000000,VALUE($B1083),1000000000),IFERROR(IF(VALUE(MID($B1083,2,20))&lt;100000000,VALUE(MID($B1083,2,20)),1000000000),1000000000))+ROW()/100000,"")</f>
        <v/>
      </c>
    </row>
    <row r="1084">
      <c r="C1084" s="11" t="n"/>
      <c r="J1084" s="7">
        <f>IF($B1084="","",I1084*Q1084/100)</f>
        <v/>
      </c>
      <c r="P1084" s="7" t="n"/>
      <c r="Q1084" s="7" t="n"/>
      <c r="R1084" s="7">
        <f>IF($B1084="","",Q1084*W1084/100)</f>
        <v/>
      </c>
      <c r="S1084" s="7">
        <f>IF($B1084="","",Q1084-R1084)</f>
        <v/>
      </c>
      <c r="T1084" s="7">
        <f>IF($B1084="","",S1084-J1084)</f>
        <v/>
      </c>
      <c r="W1084">
        <f>IF($B1084="","",IF($AI1084=1,0,IF($AH1084=1,Settings!$C$6,Settings!$C$7))*100)</f>
        <v/>
      </c>
      <c r="AA1084" s="7" t="n"/>
      <c r="AD1084" s="11" t="n"/>
      <c r="AF1084">
        <f>IF($B1084="","",IF(COUNTIF($B$2:$B1084,$B1084)=1,1,0))</f>
        <v/>
      </c>
      <c r="AG1084">
        <f>IF($AF1084=1,SUMPRODUCT(--($AJ$2:$AJ$1501&lt;$AJ1084))+1,"")</f>
        <v/>
      </c>
      <c r="AH1084">
        <f>IF($B1084="","",IF(OR($M1084=TRUE(),$M1084="TRUE"),1,0))</f>
        <v/>
      </c>
      <c r="AI1084">
        <f>IF($B1084="","",IF($V1084="Yes",1,0))</f>
        <v/>
      </c>
      <c r="AJ1084">
        <f>IF($AF1084=1,IFERROR(IF(VALUE($B1084)&lt;100000000,VALUE($B1084),1000000000),IFERROR(IF(VALUE(MID($B1084,2,20))&lt;100000000,VALUE(MID($B1084,2,20)),1000000000),1000000000))+ROW()/100000,"")</f>
        <v/>
      </c>
    </row>
    <row r="1085">
      <c r="C1085" s="11" t="n"/>
      <c r="J1085" s="7">
        <f>IF($B1085="","",I1085*Q1085/100)</f>
        <v/>
      </c>
      <c r="P1085" s="7" t="n"/>
      <c r="Q1085" s="7" t="n"/>
      <c r="R1085" s="7">
        <f>IF($B1085="","",Q1085*W1085/100)</f>
        <v/>
      </c>
      <c r="S1085" s="7">
        <f>IF($B1085="","",Q1085-R1085)</f>
        <v/>
      </c>
      <c r="T1085" s="7">
        <f>IF($B1085="","",S1085-J1085)</f>
        <v/>
      </c>
      <c r="W1085">
        <f>IF($B1085="","",IF($AI1085=1,0,IF($AH1085=1,Settings!$C$6,Settings!$C$7))*100)</f>
        <v/>
      </c>
      <c r="AA1085" s="7" t="n"/>
      <c r="AD1085" s="11" t="n"/>
      <c r="AF1085">
        <f>IF($B1085="","",IF(COUNTIF($B$2:$B1085,$B1085)=1,1,0))</f>
        <v/>
      </c>
      <c r="AG1085">
        <f>IF($AF1085=1,SUMPRODUCT(--($AJ$2:$AJ$1501&lt;$AJ1085))+1,"")</f>
        <v/>
      </c>
      <c r="AH1085">
        <f>IF($B1085="","",IF(OR($M1085=TRUE(),$M1085="TRUE"),1,0))</f>
        <v/>
      </c>
      <c r="AI1085">
        <f>IF($B1085="","",IF($V1085="Yes",1,0))</f>
        <v/>
      </c>
      <c r="AJ1085">
        <f>IF($AF1085=1,IFERROR(IF(VALUE($B1085)&lt;100000000,VALUE($B1085),1000000000),IFERROR(IF(VALUE(MID($B1085,2,20))&lt;100000000,VALUE(MID($B1085,2,20)),1000000000),1000000000))+ROW()/100000,"")</f>
        <v/>
      </c>
    </row>
    <row r="1086">
      <c r="C1086" s="11" t="n"/>
      <c r="J1086" s="7">
        <f>IF($B1086="","",I1086*Q1086/100)</f>
        <v/>
      </c>
      <c r="P1086" s="7" t="n"/>
      <c r="Q1086" s="7" t="n"/>
      <c r="R1086" s="7">
        <f>IF($B1086="","",Q1086*W1086/100)</f>
        <v/>
      </c>
      <c r="S1086" s="7">
        <f>IF($B1086="","",Q1086-R1086)</f>
        <v/>
      </c>
      <c r="T1086" s="7">
        <f>IF($B1086="","",S1086-J1086)</f>
        <v/>
      </c>
      <c r="W1086">
        <f>IF($B1086="","",IF($AI1086=1,0,IF($AH1086=1,Settings!$C$6,Settings!$C$7))*100)</f>
        <v/>
      </c>
      <c r="AA1086" s="7" t="n"/>
      <c r="AD1086" s="11" t="n"/>
      <c r="AF1086">
        <f>IF($B1086="","",IF(COUNTIF($B$2:$B1086,$B1086)=1,1,0))</f>
        <v/>
      </c>
      <c r="AG1086">
        <f>IF($AF1086=1,SUMPRODUCT(--($AJ$2:$AJ$1501&lt;$AJ1086))+1,"")</f>
        <v/>
      </c>
      <c r="AH1086">
        <f>IF($B1086="","",IF(OR($M1086=TRUE(),$M1086="TRUE"),1,0))</f>
        <v/>
      </c>
      <c r="AI1086">
        <f>IF($B1086="","",IF($V1086="Yes",1,0))</f>
        <v/>
      </c>
      <c r="AJ1086">
        <f>IF($AF1086=1,IFERROR(IF(VALUE($B1086)&lt;100000000,VALUE($B1086),1000000000),IFERROR(IF(VALUE(MID($B1086,2,20))&lt;100000000,VALUE(MID($B1086,2,20)),1000000000),1000000000))+ROW()/100000,"")</f>
        <v/>
      </c>
    </row>
    <row r="1087">
      <c r="C1087" s="11" t="n"/>
      <c r="J1087" s="7">
        <f>IF($B1087="","",I1087*Q1087/100)</f>
        <v/>
      </c>
      <c r="P1087" s="7" t="n"/>
      <c r="Q1087" s="7" t="n"/>
      <c r="R1087" s="7">
        <f>IF($B1087="","",Q1087*W1087/100)</f>
        <v/>
      </c>
      <c r="S1087" s="7">
        <f>IF($B1087="","",Q1087-R1087)</f>
        <v/>
      </c>
      <c r="T1087" s="7">
        <f>IF($B1087="","",S1087-J1087)</f>
        <v/>
      </c>
      <c r="W1087">
        <f>IF($B1087="","",IF($AI1087=1,0,IF($AH1087=1,Settings!$C$6,Settings!$C$7))*100)</f>
        <v/>
      </c>
      <c r="AA1087" s="7" t="n"/>
      <c r="AD1087" s="11" t="n"/>
      <c r="AF1087">
        <f>IF($B1087="","",IF(COUNTIF($B$2:$B1087,$B1087)=1,1,0))</f>
        <v/>
      </c>
      <c r="AG1087">
        <f>IF($AF1087=1,SUMPRODUCT(--($AJ$2:$AJ$1501&lt;$AJ1087))+1,"")</f>
        <v/>
      </c>
      <c r="AH1087">
        <f>IF($B1087="","",IF(OR($M1087=TRUE(),$M1087="TRUE"),1,0))</f>
        <v/>
      </c>
      <c r="AI1087">
        <f>IF($B1087="","",IF($V1087="Yes",1,0))</f>
        <v/>
      </c>
      <c r="AJ1087">
        <f>IF($AF1087=1,IFERROR(IF(VALUE($B1087)&lt;100000000,VALUE($B1087),1000000000),IFERROR(IF(VALUE(MID($B1087,2,20))&lt;100000000,VALUE(MID($B1087,2,20)),1000000000),1000000000))+ROW()/100000,"")</f>
        <v/>
      </c>
    </row>
    <row r="1088">
      <c r="C1088" s="11" t="n"/>
      <c r="J1088" s="7">
        <f>IF($B1088="","",I1088*Q1088/100)</f>
        <v/>
      </c>
      <c r="P1088" s="7" t="n"/>
      <c r="Q1088" s="7" t="n"/>
      <c r="R1088" s="7">
        <f>IF($B1088="","",Q1088*W1088/100)</f>
        <v/>
      </c>
      <c r="S1088" s="7">
        <f>IF($B1088="","",Q1088-R1088)</f>
        <v/>
      </c>
      <c r="T1088" s="7">
        <f>IF($B1088="","",S1088-J1088)</f>
        <v/>
      </c>
      <c r="W1088">
        <f>IF($B1088="","",IF($AI1088=1,0,IF($AH1088=1,Settings!$C$6,Settings!$C$7))*100)</f>
        <v/>
      </c>
      <c r="AA1088" s="7" t="n"/>
      <c r="AD1088" s="11" t="n"/>
      <c r="AF1088">
        <f>IF($B1088="","",IF(COUNTIF($B$2:$B1088,$B1088)=1,1,0))</f>
        <v/>
      </c>
      <c r="AG1088">
        <f>IF($AF1088=1,SUMPRODUCT(--($AJ$2:$AJ$1501&lt;$AJ1088))+1,"")</f>
        <v/>
      </c>
      <c r="AH1088">
        <f>IF($B1088="","",IF(OR($M1088=TRUE(),$M1088="TRUE"),1,0))</f>
        <v/>
      </c>
      <c r="AI1088">
        <f>IF($B1088="","",IF($V1088="Yes",1,0))</f>
        <v/>
      </c>
      <c r="AJ1088">
        <f>IF($AF1088=1,IFERROR(IF(VALUE($B1088)&lt;100000000,VALUE($B1088),1000000000),IFERROR(IF(VALUE(MID($B1088,2,20))&lt;100000000,VALUE(MID($B1088,2,20)),1000000000),1000000000))+ROW()/100000,"")</f>
        <v/>
      </c>
    </row>
    <row r="1089">
      <c r="C1089" s="11" t="n"/>
      <c r="J1089" s="7">
        <f>IF($B1089="","",I1089*Q1089/100)</f>
        <v/>
      </c>
      <c r="P1089" s="7" t="n"/>
      <c r="Q1089" s="7" t="n"/>
      <c r="R1089" s="7">
        <f>IF($B1089="","",Q1089*W1089/100)</f>
        <v/>
      </c>
      <c r="S1089" s="7">
        <f>IF($B1089="","",Q1089-R1089)</f>
        <v/>
      </c>
      <c r="T1089" s="7">
        <f>IF($B1089="","",S1089-J1089)</f>
        <v/>
      </c>
      <c r="W1089">
        <f>IF($B1089="","",IF($AI1089=1,0,IF($AH1089=1,Settings!$C$6,Settings!$C$7))*100)</f>
        <v/>
      </c>
      <c r="AA1089" s="7" t="n"/>
      <c r="AD1089" s="11" t="n"/>
      <c r="AF1089">
        <f>IF($B1089="","",IF(COUNTIF($B$2:$B1089,$B1089)=1,1,0))</f>
        <v/>
      </c>
      <c r="AG1089">
        <f>IF($AF1089=1,SUMPRODUCT(--($AJ$2:$AJ$1501&lt;$AJ1089))+1,"")</f>
        <v/>
      </c>
      <c r="AH1089">
        <f>IF($B1089="","",IF(OR($M1089=TRUE(),$M1089="TRUE"),1,0))</f>
        <v/>
      </c>
      <c r="AI1089">
        <f>IF($B1089="","",IF($V1089="Yes",1,0))</f>
        <v/>
      </c>
      <c r="AJ1089">
        <f>IF($AF1089=1,IFERROR(IF(VALUE($B1089)&lt;100000000,VALUE($B1089),1000000000),IFERROR(IF(VALUE(MID($B1089,2,20))&lt;100000000,VALUE(MID($B1089,2,20)),1000000000),1000000000))+ROW()/100000,"")</f>
        <v/>
      </c>
    </row>
    <row r="1090">
      <c r="C1090" s="11" t="n"/>
      <c r="J1090" s="7">
        <f>IF($B1090="","",I1090*Q1090/100)</f>
        <v/>
      </c>
      <c r="P1090" s="7" t="n"/>
      <c r="Q1090" s="7" t="n"/>
      <c r="R1090" s="7">
        <f>IF($B1090="","",Q1090*W1090/100)</f>
        <v/>
      </c>
      <c r="S1090" s="7">
        <f>IF($B1090="","",Q1090-R1090)</f>
        <v/>
      </c>
      <c r="T1090" s="7">
        <f>IF($B1090="","",S1090-J1090)</f>
        <v/>
      </c>
      <c r="W1090">
        <f>IF($B1090="","",IF($AI1090=1,0,IF($AH1090=1,Settings!$C$6,Settings!$C$7))*100)</f>
        <v/>
      </c>
      <c r="AA1090" s="7" t="n"/>
      <c r="AD1090" s="11" t="n"/>
      <c r="AF1090">
        <f>IF($B1090="","",IF(COUNTIF($B$2:$B1090,$B1090)=1,1,0))</f>
        <v/>
      </c>
      <c r="AG1090">
        <f>IF($AF1090=1,SUMPRODUCT(--($AJ$2:$AJ$1501&lt;$AJ1090))+1,"")</f>
        <v/>
      </c>
      <c r="AH1090">
        <f>IF($B1090="","",IF(OR($M1090=TRUE(),$M1090="TRUE"),1,0))</f>
        <v/>
      </c>
      <c r="AI1090">
        <f>IF($B1090="","",IF($V1090="Yes",1,0))</f>
        <v/>
      </c>
      <c r="AJ1090">
        <f>IF($AF1090=1,IFERROR(IF(VALUE($B1090)&lt;100000000,VALUE($B1090),1000000000),IFERROR(IF(VALUE(MID($B1090,2,20))&lt;100000000,VALUE(MID($B1090,2,20)),1000000000),1000000000))+ROW()/100000,"")</f>
        <v/>
      </c>
    </row>
    <row r="1091">
      <c r="C1091" s="11" t="n"/>
      <c r="J1091" s="7">
        <f>IF($B1091="","",I1091*Q1091/100)</f>
        <v/>
      </c>
      <c r="P1091" s="7" t="n"/>
      <c r="Q1091" s="7" t="n"/>
      <c r="R1091" s="7">
        <f>IF($B1091="","",Q1091*W1091/100)</f>
        <v/>
      </c>
      <c r="S1091" s="7">
        <f>IF($B1091="","",Q1091-R1091)</f>
        <v/>
      </c>
      <c r="T1091" s="7">
        <f>IF($B1091="","",S1091-J1091)</f>
        <v/>
      </c>
      <c r="W1091">
        <f>IF($B1091="","",IF($AI1091=1,0,IF($AH1091=1,Settings!$C$6,Settings!$C$7))*100)</f>
        <v/>
      </c>
      <c r="AA1091" s="7" t="n"/>
      <c r="AD1091" s="11" t="n"/>
      <c r="AF1091">
        <f>IF($B1091="","",IF(COUNTIF($B$2:$B1091,$B1091)=1,1,0))</f>
        <v/>
      </c>
      <c r="AG1091">
        <f>IF($AF1091=1,SUMPRODUCT(--($AJ$2:$AJ$1501&lt;$AJ1091))+1,"")</f>
        <v/>
      </c>
      <c r="AH1091">
        <f>IF($B1091="","",IF(OR($M1091=TRUE(),$M1091="TRUE"),1,0))</f>
        <v/>
      </c>
      <c r="AI1091">
        <f>IF($B1091="","",IF($V1091="Yes",1,0))</f>
        <v/>
      </c>
      <c r="AJ1091">
        <f>IF($AF1091=1,IFERROR(IF(VALUE($B1091)&lt;100000000,VALUE($B1091),1000000000),IFERROR(IF(VALUE(MID($B1091,2,20))&lt;100000000,VALUE(MID($B1091,2,20)),1000000000),1000000000))+ROW()/100000,"")</f>
        <v/>
      </c>
    </row>
    <row r="1092">
      <c r="C1092" s="11" t="n"/>
      <c r="J1092" s="7">
        <f>IF($B1092="","",I1092*Q1092/100)</f>
        <v/>
      </c>
      <c r="P1092" s="7" t="n"/>
      <c r="Q1092" s="7" t="n"/>
      <c r="R1092" s="7">
        <f>IF($B1092="","",Q1092*W1092/100)</f>
        <v/>
      </c>
      <c r="S1092" s="7">
        <f>IF($B1092="","",Q1092-R1092)</f>
        <v/>
      </c>
      <c r="T1092" s="7">
        <f>IF($B1092="","",S1092-J1092)</f>
        <v/>
      </c>
      <c r="W1092">
        <f>IF($B1092="","",IF($AI1092=1,0,IF($AH1092=1,Settings!$C$6,Settings!$C$7))*100)</f>
        <v/>
      </c>
      <c r="AA1092" s="7" t="n"/>
      <c r="AD1092" s="11" t="n"/>
      <c r="AF1092">
        <f>IF($B1092="","",IF(COUNTIF($B$2:$B1092,$B1092)=1,1,0))</f>
        <v/>
      </c>
      <c r="AG1092">
        <f>IF($AF1092=1,SUMPRODUCT(--($AJ$2:$AJ$1501&lt;$AJ1092))+1,"")</f>
        <v/>
      </c>
      <c r="AH1092">
        <f>IF($B1092="","",IF(OR($M1092=TRUE(),$M1092="TRUE"),1,0))</f>
        <v/>
      </c>
      <c r="AI1092">
        <f>IF($B1092="","",IF($V1092="Yes",1,0))</f>
        <v/>
      </c>
      <c r="AJ1092">
        <f>IF($AF1092=1,IFERROR(IF(VALUE($B1092)&lt;100000000,VALUE($B1092),1000000000),IFERROR(IF(VALUE(MID($B1092,2,20))&lt;100000000,VALUE(MID($B1092,2,20)),1000000000),1000000000))+ROW()/100000,"")</f>
        <v/>
      </c>
    </row>
    <row r="1093">
      <c r="C1093" s="11" t="n"/>
      <c r="J1093" s="7">
        <f>IF($B1093="","",I1093*Q1093/100)</f>
        <v/>
      </c>
      <c r="P1093" s="7" t="n"/>
      <c r="Q1093" s="7" t="n"/>
      <c r="R1093" s="7">
        <f>IF($B1093="","",Q1093*W1093/100)</f>
        <v/>
      </c>
      <c r="S1093" s="7">
        <f>IF($B1093="","",Q1093-R1093)</f>
        <v/>
      </c>
      <c r="T1093" s="7">
        <f>IF($B1093="","",S1093-J1093)</f>
        <v/>
      </c>
      <c r="W1093">
        <f>IF($B1093="","",IF($AI1093=1,0,IF($AH1093=1,Settings!$C$6,Settings!$C$7))*100)</f>
        <v/>
      </c>
      <c r="AA1093" s="7" t="n"/>
      <c r="AD1093" s="11" t="n"/>
      <c r="AF1093">
        <f>IF($B1093="","",IF(COUNTIF($B$2:$B1093,$B1093)=1,1,0))</f>
        <v/>
      </c>
      <c r="AG1093">
        <f>IF($AF1093=1,SUMPRODUCT(--($AJ$2:$AJ$1501&lt;$AJ1093))+1,"")</f>
        <v/>
      </c>
      <c r="AH1093">
        <f>IF($B1093="","",IF(OR($M1093=TRUE(),$M1093="TRUE"),1,0))</f>
        <v/>
      </c>
      <c r="AI1093">
        <f>IF($B1093="","",IF($V1093="Yes",1,0))</f>
        <v/>
      </c>
      <c r="AJ1093">
        <f>IF($AF1093=1,IFERROR(IF(VALUE($B1093)&lt;100000000,VALUE($B1093),1000000000),IFERROR(IF(VALUE(MID($B1093,2,20))&lt;100000000,VALUE(MID($B1093,2,20)),1000000000),1000000000))+ROW()/100000,"")</f>
        <v/>
      </c>
    </row>
    <row r="1094">
      <c r="C1094" s="11" t="n"/>
      <c r="J1094" s="7">
        <f>IF($B1094="","",I1094*Q1094/100)</f>
        <v/>
      </c>
      <c r="P1094" s="7" t="n"/>
      <c r="Q1094" s="7" t="n"/>
      <c r="R1094" s="7">
        <f>IF($B1094="","",Q1094*W1094/100)</f>
        <v/>
      </c>
      <c r="S1094" s="7">
        <f>IF($B1094="","",Q1094-R1094)</f>
        <v/>
      </c>
      <c r="T1094" s="7">
        <f>IF($B1094="","",S1094-J1094)</f>
        <v/>
      </c>
      <c r="W1094">
        <f>IF($B1094="","",IF($AI1094=1,0,IF($AH1094=1,Settings!$C$6,Settings!$C$7))*100)</f>
        <v/>
      </c>
      <c r="AA1094" s="7" t="n"/>
      <c r="AD1094" s="11" t="n"/>
      <c r="AF1094">
        <f>IF($B1094="","",IF(COUNTIF($B$2:$B1094,$B1094)=1,1,0))</f>
        <v/>
      </c>
      <c r="AG1094">
        <f>IF($AF1094=1,SUMPRODUCT(--($AJ$2:$AJ$1501&lt;$AJ1094))+1,"")</f>
        <v/>
      </c>
      <c r="AH1094">
        <f>IF($B1094="","",IF(OR($M1094=TRUE(),$M1094="TRUE"),1,0))</f>
        <v/>
      </c>
      <c r="AI1094">
        <f>IF($B1094="","",IF($V1094="Yes",1,0))</f>
        <v/>
      </c>
      <c r="AJ1094">
        <f>IF($AF1094=1,IFERROR(IF(VALUE($B1094)&lt;100000000,VALUE($B1094),1000000000),IFERROR(IF(VALUE(MID($B1094,2,20))&lt;100000000,VALUE(MID($B1094,2,20)),1000000000),1000000000))+ROW()/100000,"")</f>
        <v/>
      </c>
    </row>
    <row r="1095">
      <c r="C1095" s="11" t="n"/>
      <c r="J1095" s="7">
        <f>IF($B1095="","",I1095*Q1095/100)</f>
        <v/>
      </c>
      <c r="P1095" s="7" t="n"/>
      <c r="Q1095" s="7" t="n"/>
      <c r="R1095" s="7">
        <f>IF($B1095="","",Q1095*W1095/100)</f>
        <v/>
      </c>
      <c r="S1095" s="7">
        <f>IF($B1095="","",Q1095-R1095)</f>
        <v/>
      </c>
      <c r="T1095" s="7">
        <f>IF($B1095="","",S1095-J1095)</f>
        <v/>
      </c>
      <c r="W1095">
        <f>IF($B1095="","",IF($AI1095=1,0,IF($AH1095=1,Settings!$C$6,Settings!$C$7))*100)</f>
        <v/>
      </c>
      <c r="AA1095" s="7" t="n"/>
      <c r="AD1095" s="11" t="n"/>
      <c r="AF1095">
        <f>IF($B1095="","",IF(COUNTIF($B$2:$B1095,$B1095)=1,1,0))</f>
        <v/>
      </c>
      <c r="AG1095">
        <f>IF($AF1095=1,SUMPRODUCT(--($AJ$2:$AJ$1501&lt;$AJ1095))+1,"")</f>
        <v/>
      </c>
      <c r="AH1095">
        <f>IF($B1095="","",IF(OR($M1095=TRUE(),$M1095="TRUE"),1,0))</f>
        <v/>
      </c>
      <c r="AI1095">
        <f>IF($B1095="","",IF($V1095="Yes",1,0))</f>
        <v/>
      </c>
      <c r="AJ1095">
        <f>IF($AF1095=1,IFERROR(IF(VALUE($B1095)&lt;100000000,VALUE($B1095),1000000000),IFERROR(IF(VALUE(MID($B1095,2,20))&lt;100000000,VALUE(MID($B1095,2,20)),1000000000),1000000000))+ROW()/100000,"")</f>
        <v/>
      </c>
    </row>
    <row r="1096">
      <c r="C1096" s="11" t="n"/>
      <c r="J1096" s="7">
        <f>IF($B1096="","",I1096*Q1096/100)</f>
        <v/>
      </c>
      <c r="P1096" s="7" t="n"/>
      <c r="Q1096" s="7" t="n"/>
      <c r="R1096" s="7">
        <f>IF($B1096="","",Q1096*W1096/100)</f>
        <v/>
      </c>
      <c r="S1096" s="7">
        <f>IF($B1096="","",Q1096-R1096)</f>
        <v/>
      </c>
      <c r="T1096" s="7">
        <f>IF($B1096="","",S1096-J1096)</f>
        <v/>
      </c>
      <c r="W1096">
        <f>IF($B1096="","",IF($AI1096=1,0,IF($AH1096=1,Settings!$C$6,Settings!$C$7))*100)</f>
        <v/>
      </c>
      <c r="AA1096" s="7" t="n"/>
      <c r="AD1096" s="11" t="n"/>
      <c r="AF1096">
        <f>IF($B1096="","",IF(COUNTIF($B$2:$B1096,$B1096)=1,1,0))</f>
        <v/>
      </c>
      <c r="AG1096">
        <f>IF($AF1096=1,SUMPRODUCT(--($AJ$2:$AJ$1501&lt;$AJ1096))+1,"")</f>
        <v/>
      </c>
      <c r="AH1096">
        <f>IF($B1096="","",IF(OR($M1096=TRUE(),$M1096="TRUE"),1,0))</f>
        <v/>
      </c>
      <c r="AI1096">
        <f>IF($B1096="","",IF($V1096="Yes",1,0))</f>
        <v/>
      </c>
      <c r="AJ1096">
        <f>IF($AF1096=1,IFERROR(IF(VALUE($B1096)&lt;100000000,VALUE($B1096),1000000000),IFERROR(IF(VALUE(MID($B1096,2,20))&lt;100000000,VALUE(MID($B1096,2,20)),1000000000),1000000000))+ROW()/100000,"")</f>
        <v/>
      </c>
    </row>
    <row r="1097">
      <c r="C1097" s="11" t="n"/>
      <c r="J1097" s="7">
        <f>IF($B1097="","",I1097*Q1097/100)</f>
        <v/>
      </c>
      <c r="P1097" s="7" t="n"/>
      <c r="Q1097" s="7" t="n"/>
      <c r="R1097" s="7">
        <f>IF($B1097="","",Q1097*W1097/100)</f>
        <v/>
      </c>
      <c r="S1097" s="7">
        <f>IF($B1097="","",Q1097-R1097)</f>
        <v/>
      </c>
      <c r="T1097" s="7">
        <f>IF($B1097="","",S1097-J1097)</f>
        <v/>
      </c>
      <c r="W1097">
        <f>IF($B1097="","",IF($AI1097=1,0,IF($AH1097=1,Settings!$C$6,Settings!$C$7))*100)</f>
        <v/>
      </c>
      <c r="AA1097" s="7" t="n"/>
      <c r="AD1097" s="11" t="n"/>
      <c r="AF1097">
        <f>IF($B1097="","",IF(COUNTIF($B$2:$B1097,$B1097)=1,1,0))</f>
        <v/>
      </c>
      <c r="AG1097">
        <f>IF($AF1097=1,SUMPRODUCT(--($AJ$2:$AJ$1501&lt;$AJ1097))+1,"")</f>
        <v/>
      </c>
      <c r="AH1097">
        <f>IF($B1097="","",IF(OR($M1097=TRUE(),$M1097="TRUE"),1,0))</f>
        <v/>
      </c>
      <c r="AI1097">
        <f>IF($B1097="","",IF($V1097="Yes",1,0))</f>
        <v/>
      </c>
      <c r="AJ1097">
        <f>IF($AF1097=1,IFERROR(IF(VALUE($B1097)&lt;100000000,VALUE($B1097),1000000000),IFERROR(IF(VALUE(MID($B1097,2,20))&lt;100000000,VALUE(MID($B1097,2,20)),1000000000),1000000000))+ROW()/100000,"")</f>
        <v/>
      </c>
    </row>
    <row r="1098">
      <c r="C1098" s="11" t="n"/>
      <c r="J1098" s="7">
        <f>IF($B1098="","",I1098*Q1098/100)</f>
        <v/>
      </c>
      <c r="P1098" s="7" t="n"/>
      <c r="Q1098" s="7" t="n"/>
      <c r="R1098" s="7">
        <f>IF($B1098="","",Q1098*W1098/100)</f>
        <v/>
      </c>
      <c r="S1098" s="7">
        <f>IF($B1098="","",Q1098-R1098)</f>
        <v/>
      </c>
      <c r="T1098" s="7">
        <f>IF($B1098="","",S1098-J1098)</f>
        <v/>
      </c>
      <c r="W1098">
        <f>IF($B1098="","",IF($AI1098=1,0,IF($AH1098=1,Settings!$C$6,Settings!$C$7))*100)</f>
        <v/>
      </c>
      <c r="AA1098" s="7" t="n"/>
      <c r="AD1098" s="11" t="n"/>
      <c r="AF1098">
        <f>IF($B1098="","",IF(COUNTIF($B$2:$B1098,$B1098)=1,1,0))</f>
        <v/>
      </c>
      <c r="AG1098">
        <f>IF($AF1098=1,SUMPRODUCT(--($AJ$2:$AJ$1501&lt;$AJ1098))+1,"")</f>
        <v/>
      </c>
      <c r="AH1098">
        <f>IF($B1098="","",IF(OR($M1098=TRUE(),$M1098="TRUE"),1,0))</f>
        <v/>
      </c>
      <c r="AI1098">
        <f>IF($B1098="","",IF($V1098="Yes",1,0))</f>
        <v/>
      </c>
      <c r="AJ1098">
        <f>IF($AF1098=1,IFERROR(IF(VALUE($B1098)&lt;100000000,VALUE($B1098),1000000000),IFERROR(IF(VALUE(MID($B1098,2,20))&lt;100000000,VALUE(MID($B1098,2,20)),1000000000),1000000000))+ROW()/100000,"")</f>
        <v/>
      </c>
    </row>
    <row r="1099">
      <c r="C1099" s="11" t="n"/>
      <c r="J1099" s="7">
        <f>IF($B1099="","",I1099*Q1099/100)</f>
        <v/>
      </c>
      <c r="P1099" s="7" t="n"/>
      <c r="Q1099" s="7" t="n"/>
      <c r="R1099" s="7">
        <f>IF($B1099="","",Q1099*W1099/100)</f>
        <v/>
      </c>
      <c r="S1099" s="7">
        <f>IF($B1099="","",Q1099-R1099)</f>
        <v/>
      </c>
      <c r="T1099" s="7">
        <f>IF($B1099="","",S1099-J1099)</f>
        <v/>
      </c>
      <c r="W1099">
        <f>IF($B1099="","",IF($AI1099=1,0,IF($AH1099=1,Settings!$C$6,Settings!$C$7))*100)</f>
        <v/>
      </c>
      <c r="AA1099" s="7" t="n"/>
      <c r="AD1099" s="11" t="n"/>
      <c r="AF1099">
        <f>IF($B1099="","",IF(COUNTIF($B$2:$B1099,$B1099)=1,1,0))</f>
        <v/>
      </c>
      <c r="AG1099">
        <f>IF($AF1099=1,SUMPRODUCT(--($AJ$2:$AJ$1501&lt;$AJ1099))+1,"")</f>
        <v/>
      </c>
      <c r="AH1099">
        <f>IF($B1099="","",IF(OR($M1099=TRUE(),$M1099="TRUE"),1,0))</f>
        <v/>
      </c>
      <c r="AI1099">
        <f>IF($B1099="","",IF($V1099="Yes",1,0))</f>
        <v/>
      </c>
      <c r="AJ1099">
        <f>IF($AF1099=1,IFERROR(IF(VALUE($B1099)&lt;100000000,VALUE($B1099),1000000000),IFERROR(IF(VALUE(MID($B1099,2,20))&lt;100000000,VALUE(MID($B1099,2,20)),1000000000),1000000000))+ROW()/100000,"")</f>
        <v/>
      </c>
    </row>
    <row r="1100">
      <c r="C1100" s="11" t="n"/>
      <c r="J1100" s="7">
        <f>IF($B1100="","",I1100*Q1100/100)</f>
        <v/>
      </c>
      <c r="P1100" s="7" t="n"/>
      <c r="Q1100" s="7" t="n"/>
      <c r="R1100" s="7">
        <f>IF($B1100="","",Q1100*W1100/100)</f>
        <v/>
      </c>
      <c r="S1100" s="7">
        <f>IF($B1100="","",Q1100-R1100)</f>
        <v/>
      </c>
      <c r="T1100" s="7">
        <f>IF($B1100="","",S1100-J1100)</f>
        <v/>
      </c>
      <c r="W1100">
        <f>IF($B1100="","",IF($AI1100=1,0,IF($AH1100=1,Settings!$C$6,Settings!$C$7))*100)</f>
        <v/>
      </c>
      <c r="AA1100" s="7" t="n"/>
      <c r="AD1100" s="11" t="n"/>
      <c r="AF1100">
        <f>IF($B1100="","",IF(COUNTIF($B$2:$B1100,$B1100)=1,1,0))</f>
        <v/>
      </c>
      <c r="AG1100">
        <f>IF($AF1100=1,SUMPRODUCT(--($AJ$2:$AJ$1501&lt;$AJ1100))+1,"")</f>
        <v/>
      </c>
      <c r="AH1100">
        <f>IF($B1100="","",IF(OR($M1100=TRUE(),$M1100="TRUE"),1,0))</f>
        <v/>
      </c>
      <c r="AI1100">
        <f>IF($B1100="","",IF($V1100="Yes",1,0))</f>
        <v/>
      </c>
      <c r="AJ1100">
        <f>IF($AF1100=1,IFERROR(IF(VALUE($B1100)&lt;100000000,VALUE($B1100),1000000000),IFERROR(IF(VALUE(MID($B1100,2,20))&lt;100000000,VALUE(MID($B1100,2,20)),1000000000),1000000000))+ROW()/100000,"")</f>
        <v/>
      </c>
    </row>
    <row r="1101">
      <c r="C1101" s="11" t="n"/>
      <c r="J1101" s="7">
        <f>IF($B1101="","",I1101*Q1101/100)</f>
        <v/>
      </c>
      <c r="P1101" s="7" t="n"/>
      <c r="Q1101" s="7" t="n"/>
      <c r="R1101" s="7">
        <f>IF($B1101="","",Q1101*W1101/100)</f>
        <v/>
      </c>
      <c r="S1101" s="7">
        <f>IF($B1101="","",Q1101-R1101)</f>
        <v/>
      </c>
      <c r="T1101" s="7">
        <f>IF($B1101="","",S1101-J1101)</f>
        <v/>
      </c>
      <c r="W1101">
        <f>IF($B1101="","",IF($AI1101=1,0,IF($AH1101=1,Settings!$C$6,Settings!$C$7))*100)</f>
        <v/>
      </c>
      <c r="AA1101" s="7" t="n"/>
      <c r="AD1101" s="11" t="n"/>
      <c r="AF1101">
        <f>IF($B1101="","",IF(COUNTIF($B$2:$B1101,$B1101)=1,1,0))</f>
        <v/>
      </c>
      <c r="AG1101">
        <f>IF($AF1101=1,SUMPRODUCT(--($AJ$2:$AJ$1501&lt;$AJ1101))+1,"")</f>
        <v/>
      </c>
      <c r="AH1101">
        <f>IF($B1101="","",IF(OR($M1101=TRUE(),$M1101="TRUE"),1,0))</f>
        <v/>
      </c>
      <c r="AI1101">
        <f>IF($B1101="","",IF($V1101="Yes",1,0))</f>
        <v/>
      </c>
      <c r="AJ1101">
        <f>IF($AF1101=1,IFERROR(IF(VALUE($B1101)&lt;100000000,VALUE($B1101),1000000000),IFERROR(IF(VALUE(MID($B1101,2,20))&lt;100000000,VALUE(MID($B1101,2,20)),1000000000),1000000000))+ROW()/100000,"")</f>
        <v/>
      </c>
    </row>
    <row r="1102">
      <c r="C1102" s="11" t="n"/>
      <c r="J1102" s="7">
        <f>IF($B1102="","",I1102*Q1102/100)</f>
        <v/>
      </c>
      <c r="P1102" s="7" t="n"/>
      <c r="Q1102" s="7" t="n"/>
      <c r="R1102" s="7">
        <f>IF($B1102="","",Q1102*W1102/100)</f>
        <v/>
      </c>
      <c r="S1102" s="7">
        <f>IF($B1102="","",Q1102-R1102)</f>
        <v/>
      </c>
      <c r="T1102" s="7">
        <f>IF($B1102="","",S1102-J1102)</f>
        <v/>
      </c>
      <c r="W1102">
        <f>IF($B1102="","",IF($AI1102=1,0,IF($AH1102=1,Settings!$C$6,Settings!$C$7))*100)</f>
        <v/>
      </c>
      <c r="AA1102" s="7" t="n"/>
      <c r="AD1102" s="11" t="n"/>
      <c r="AF1102">
        <f>IF($B1102="","",IF(COUNTIF($B$2:$B1102,$B1102)=1,1,0))</f>
        <v/>
      </c>
      <c r="AG1102">
        <f>IF($AF1102=1,SUMPRODUCT(--($AJ$2:$AJ$1501&lt;$AJ1102))+1,"")</f>
        <v/>
      </c>
      <c r="AH1102">
        <f>IF($B1102="","",IF(OR($M1102=TRUE(),$M1102="TRUE"),1,0))</f>
        <v/>
      </c>
      <c r="AI1102">
        <f>IF($B1102="","",IF($V1102="Yes",1,0))</f>
        <v/>
      </c>
      <c r="AJ1102">
        <f>IF($AF1102=1,IFERROR(IF(VALUE($B1102)&lt;100000000,VALUE($B1102),1000000000),IFERROR(IF(VALUE(MID($B1102,2,20))&lt;100000000,VALUE(MID($B1102,2,20)),1000000000),1000000000))+ROW()/100000,"")</f>
        <v/>
      </c>
    </row>
    <row r="1103">
      <c r="C1103" s="11" t="n"/>
      <c r="J1103" s="7">
        <f>IF($B1103="","",I1103*Q1103/100)</f>
        <v/>
      </c>
      <c r="P1103" s="7" t="n"/>
      <c r="Q1103" s="7" t="n"/>
      <c r="R1103" s="7">
        <f>IF($B1103="","",Q1103*W1103/100)</f>
        <v/>
      </c>
      <c r="S1103" s="7">
        <f>IF($B1103="","",Q1103-R1103)</f>
        <v/>
      </c>
      <c r="T1103" s="7">
        <f>IF($B1103="","",S1103-J1103)</f>
        <v/>
      </c>
      <c r="W1103">
        <f>IF($B1103="","",IF($AI1103=1,0,IF($AH1103=1,Settings!$C$6,Settings!$C$7))*100)</f>
        <v/>
      </c>
      <c r="AA1103" s="7" t="n"/>
      <c r="AD1103" s="11" t="n"/>
      <c r="AF1103">
        <f>IF($B1103="","",IF(COUNTIF($B$2:$B1103,$B1103)=1,1,0))</f>
        <v/>
      </c>
      <c r="AG1103">
        <f>IF($AF1103=1,SUMPRODUCT(--($AJ$2:$AJ$1501&lt;$AJ1103))+1,"")</f>
        <v/>
      </c>
      <c r="AH1103">
        <f>IF($B1103="","",IF(OR($M1103=TRUE(),$M1103="TRUE"),1,0))</f>
        <v/>
      </c>
      <c r="AI1103">
        <f>IF($B1103="","",IF($V1103="Yes",1,0))</f>
        <v/>
      </c>
      <c r="AJ1103">
        <f>IF($AF1103=1,IFERROR(IF(VALUE($B1103)&lt;100000000,VALUE($B1103),1000000000),IFERROR(IF(VALUE(MID($B1103,2,20))&lt;100000000,VALUE(MID($B1103,2,20)),1000000000),1000000000))+ROW()/100000,"")</f>
        <v/>
      </c>
    </row>
    <row r="1104">
      <c r="C1104" s="11" t="n"/>
      <c r="J1104" s="7">
        <f>IF($B1104="","",I1104*Q1104/100)</f>
        <v/>
      </c>
      <c r="P1104" s="7" t="n"/>
      <c r="Q1104" s="7" t="n"/>
      <c r="R1104" s="7">
        <f>IF($B1104="","",Q1104*W1104/100)</f>
        <v/>
      </c>
      <c r="S1104" s="7">
        <f>IF($B1104="","",Q1104-R1104)</f>
        <v/>
      </c>
      <c r="T1104" s="7">
        <f>IF($B1104="","",S1104-J1104)</f>
        <v/>
      </c>
      <c r="W1104">
        <f>IF($B1104="","",IF($AI1104=1,0,IF($AH1104=1,Settings!$C$6,Settings!$C$7))*100)</f>
        <v/>
      </c>
      <c r="AA1104" s="7" t="n"/>
      <c r="AD1104" s="11" t="n"/>
      <c r="AF1104">
        <f>IF($B1104="","",IF(COUNTIF($B$2:$B1104,$B1104)=1,1,0))</f>
        <v/>
      </c>
      <c r="AG1104">
        <f>IF($AF1104=1,SUMPRODUCT(--($AJ$2:$AJ$1501&lt;$AJ1104))+1,"")</f>
        <v/>
      </c>
      <c r="AH1104">
        <f>IF($B1104="","",IF(OR($M1104=TRUE(),$M1104="TRUE"),1,0))</f>
        <v/>
      </c>
      <c r="AI1104">
        <f>IF($B1104="","",IF($V1104="Yes",1,0))</f>
        <v/>
      </c>
      <c r="AJ1104">
        <f>IF($AF1104=1,IFERROR(IF(VALUE($B1104)&lt;100000000,VALUE($B1104),1000000000),IFERROR(IF(VALUE(MID($B1104,2,20))&lt;100000000,VALUE(MID($B1104,2,20)),1000000000),1000000000))+ROW()/100000,"")</f>
        <v/>
      </c>
    </row>
    <row r="1105">
      <c r="C1105" s="11" t="n"/>
      <c r="J1105" s="7">
        <f>IF($B1105="","",I1105*Q1105/100)</f>
        <v/>
      </c>
      <c r="P1105" s="7" t="n"/>
      <c r="Q1105" s="7" t="n"/>
      <c r="R1105" s="7">
        <f>IF($B1105="","",Q1105*W1105/100)</f>
        <v/>
      </c>
      <c r="S1105" s="7">
        <f>IF($B1105="","",Q1105-R1105)</f>
        <v/>
      </c>
      <c r="T1105" s="7">
        <f>IF($B1105="","",S1105-J1105)</f>
        <v/>
      </c>
      <c r="W1105">
        <f>IF($B1105="","",IF($AI1105=1,0,IF($AH1105=1,Settings!$C$6,Settings!$C$7))*100)</f>
        <v/>
      </c>
      <c r="AA1105" s="7" t="n"/>
      <c r="AD1105" s="11" t="n"/>
      <c r="AF1105">
        <f>IF($B1105="","",IF(COUNTIF($B$2:$B1105,$B1105)=1,1,0))</f>
        <v/>
      </c>
      <c r="AG1105">
        <f>IF($AF1105=1,SUMPRODUCT(--($AJ$2:$AJ$1501&lt;$AJ1105))+1,"")</f>
        <v/>
      </c>
      <c r="AH1105">
        <f>IF($B1105="","",IF(OR($M1105=TRUE(),$M1105="TRUE"),1,0))</f>
        <v/>
      </c>
      <c r="AI1105">
        <f>IF($B1105="","",IF($V1105="Yes",1,0))</f>
        <v/>
      </c>
      <c r="AJ1105">
        <f>IF($AF1105=1,IFERROR(IF(VALUE($B1105)&lt;100000000,VALUE($B1105),1000000000),IFERROR(IF(VALUE(MID($B1105,2,20))&lt;100000000,VALUE(MID($B1105,2,20)),1000000000),1000000000))+ROW()/100000,"")</f>
        <v/>
      </c>
    </row>
    <row r="1106">
      <c r="C1106" s="11" t="n"/>
      <c r="J1106" s="7">
        <f>IF($B1106="","",I1106*Q1106/100)</f>
        <v/>
      </c>
      <c r="P1106" s="7" t="n"/>
      <c r="Q1106" s="7" t="n"/>
      <c r="R1106" s="7">
        <f>IF($B1106="","",Q1106*W1106/100)</f>
        <v/>
      </c>
      <c r="S1106" s="7">
        <f>IF($B1106="","",Q1106-R1106)</f>
        <v/>
      </c>
      <c r="T1106" s="7">
        <f>IF($B1106="","",S1106-J1106)</f>
        <v/>
      </c>
      <c r="W1106">
        <f>IF($B1106="","",IF($AI1106=1,0,IF($AH1106=1,Settings!$C$6,Settings!$C$7))*100)</f>
        <v/>
      </c>
      <c r="AA1106" s="7" t="n"/>
      <c r="AD1106" s="11" t="n"/>
      <c r="AF1106">
        <f>IF($B1106="","",IF(COUNTIF($B$2:$B1106,$B1106)=1,1,0))</f>
        <v/>
      </c>
      <c r="AG1106">
        <f>IF($AF1106=1,SUMPRODUCT(--($AJ$2:$AJ$1501&lt;$AJ1106))+1,"")</f>
        <v/>
      </c>
      <c r="AH1106">
        <f>IF($B1106="","",IF(OR($M1106=TRUE(),$M1106="TRUE"),1,0))</f>
        <v/>
      </c>
      <c r="AI1106">
        <f>IF($B1106="","",IF($V1106="Yes",1,0))</f>
        <v/>
      </c>
      <c r="AJ1106">
        <f>IF($AF1106=1,IFERROR(IF(VALUE($B1106)&lt;100000000,VALUE($B1106),1000000000),IFERROR(IF(VALUE(MID($B1106,2,20))&lt;100000000,VALUE(MID($B1106,2,20)),1000000000),1000000000))+ROW()/100000,"")</f>
        <v/>
      </c>
    </row>
    <row r="1107">
      <c r="C1107" s="11" t="n"/>
      <c r="J1107" s="7">
        <f>IF($B1107="","",I1107*Q1107/100)</f>
        <v/>
      </c>
      <c r="P1107" s="7" t="n"/>
      <c r="Q1107" s="7" t="n"/>
      <c r="R1107" s="7">
        <f>IF($B1107="","",Q1107*W1107/100)</f>
        <v/>
      </c>
      <c r="S1107" s="7">
        <f>IF($B1107="","",Q1107-R1107)</f>
        <v/>
      </c>
      <c r="T1107" s="7">
        <f>IF($B1107="","",S1107-J1107)</f>
        <v/>
      </c>
      <c r="W1107">
        <f>IF($B1107="","",IF($AI1107=1,0,IF($AH1107=1,Settings!$C$6,Settings!$C$7))*100)</f>
        <v/>
      </c>
      <c r="AA1107" s="7" t="n"/>
      <c r="AD1107" s="11" t="n"/>
      <c r="AF1107">
        <f>IF($B1107="","",IF(COUNTIF($B$2:$B1107,$B1107)=1,1,0))</f>
        <v/>
      </c>
      <c r="AG1107">
        <f>IF($AF1107=1,SUMPRODUCT(--($AJ$2:$AJ$1501&lt;$AJ1107))+1,"")</f>
        <v/>
      </c>
      <c r="AH1107">
        <f>IF($B1107="","",IF(OR($M1107=TRUE(),$M1107="TRUE"),1,0))</f>
        <v/>
      </c>
      <c r="AI1107">
        <f>IF($B1107="","",IF($V1107="Yes",1,0))</f>
        <v/>
      </c>
      <c r="AJ1107">
        <f>IF($AF1107=1,IFERROR(IF(VALUE($B1107)&lt;100000000,VALUE($B1107),1000000000),IFERROR(IF(VALUE(MID($B1107,2,20))&lt;100000000,VALUE(MID($B1107,2,20)),1000000000),1000000000))+ROW()/100000,"")</f>
        <v/>
      </c>
    </row>
    <row r="1108">
      <c r="C1108" s="11" t="n"/>
      <c r="J1108" s="7">
        <f>IF($B1108="","",I1108*Q1108/100)</f>
        <v/>
      </c>
      <c r="P1108" s="7" t="n"/>
      <c r="Q1108" s="7" t="n"/>
      <c r="R1108" s="7">
        <f>IF($B1108="","",Q1108*W1108/100)</f>
        <v/>
      </c>
      <c r="S1108" s="7">
        <f>IF($B1108="","",Q1108-R1108)</f>
        <v/>
      </c>
      <c r="T1108" s="7">
        <f>IF($B1108="","",S1108-J1108)</f>
        <v/>
      </c>
      <c r="W1108">
        <f>IF($B1108="","",IF($AI1108=1,0,IF($AH1108=1,Settings!$C$6,Settings!$C$7))*100)</f>
        <v/>
      </c>
      <c r="AA1108" s="7" t="n"/>
      <c r="AD1108" s="11" t="n"/>
      <c r="AF1108">
        <f>IF($B1108="","",IF(COUNTIF($B$2:$B1108,$B1108)=1,1,0))</f>
        <v/>
      </c>
      <c r="AG1108">
        <f>IF($AF1108=1,SUMPRODUCT(--($AJ$2:$AJ$1501&lt;$AJ1108))+1,"")</f>
        <v/>
      </c>
      <c r="AH1108">
        <f>IF($B1108="","",IF(OR($M1108=TRUE(),$M1108="TRUE"),1,0))</f>
        <v/>
      </c>
      <c r="AI1108">
        <f>IF($B1108="","",IF($V1108="Yes",1,0))</f>
        <v/>
      </c>
      <c r="AJ1108">
        <f>IF($AF1108=1,IFERROR(IF(VALUE($B1108)&lt;100000000,VALUE($B1108),1000000000),IFERROR(IF(VALUE(MID($B1108,2,20))&lt;100000000,VALUE(MID($B1108,2,20)),1000000000),1000000000))+ROW()/100000,"")</f>
        <v/>
      </c>
    </row>
    <row r="1109">
      <c r="C1109" s="11" t="n"/>
      <c r="J1109" s="7">
        <f>IF($B1109="","",I1109*Q1109/100)</f>
        <v/>
      </c>
      <c r="P1109" s="7" t="n"/>
      <c r="Q1109" s="7" t="n"/>
      <c r="R1109" s="7">
        <f>IF($B1109="","",Q1109*W1109/100)</f>
        <v/>
      </c>
      <c r="S1109" s="7">
        <f>IF($B1109="","",Q1109-R1109)</f>
        <v/>
      </c>
      <c r="T1109" s="7">
        <f>IF($B1109="","",S1109-J1109)</f>
        <v/>
      </c>
      <c r="W1109">
        <f>IF($B1109="","",IF($AI1109=1,0,IF($AH1109=1,Settings!$C$6,Settings!$C$7))*100)</f>
        <v/>
      </c>
      <c r="AA1109" s="7" t="n"/>
      <c r="AD1109" s="11" t="n"/>
      <c r="AF1109">
        <f>IF($B1109="","",IF(COUNTIF($B$2:$B1109,$B1109)=1,1,0))</f>
        <v/>
      </c>
      <c r="AG1109">
        <f>IF($AF1109=1,SUMPRODUCT(--($AJ$2:$AJ$1501&lt;$AJ1109))+1,"")</f>
        <v/>
      </c>
      <c r="AH1109">
        <f>IF($B1109="","",IF(OR($M1109=TRUE(),$M1109="TRUE"),1,0))</f>
        <v/>
      </c>
      <c r="AI1109">
        <f>IF($B1109="","",IF($V1109="Yes",1,0))</f>
        <v/>
      </c>
      <c r="AJ1109">
        <f>IF($AF1109=1,IFERROR(IF(VALUE($B1109)&lt;100000000,VALUE($B1109),1000000000),IFERROR(IF(VALUE(MID($B1109,2,20))&lt;100000000,VALUE(MID($B1109,2,20)),1000000000),1000000000))+ROW()/100000,"")</f>
        <v/>
      </c>
    </row>
    <row r="1110">
      <c r="C1110" s="11" t="n"/>
      <c r="J1110" s="7">
        <f>IF($B1110="","",I1110*Q1110/100)</f>
        <v/>
      </c>
      <c r="P1110" s="7" t="n"/>
      <c r="Q1110" s="7" t="n"/>
      <c r="R1110" s="7">
        <f>IF($B1110="","",Q1110*W1110/100)</f>
        <v/>
      </c>
      <c r="S1110" s="7">
        <f>IF($B1110="","",Q1110-R1110)</f>
        <v/>
      </c>
      <c r="T1110" s="7">
        <f>IF($B1110="","",S1110-J1110)</f>
        <v/>
      </c>
      <c r="W1110">
        <f>IF($B1110="","",IF($AI1110=1,0,IF($AH1110=1,Settings!$C$6,Settings!$C$7))*100)</f>
        <v/>
      </c>
      <c r="AA1110" s="7" t="n"/>
      <c r="AD1110" s="11" t="n"/>
      <c r="AF1110">
        <f>IF($B1110="","",IF(COUNTIF($B$2:$B1110,$B1110)=1,1,0))</f>
        <v/>
      </c>
      <c r="AG1110">
        <f>IF($AF1110=1,SUMPRODUCT(--($AJ$2:$AJ$1501&lt;$AJ1110))+1,"")</f>
        <v/>
      </c>
      <c r="AH1110">
        <f>IF($B1110="","",IF(OR($M1110=TRUE(),$M1110="TRUE"),1,0))</f>
        <v/>
      </c>
      <c r="AI1110">
        <f>IF($B1110="","",IF($V1110="Yes",1,0))</f>
        <v/>
      </c>
      <c r="AJ1110">
        <f>IF($AF1110=1,IFERROR(IF(VALUE($B1110)&lt;100000000,VALUE($B1110),1000000000),IFERROR(IF(VALUE(MID($B1110,2,20))&lt;100000000,VALUE(MID($B1110,2,20)),1000000000),1000000000))+ROW()/100000,"")</f>
        <v/>
      </c>
    </row>
    <row r="1111">
      <c r="C1111" s="11" t="n"/>
      <c r="J1111" s="7">
        <f>IF($B1111="","",I1111*Q1111/100)</f>
        <v/>
      </c>
      <c r="P1111" s="7" t="n"/>
      <c r="Q1111" s="7" t="n"/>
      <c r="R1111" s="7">
        <f>IF($B1111="","",Q1111*W1111/100)</f>
        <v/>
      </c>
      <c r="S1111" s="7">
        <f>IF($B1111="","",Q1111-R1111)</f>
        <v/>
      </c>
      <c r="T1111" s="7">
        <f>IF($B1111="","",S1111-J1111)</f>
        <v/>
      </c>
      <c r="W1111">
        <f>IF($B1111="","",IF($AI1111=1,0,IF($AH1111=1,Settings!$C$6,Settings!$C$7))*100)</f>
        <v/>
      </c>
      <c r="AA1111" s="7" t="n"/>
      <c r="AD1111" s="11" t="n"/>
      <c r="AF1111">
        <f>IF($B1111="","",IF(COUNTIF($B$2:$B1111,$B1111)=1,1,0))</f>
        <v/>
      </c>
      <c r="AG1111">
        <f>IF($AF1111=1,SUMPRODUCT(--($AJ$2:$AJ$1501&lt;$AJ1111))+1,"")</f>
        <v/>
      </c>
      <c r="AH1111">
        <f>IF($B1111="","",IF(OR($M1111=TRUE(),$M1111="TRUE"),1,0))</f>
        <v/>
      </c>
      <c r="AI1111">
        <f>IF($B1111="","",IF($V1111="Yes",1,0))</f>
        <v/>
      </c>
      <c r="AJ1111">
        <f>IF($AF1111=1,IFERROR(IF(VALUE($B1111)&lt;100000000,VALUE($B1111),1000000000),IFERROR(IF(VALUE(MID($B1111,2,20))&lt;100000000,VALUE(MID($B1111,2,20)),1000000000),1000000000))+ROW()/100000,"")</f>
        <v/>
      </c>
    </row>
    <row r="1112">
      <c r="C1112" s="11" t="n"/>
      <c r="J1112" s="7">
        <f>IF($B1112="","",I1112*Q1112/100)</f>
        <v/>
      </c>
      <c r="P1112" s="7" t="n"/>
      <c r="Q1112" s="7" t="n"/>
      <c r="R1112" s="7">
        <f>IF($B1112="","",Q1112*W1112/100)</f>
        <v/>
      </c>
      <c r="S1112" s="7">
        <f>IF($B1112="","",Q1112-R1112)</f>
        <v/>
      </c>
      <c r="T1112" s="7">
        <f>IF($B1112="","",S1112-J1112)</f>
        <v/>
      </c>
      <c r="W1112">
        <f>IF($B1112="","",IF($AI1112=1,0,IF($AH1112=1,Settings!$C$6,Settings!$C$7))*100)</f>
        <v/>
      </c>
      <c r="AA1112" s="7" t="n"/>
      <c r="AD1112" s="11" t="n"/>
      <c r="AF1112">
        <f>IF($B1112="","",IF(COUNTIF($B$2:$B1112,$B1112)=1,1,0))</f>
        <v/>
      </c>
      <c r="AG1112">
        <f>IF($AF1112=1,SUMPRODUCT(--($AJ$2:$AJ$1501&lt;$AJ1112))+1,"")</f>
        <v/>
      </c>
      <c r="AH1112">
        <f>IF($B1112="","",IF(OR($M1112=TRUE(),$M1112="TRUE"),1,0))</f>
        <v/>
      </c>
      <c r="AI1112">
        <f>IF($B1112="","",IF($V1112="Yes",1,0))</f>
        <v/>
      </c>
      <c r="AJ1112">
        <f>IF($AF1112=1,IFERROR(IF(VALUE($B1112)&lt;100000000,VALUE($B1112),1000000000),IFERROR(IF(VALUE(MID($B1112,2,20))&lt;100000000,VALUE(MID($B1112,2,20)),1000000000),1000000000))+ROW()/100000,"")</f>
        <v/>
      </c>
    </row>
    <row r="1113">
      <c r="C1113" s="11" t="n"/>
      <c r="J1113" s="7">
        <f>IF($B1113="","",I1113*Q1113/100)</f>
        <v/>
      </c>
      <c r="P1113" s="7" t="n"/>
      <c r="Q1113" s="7" t="n"/>
      <c r="R1113" s="7">
        <f>IF($B1113="","",Q1113*W1113/100)</f>
        <v/>
      </c>
      <c r="S1113" s="7">
        <f>IF($B1113="","",Q1113-R1113)</f>
        <v/>
      </c>
      <c r="T1113" s="7">
        <f>IF($B1113="","",S1113-J1113)</f>
        <v/>
      </c>
      <c r="W1113">
        <f>IF($B1113="","",IF($AI1113=1,0,IF($AH1113=1,Settings!$C$6,Settings!$C$7))*100)</f>
        <v/>
      </c>
      <c r="AA1113" s="7" t="n"/>
      <c r="AD1113" s="11" t="n"/>
      <c r="AF1113">
        <f>IF($B1113="","",IF(COUNTIF($B$2:$B1113,$B1113)=1,1,0))</f>
        <v/>
      </c>
      <c r="AG1113">
        <f>IF($AF1113=1,SUMPRODUCT(--($AJ$2:$AJ$1501&lt;$AJ1113))+1,"")</f>
        <v/>
      </c>
      <c r="AH1113">
        <f>IF($B1113="","",IF(OR($M1113=TRUE(),$M1113="TRUE"),1,0))</f>
        <v/>
      </c>
      <c r="AI1113">
        <f>IF($B1113="","",IF($V1113="Yes",1,0))</f>
        <v/>
      </c>
      <c r="AJ1113">
        <f>IF($AF1113=1,IFERROR(IF(VALUE($B1113)&lt;100000000,VALUE($B1113),1000000000),IFERROR(IF(VALUE(MID($B1113,2,20))&lt;100000000,VALUE(MID($B1113,2,20)),1000000000),1000000000))+ROW()/100000,"")</f>
        <v/>
      </c>
    </row>
    <row r="1114">
      <c r="C1114" s="11" t="n"/>
      <c r="J1114" s="7">
        <f>IF($B1114="","",I1114*Q1114/100)</f>
        <v/>
      </c>
      <c r="P1114" s="7" t="n"/>
      <c r="Q1114" s="7" t="n"/>
      <c r="R1114" s="7">
        <f>IF($B1114="","",Q1114*W1114/100)</f>
        <v/>
      </c>
      <c r="S1114" s="7">
        <f>IF($B1114="","",Q1114-R1114)</f>
        <v/>
      </c>
      <c r="T1114" s="7">
        <f>IF($B1114="","",S1114-J1114)</f>
        <v/>
      </c>
      <c r="W1114">
        <f>IF($B1114="","",IF($AI1114=1,0,IF($AH1114=1,Settings!$C$6,Settings!$C$7))*100)</f>
        <v/>
      </c>
      <c r="AA1114" s="7" t="n"/>
      <c r="AD1114" s="11" t="n"/>
      <c r="AF1114">
        <f>IF($B1114="","",IF(COUNTIF($B$2:$B1114,$B1114)=1,1,0))</f>
        <v/>
      </c>
      <c r="AG1114">
        <f>IF($AF1114=1,SUMPRODUCT(--($AJ$2:$AJ$1501&lt;$AJ1114))+1,"")</f>
        <v/>
      </c>
      <c r="AH1114">
        <f>IF($B1114="","",IF(OR($M1114=TRUE(),$M1114="TRUE"),1,0))</f>
        <v/>
      </c>
      <c r="AI1114">
        <f>IF($B1114="","",IF($V1114="Yes",1,0))</f>
        <v/>
      </c>
      <c r="AJ1114">
        <f>IF($AF1114=1,IFERROR(IF(VALUE($B1114)&lt;100000000,VALUE($B1114),1000000000),IFERROR(IF(VALUE(MID($B1114,2,20))&lt;100000000,VALUE(MID($B1114,2,20)),1000000000),1000000000))+ROW()/100000,"")</f>
        <v/>
      </c>
    </row>
    <row r="1115">
      <c r="C1115" s="11" t="n"/>
      <c r="J1115" s="7">
        <f>IF($B1115="","",I1115*Q1115/100)</f>
        <v/>
      </c>
      <c r="P1115" s="7" t="n"/>
      <c r="Q1115" s="7" t="n"/>
      <c r="R1115" s="7">
        <f>IF($B1115="","",Q1115*W1115/100)</f>
        <v/>
      </c>
      <c r="S1115" s="7">
        <f>IF($B1115="","",Q1115-R1115)</f>
        <v/>
      </c>
      <c r="T1115" s="7">
        <f>IF($B1115="","",S1115-J1115)</f>
        <v/>
      </c>
      <c r="W1115">
        <f>IF($B1115="","",IF($AI1115=1,0,IF($AH1115=1,Settings!$C$6,Settings!$C$7))*100)</f>
        <v/>
      </c>
      <c r="AA1115" s="7" t="n"/>
      <c r="AD1115" s="11" t="n"/>
      <c r="AF1115">
        <f>IF($B1115="","",IF(COUNTIF($B$2:$B1115,$B1115)=1,1,0))</f>
        <v/>
      </c>
      <c r="AG1115">
        <f>IF($AF1115=1,SUMPRODUCT(--($AJ$2:$AJ$1501&lt;$AJ1115))+1,"")</f>
        <v/>
      </c>
      <c r="AH1115">
        <f>IF($B1115="","",IF(OR($M1115=TRUE(),$M1115="TRUE"),1,0))</f>
        <v/>
      </c>
      <c r="AI1115">
        <f>IF($B1115="","",IF($V1115="Yes",1,0))</f>
        <v/>
      </c>
      <c r="AJ1115">
        <f>IF($AF1115=1,IFERROR(IF(VALUE($B1115)&lt;100000000,VALUE($B1115),1000000000),IFERROR(IF(VALUE(MID($B1115,2,20))&lt;100000000,VALUE(MID($B1115,2,20)),1000000000),1000000000))+ROW()/100000,"")</f>
        <v/>
      </c>
    </row>
    <row r="1116">
      <c r="C1116" s="11" t="n"/>
      <c r="J1116" s="7">
        <f>IF($B1116="","",I1116*Q1116/100)</f>
        <v/>
      </c>
      <c r="P1116" s="7" t="n"/>
      <c r="Q1116" s="7" t="n"/>
      <c r="R1116" s="7">
        <f>IF($B1116="","",Q1116*W1116/100)</f>
        <v/>
      </c>
      <c r="S1116" s="7">
        <f>IF($B1116="","",Q1116-R1116)</f>
        <v/>
      </c>
      <c r="T1116" s="7">
        <f>IF($B1116="","",S1116-J1116)</f>
        <v/>
      </c>
      <c r="W1116">
        <f>IF($B1116="","",IF($AI1116=1,0,IF($AH1116=1,Settings!$C$6,Settings!$C$7))*100)</f>
        <v/>
      </c>
      <c r="AA1116" s="7" t="n"/>
      <c r="AD1116" s="11" t="n"/>
      <c r="AF1116">
        <f>IF($B1116="","",IF(COUNTIF($B$2:$B1116,$B1116)=1,1,0))</f>
        <v/>
      </c>
      <c r="AG1116">
        <f>IF($AF1116=1,SUMPRODUCT(--($AJ$2:$AJ$1501&lt;$AJ1116))+1,"")</f>
        <v/>
      </c>
      <c r="AH1116">
        <f>IF($B1116="","",IF(OR($M1116=TRUE(),$M1116="TRUE"),1,0))</f>
        <v/>
      </c>
      <c r="AI1116">
        <f>IF($B1116="","",IF($V1116="Yes",1,0))</f>
        <v/>
      </c>
      <c r="AJ1116">
        <f>IF($AF1116=1,IFERROR(IF(VALUE($B1116)&lt;100000000,VALUE($B1116),1000000000),IFERROR(IF(VALUE(MID($B1116,2,20))&lt;100000000,VALUE(MID($B1116,2,20)),1000000000),1000000000))+ROW()/100000,"")</f>
        <v/>
      </c>
    </row>
    <row r="1117">
      <c r="C1117" s="11" t="n"/>
      <c r="J1117" s="7">
        <f>IF($B1117="","",I1117*Q1117/100)</f>
        <v/>
      </c>
      <c r="P1117" s="7" t="n"/>
      <c r="Q1117" s="7" t="n"/>
      <c r="R1117" s="7">
        <f>IF($B1117="","",Q1117*W1117/100)</f>
        <v/>
      </c>
      <c r="S1117" s="7">
        <f>IF($B1117="","",Q1117-R1117)</f>
        <v/>
      </c>
      <c r="T1117" s="7">
        <f>IF($B1117="","",S1117-J1117)</f>
        <v/>
      </c>
      <c r="W1117">
        <f>IF($B1117="","",IF($AI1117=1,0,IF($AH1117=1,Settings!$C$6,Settings!$C$7))*100)</f>
        <v/>
      </c>
      <c r="AA1117" s="7" t="n"/>
      <c r="AD1117" s="11" t="n"/>
      <c r="AF1117">
        <f>IF($B1117="","",IF(COUNTIF($B$2:$B1117,$B1117)=1,1,0))</f>
        <v/>
      </c>
      <c r="AG1117">
        <f>IF($AF1117=1,SUMPRODUCT(--($AJ$2:$AJ$1501&lt;$AJ1117))+1,"")</f>
        <v/>
      </c>
      <c r="AH1117">
        <f>IF($B1117="","",IF(OR($M1117=TRUE(),$M1117="TRUE"),1,0))</f>
        <v/>
      </c>
      <c r="AI1117">
        <f>IF($B1117="","",IF($V1117="Yes",1,0))</f>
        <v/>
      </c>
      <c r="AJ1117">
        <f>IF($AF1117=1,IFERROR(IF(VALUE($B1117)&lt;100000000,VALUE($B1117),1000000000),IFERROR(IF(VALUE(MID($B1117,2,20))&lt;100000000,VALUE(MID($B1117,2,20)),1000000000),1000000000))+ROW()/100000,"")</f>
        <v/>
      </c>
    </row>
    <row r="1118">
      <c r="C1118" s="11" t="n"/>
      <c r="J1118" s="7">
        <f>IF($B1118="","",I1118*Q1118/100)</f>
        <v/>
      </c>
      <c r="P1118" s="7" t="n"/>
      <c r="Q1118" s="7" t="n"/>
      <c r="R1118" s="7">
        <f>IF($B1118="","",Q1118*W1118/100)</f>
        <v/>
      </c>
      <c r="S1118" s="7">
        <f>IF($B1118="","",Q1118-R1118)</f>
        <v/>
      </c>
      <c r="T1118" s="7">
        <f>IF($B1118="","",S1118-J1118)</f>
        <v/>
      </c>
      <c r="W1118">
        <f>IF($B1118="","",IF($AI1118=1,0,IF($AH1118=1,Settings!$C$6,Settings!$C$7))*100)</f>
        <v/>
      </c>
      <c r="AA1118" s="7" t="n"/>
      <c r="AD1118" s="11" t="n"/>
      <c r="AF1118">
        <f>IF($B1118="","",IF(COUNTIF($B$2:$B1118,$B1118)=1,1,0))</f>
        <v/>
      </c>
      <c r="AG1118">
        <f>IF($AF1118=1,SUMPRODUCT(--($AJ$2:$AJ$1501&lt;$AJ1118))+1,"")</f>
        <v/>
      </c>
      <c r="AH1118">
        <f>IF($B1118="","",IF(OR($M1118=TRUE(),$M1118="TRUE"),1,0))</f>
        <v/>
      </c>
      <c r="AI1118">
        <f>IF($B1118="","",IF($V1118="Yes",1,0))</f>
        <v/>
      </c>
      <c r="AJ1118">
        <f>IF($AF1118=1,IFERROR(IF(VALUE($B1118)&lt;100000000,VALUE($B1118),1000000000),IFERROR(IF(VALUE(MID($B1118,2,20))&lt;100000000,VALUE(MID($B1118,2,20)),1000000000),1000000000))+ROW()/100000,"")</f>
        <v/>
      </c>
    </row>
    <row r="1119">
      <c r="C1119" s="11" t="n"/>
      <c r="J1119" s="7">
        <f>IF($B1119="","",I1119*Q1119/100)</f>
        <v/>
      </c>
      <c r="P1119" s="7" t="n"/>
      <c r="Q1119" s="7" t="n"/>
      <c r="R1119" s="7">
        <f>IF($B1119="","",Q1119*W1119/100)</f>
        <v/>
      </c>
      <c r="S1119" s="7">
        <f>IF($B1119="","",Q1119-R1119)</f>
        <v/>
      </c>
      <c r="T1119" s="7">
        <f>IF($B1119="","",S1119-J1119)</f>
        <v/>
      </c>
      <c r="W1119">
        <f>IF($B1119="","",IF($AI1119=1,0,IF($AH1119=1,Settings!$C$6,Settings!$C$7))*100)</f>
        <v/>
      </c>
      <c r="AA1119" s="7" t="n"/>
      <c r="AD1119" s="11" t="n"/>
      <c r="AF1119">
        <f>IF($B1119="","",IF(COUNTIF($B$2:$B1119,$B1119)=1,1,0))</f>
        <v/>
      </c>
      <c r="AG1119">
        <f>IF($AF1119=1,SUMPRODUCT(--($AJ$2:$AJ$1501&lt;$AJ1119))+1,"")</f>
        <v/>
      </c>
      <c r="AH1119">
        <f>IF($B1119="","",IF(OR($M1119=TRUE(),$M1119="TRUE"),1,0))</f>
        <v/>
      </c>
      <c r="AI1119">
        <f>IF($B1119="","",IF($V1119="Yes",1,0))</f>
        <v/>
      </c>
      <c r="AJ1119">
        <f>IF($AF1119=1,IFERROR(IF(VALUE($B1119)&lt;100000000,VALUE($B1119),1000000000),IFERROR(IF(VALUE(MID($B1119,2,20))&lt;100000000,VALUE(MID($B1119,2,20)),1000000000),1000000000))+ROW()/100000,"")</f>
        <v/>
      </c>
    </row>
    <row r="1120">
      <c r="C1120" s="11" t="n"/>
      <c r="J1120" s="7">
        <f>IF($B1120="","",I1120*Q1120/100)</f>
        <v/>
      </c>
      <c r="P1120" s="7" t="n"/>
      <c r="Q1120" s="7" t="n"/>
      <c r="R1120" s="7">
        <f>IF($B1120="","",Q1120*W1120/100)</f>
        <v/>
      </c>
      <c r="S1120" s="7">
        <f>IF($B1120="","",Q1120-R1120)</f>
        <v/>
      </c>
      <c r="T1120" s="7">
        <f>IF($B1120="","",S1120-J1120)</f>
        <v/>
      </c>
      <c r="W1120">
        <f>IF($B1120="","",IF($AI1120=1,0,IF($AH1120=1,Settings!$C$6,Settings!$C$7))*100)</f>
        <v/>
      </c>
      <c r="AA1120" s="7" t="n"/>
      <c r="AD1120" s="11" t="n"/>
      <c r="AF1120">
        <f>IF($B1120="","",IF(COUNTIF($B$2:$B1120,$B1120)=1,1,0))</f>
        <v/>
      </c>
      <c r="AG1120">
        <f>IF($AF1120=1,SUMPRODUCT(--($AJ$2:$AJ$1501&lt;$AJ1120))+1,"")</f>
        <v/>
      </c>
      <c r="AH1120">
        <f>IF($B1120="","",IF(OR($M1120=TRUE(),$M1120="TRUE"),1,0))</f>
        <v/>
      </c>
      <c r="AI1120">
        <f>IF($B1120="","",IF($V1120="Yes",1,0))</f>
        <v/>
      </c>
      <c r="AJ1120">
        <f>IF($AF1120=1,IFERROR(IF(VALUE($B1120)&lt;100000000,VALUE($B1120),1000000000),IFERROR(IF(VALUE(MID($B1120,2,20))&lt;100000000,VALUE(MID($B1120,2,20)),1000000000),1000000000))+ROW()/100000,"")</f>
        <v/>
      </c>
    </row>
    <row r="1121">
      <c r="C1121" s="11" t="n"/>
      <c r="J1121" s="7">
        <f>IF($B1121="","",I1121*Q1121/100)</f>
        <v/>
      </c>
      <c r="P1121" s="7" t="n"/>
      <c r="Q1121" s="7" t="n"/>
      <c r="R1121" s="7">
        <f>IF($B1121="","",Q1121*W1121/100)</f>
        <v/>
      </c>
      <c r="S1121" s="7">
        <f>IF($B1121="","",Q1121-R1121)</f>
        <v/>
      </c>
      <c r="T1121" s="7">
        <f>IF($B1121="","",S1121-J1121)</f>
        <v/>
      </c>
      <c r="W1121">
        <f>IF($B1121="","",IF($AI1121=1,0,IF($AH1121=1,Settings!$C$6,Settings!$C$7))*100)</f>
        <v/>
      </c>
      <c r="AA1121" s="7" t="n"/>
      <c r="AD1121" s="11" t="n"/>
      <c r="AF1121">
        <f>IF($B1121="","",IF(COUNTIF($B$2:$B1121,$B1121)=1,1,0))</f>
        <v/>
      </c>
      <c r="AG1121">
        <f>IF($AF1121=1,SUMPRODUCT(--($AJ$2:$AJ$1501&lt;$AJ1121))+1,"")</f>
        <v/>
      </c>
      <c r="AH1121">
        <f>IF($B1121="","",IF(OR($M1121=TRUE(),$M1121="TRUE"),1,0))</f>
        <v/>
      </c>
      <c r="AI1121">
        <f>IF($B1121="","",IF($V1121="Yes",1,0))</f>
        <v/>
      </c>
      <c r="AJ1121">
        <f>IF($AF1121=1,IFERROR(IF(VALUE($B1121)&lt;100000000,VALUE($B1121),1000000000),IFERROR(IF(VALUE(MID($B1121,2,20))&lt;100000000,VALUE(MID($B1121,2,20)),1000000000),1000000000))+ROW()/100000,"")</f>
        <v/>
      </c>
    </row>
    <row r="1122">
      <c r="C1122" s="11" t="n"/>
      <c r="J1122" s="7">
        <f>IF($B1122="","",I1122*Q1122/100)</f>
        <v/>
      </c>
      <c r="P1122" s="7" t="n"/>
      <c r="Q1122" s="7" t="n"/>
      <c r="R1122" s="7">
        <f>IF($B1122="","",Q1122*W1122/100)</f>
        <v/>
      </c>
      <c r="S1122" s="7">
        <f>IF($B1122="","",Q1122-R1122)</f>
        <v/>
      </c>
      <c r="T1122" s="7">
        <f>IF($B1122="","",S1122-J1122)</f>
        <v/>
      </c>
      <c r="W1122">
        <f>IF($B1122="","",IF($AI1122=1,0,IF($AH1122=1,Settings!$C$6,Settings!$C$7))*100)</f>
        <v/>
      </c>
      <c r="AA1122" s="7" t="n"/>
      <c r="AD1122" s="11" t="n"/>
      <c r="AF1122">
        <f>IF($B1122="","",IF(COUNTIF($B$2:$B1122,$B1122)=1,1,0))</f>
        <v/>
      </c>
      <c r="AG1122">
        <f>IF($AF1122=1,SUMPRODUCT(--($AJ$2:$AJ$1501&lt;$AJ1122))+1,"")</f>
        <v/>
      </c>
      <c r="AH1122">
        <f>IF($B1122="","",IF(OR($M1122=TRUE(),$M1122="TRUE"),1,0))</f>
        <v/>
      </c>
      <c r="AI1122">
        <f>IF($B1122="","",IF($V1122="Yes",1,0))</f>
        <v/>
      </c>
      <c r="AJ1122">
        <f>IF($AF1122=1,IFERROR(IF(VALUE($B1122)&lt;100000000,VALUE($B1122),1000000000),IFERROR(IF(VALUE(MID($B1122,2,20))&lt;100000000,VALUE(MID($B1122,2,20)),1000000000),1000000000))+ROW()/100000,"")</f>
        <v/>
      </c>
    </row>
    <row r="1123">
      <c r="C1123" s="11" t="n"/>
      <c r="J1123" s="7">
        <f>IF($B1123="","",I1123*Q1123/100)</f>
        <v/>
      </c>
      <c r="P1123" s="7" t="n"/>
      <c r="Q1123" s="7" t="n"/>
      <c r="R1123" s="7">
        <f>IF($B1123="","",Q1123*W1123/100)</f>
        <v/>
      </c>
      <c r="S1123" s="7">
        <f>IF($B1123="","",Q1123-R1123)</f>
        <v/>
      </c>
      <c r="T1123" s="7">
        <f>IF($B1123="","",S1123-J1123)</f>
        <v/>
      </c>
      <c r="W1123">
        <f>IF($B1123="","",IF($AI1123=1,0,IF($AH1123=1,Settings!$C$6,Settings!$C$7))*100)</f>
        <v/>
      </c>
      <c r="AA1123" s="7" t="n"/>
      <c r="AD1123" s="11" t="n"/>
      <c r="AF1123">
        <f>IF($B1123="","",IF(COUNTIF($B$2:$B1123,$B1123)=1,1,0))</f>
        <v/>
      </c>
      <c r="AG1123">
        <f>IF($AF1123=1,SUMPRODUCT(--($AJ$2:$AJ$1501&lt;$AJ1123))+1,"")</f>
        <v/>
      </c>
      <c r="AH1123">
        <f>IF($B1123="","",IF(OR($M1123=TRUE(),$M1123="TRUE"),1,0))</f>
        <v/>
      </c>
      <c r="AI1123">
        <f>IF($B1123="","",IF($V1123="Yes",1,0))</f>
        <v/>
      </c>
      <c r="AJ1123">
        <f>IF($AF1123=1,IFERROR(IF(VALUE($B1123)&lt;100000000,VALUE($B1123),1000000000),IFERROR(IF(VALUE(MID($B1123,2,20))&lt;100000000,VALUE(MID($B1123,2,20)),1000000000),1000000000))+ROW()/100000,"")</f>
        <v/>
      </c>
    </row>
    <row r="1124">
      <c r="C1124" s="11" t="n"/>
      <c r="J1124" s="7">
        <f>IF($B1124="","",I1124*Q1124/100)</f>
        <v/>
      </c>
      <c r="P1124" s="7" t="n"/>
      <c r="Q1124" s="7" t="n"/>
      <c r="R1124" s="7">
        <f>IF($B1124="","",Q1124*W1124/100)</f>
        <v/>
      </c>
      <c r="S1124" s="7">
        <f>IF($B1124="","",Q1124-R1124)</f>
        <v/>
      </c>
      <c r="T1124" s="7">
        <f>IF($B1124="","",S1124-J1124)</f>
        <v/>
      </c>
      <c r="W1124">
        <f>IF($B1124="","",IF($AI1124=1,0,IF($AH1124=1,Settings!$C$6,Settings!$C$7))*100)</f>
        <v/>
      </c>
      <c r="AA1124" s="7" t="n"/>
      <c r="AD1124" s="11" t="n"/>
      <c r="AF1124">
        <f>IF($B1124="","",IF(COUNTIF($B$2:$B1124,$B1124)=1,1,0))</f>
        <v/>
      </c>
      <c r="AG1124">
        <f>IF($AF1124=1,SUMPRODUCT(--($AJ$2:$AJ$1501&lt;$AJ1124))+1,"")</f>
        <v/>
      </c>
      <c r="AH1124">
        <f>IF($B1124="","",IF(OR($M1124=TRUE(),$M1124="TRUE"),1,0))</f>
        <v/>
      </c>
      <c r="AI1124">
        <f>IF($B1124="","",IF($V1124="Yes",1,0))</f>
        <v/>
      </c>
      <c r="AJ1124">
        <f>IF($AF1124=1,IFERROR(IF(VALUE($B1124)&lt;100000000,VALUE($B1124),1000000000),IFERROR(IF(VALUE(MID($B1124,2,20))&lt;100000000,VALUE(MID($B1124,2,20)),1000000000),1000000000))+ROW()/100000,"")</f>
        <v/>
      </c>
    </row>
    <row r="1125">
      <c r="C1125" s="11" t="n"/>
      <c r="J1125" s="7">
        <f>IF($B1125="","",I1125*Q1125/100)</f>
        <v/>
      </c>
      <c r="P1125" s="7" t="n"/>
      <c r="Q1125" s="7" t="n"/>
      <c r="R1125" s="7">
        <f>IF($B1125="","",Q1125*W1125/100)</f>
        <v/>
      </c>
      <c r="S1125" s="7">
        <f>IF($B1125="","",Q1125-R1125)</f>
        <v/>
      </c>
      <c r="T1125" s="7">
        <f>IF($B1125="","",S1125-J1125)</f>
        <v/>
      </c>
      <c r="W1125">
        <f>IF($B1125="","",IF($AI1125=1,0,IF($AH1125=1,Settings!$C$6,Settings!$C$7))*100)</f>
        <v/>
      </c>
      <c r="AA1125" s="7" t="n"/>
      <c r="AD1125" s="11" t="n"/>
      <c r="AF1125">
        <f>IF($B1125="","",IF(COUNTIF($B$2:$B1125,$B1125)=1,1,0))</f>
        <v/>
      </c>
      <c r="AG1125">
        <f>IF($AF1125=1,SUMPRODUCT(--($AJ$2:$AJ$1501&lt;$AJ1125))+1,"")</f>
        <v/>
      </c>
      <c r="AH1125">
        <f>IF($B1125="","",IF(OR($M1125=TRUE(),$M1125="TRUE"),1,0))</f>
        <v/>
      </c>
      <c r="AI1125">
        <f>IF($B1125="","",IF($V1125="Yes",1,0))</f>
        <v/>
      </c>
      <c r="AJ1125">
        <f>IF($AF1125=1,IFERROR(IF(VALUE($B1125)&lt;100000000,VALUE($B1125),1000000000),IFERROR(IF(VALUE(MID($B1125,2,20))&lt;100000000,VALUE(MID($B1125,2,20)),1000000000),1000000000))+ROW()/100000,"")</f>
        <v/>
      </c>
    </row>
    <row r="1126">
      <c r="C1126" s="11" t="n"/>
      <c r="J1126" s="7">
        <f>IF($B1126="","",I1126*Q1126/100)</f>
        <v/>
      </c>
      <c r="P1126" s="7" t="n"/>
      <c r="Q1126" s="7" t="n"/>
      <c r="R1126" s="7">
        <f>IF($B1126="","",Q1126*W1126/100)</f>
        <v/>
      </c>
      <c r="S1126" s="7">
        <f>IF($B1126="","",Q1126-R1126)</f>
        <v/>
      </c>
      <c r="T1126" s="7">
        <f>IF($B1126="","",S1126-J1126)</f>
        <v/>
      </c>
      <c r="W1126">
        <f>IF($B1126="","",IF($AI1126=1,0,IF($AH1126=1,Settings!$C$6,Settings!$C$7))*100)</f>
        <v/>
      </c>
      <c r="AA1126" s="7" t="n"/>
      <c r="AD1126" s="11" t="n"/>
      <c r="AF1126">
        <f>IF($B1126="","",IF(COUNTIF($B$2:$B1126,$B1126)=1,1,0))</f>
        <v/>
      </c>
      <c r="AG1126">
        <f>IF($AF1126=1,SUMPRODUCT(--($AJ$2:$AJ$1501&lt;$AJ1126))+1,"")</f>
        <v/>
      </c>
      <c r="AH1126">
        <f>IF($B1126="","",IF(OR($M1126=TRUE(),$M1126="TRUE"),1,0))</f>
        <v/>
      </c>
      <c r="AI1126">
        <f>IF($B1126="","",IF($V1126="Yes",1,0))</f>
        <v/>
      </c>
      <c r="AJ1126">
        <f>IF($AF1126=1,IFERROR(IF(VALUE($B1126)&lt;100000000,VALUE($B1126),1000000000),IFERROR(IF(VALUE(MID($B1126,2,20))&lt;100000000,VALUE(MID($B1126,2,20)),1000000000),1000000000))+ROW()/100000,"")</f>
        <v/>
      </c>
    </row>
    <row r="1127">
      <c r="C1127" s="11" t="n"/>
      <c r="J1127" s="7">
        <f>IF($B1127="","",I1127*Q1127/100)</f>
        <v/>
      </c>
      <c r="P1127" s="7" t="n"/>
      <c r="Q1127" s="7" t="n"/>
      <c r="R1127" s="7">
        <f>IF($B1127="","",Q1127*W1127/100)</f>
        <v/>
      </c>
      <c r="S1127" s="7">
        <f>IF($B1127="","",Q1127-R1127)</f>
        <v/>
      </c>
      <c r="T1127" s="7">
        <f>IF($B1127="","",S1127-J1127)</f>
        <v/>
      </c>
      <c r="W1127">
        <f>IF($B1127="","",IF($AI1127=1,0,IF($AH1127=1,Settings!$C$6,Settings!$C$7))*100)</f>
        <v/>
      </c>
      <c r="AA1127" s="7" t="n"/>
      <c r="AD1127" s="11" t="n"/>
      <c r="AF1127">
        <f>IF($B1127="","",IF(COUNTIF($B$2:$B1127,$B1127)=1,1,0))</f>
        <v/>
      </c>
      <c r="AG1127">
        <f>IF($AF1127=1,SUMPRODUCT(--($AJ$2:$AJ$1501&lt;$AJ1127))+1,"")</f>
        <v/>
      </c>
      <c r="AH1127">
        <f>IF($B1127="","",IF(OR($M1127=TRUE(),$M1127="TRUE"),1,0))</f>
        <v/>
      </c>
      <c r="AI1127">
        <f>IF($B1127="","",IF($V1127="Yes",1,0))</f>
        <v/>
      </c>
      <c r="AJ1127">
        <f>IF($AF1127=1,IFERROR(IF(VALUE($B1127)&lt;100000000,VALUE($B1127),1000000000),IFERROR(IF(VALUE(MID($B1127,2,20))&lt;100000000,VALUE(MID($B1127,2,20)),1000000000),1000000000))+ROW()/100000,"")</f>
        <v/>
      </c>
    </row>
    <row r="1128">
      <c r="C1128" s="11" t="n"/>
      <c r="J1128" s="7">
        <f>IF($B1128="","",I1128*Q1128/100)</f>
        <v/>
      </c>
      <c r="P1128" s="7" t="n"/>
      <c r="Q1128" s="7" t="n"/>
      <c r="R1128" s="7">
        <f>IF($B1128="","",Q1128*W1128/100)</f>
        <v/>
      </c>
      <c r="S1128" s="7">
        <f>IF($B1128="","",Q1128-R1128)</f>
        <v/>
      </c>
      <c r="T1128" s="7">
        <f>IF($B1128="","",S1128-J1128)</f>
        <v/>
      </c>
      <c r="W1128">
        <f>IF($B1128="","",IF($AI1128=1,0,IF($AH1128=1,Settings!$C$6,Settings!$C$7))*100)</f>
        <v/>
      </c>
      <c r="AA1128" s="7" t="n"/>
      <c r="AD1128" s="11" t="n"/>
      <c r="AF1128">
        <f>IF($B1128="","",IF(COUNTIF($B$2:$B1128,$B1128)=1,1,0))</f>
        <v/>
      </c>
      <c r="AG1128">
        <f>IF($AF1128=1,SUMPRODUCT(--($AJ$2:$AJ$1501&lt;$AJ1128))+1,"")</f>
        <v/>
      </c>
      <c r="AH1128">
        <f>IF($B1128="","",IF(OR($M1128=TRUE(),$M1128="TRUE"),1,0))</f>
        <v/>
      </c>
      <c r="AI1128">
        <f>IF($B1128="","",IF($V1128="Yes",1,0))</f>
        <v/>
      </c>
      <c r="AJ1128">
        <f>IF($AF1128=1,IFERROR(IF(VALUE($B1128)&lt;100000000,VALUE($B1128),1000000000),IFERROR(IF(VALUE(MID($B1128,2,20))&lt;100000000,VALUE(MID($B1128,2,20)),1000000000),1000000000))+ROW()/100000,"")</f>
        <v/>
      </c>
    </row>
    <row r="1129">
      <c r="C1129" s="11" t="n"/>
      <c r="J1129" s="7">
        <f>IF($B1129="","",I1129*Q1129/100)</f>
        <v/>
      </c>
      <c r="P1129" s="7" t="n"/>
      <c r="Q1129" s="7" t="n"/>
      <c r="R1129" s="7">
        <f>IF($B1129="","",Q1129*W1129/100)</f>
        <v/>
      </c>
      <c r="S1129" s="7">
        <f>IF($B1129="","",Q1129-R1129)</f>
        <v/>
      </c>
      <c r="T1129" s="7">
        <f>IF($B1129="","",S1129-J1129)</f>
        <v/>
      </c>
      <c r="W1129">
        <f>IF($B1129="","",IF($AI1129=1,0,IF($AH1129=1,Settings!$C$6,Settings!$C$7))*100)</f>
        <v/>
      </c>
      <c r="AA1129" s="7" t="n"/>
      <c r="AD1129" s="11" t="n"/>
      <c r="AF1129">
        <f>IF($B1129="","",IF(COUNTIF($B$2:$B1129,$B1129)=1,1,0))</f>
        <v/>
      </c>
      <c r="AG1129">
        <f>IF($AF1129=1,SUMPRODUCT(--($AJ$2:$AJ$1501&lt;$AJ1129))+1,"")</f>
        <v/>
      </c>
      <c r="AH1129">
        <f>IF($B1129="","",IF(OR($M1129=TRUE(),$M1129="TRUE"),1,0))</f>
        <v/>
      </c>
      <c r="AI1129">
        <f>IF($B1129="","",IF($V1129="Yes",1,0))</f>
        <v/>
      </c>
      <c r="AJ1129">
        <f>IF($AF1129=1,IFERROR(IF(VALUE($B1129)&lt;100000000,VALUE($B1129),1000000000),IFERROR(IF(VALUE(MID($B1129,2,20))&lt;100000000,VALUE(MID($B1129,2,20)),1000000000),1000000000))+ROW()/100000,"")</f>
        <v/>
      </c>
    </row>
    <row r="1130">
      <c r="C1130" s="11" t="n"/>
      <c r="J1130" s="7">
        <f>IF($B1130="","",I1130*Q1130/100)</f>
        <v/>
      </c>
      <c r="P1130" s="7" t="n"/>
      <c r="Q1130" s="7" t="n"/>
      <c r="R1130" s="7">
        <f>IF($B1130="","",Q1130*W1130/100)</f>
        <v/>
      </c>
      <c r="S1130" s="7">
        <f>IF($B1130="","",Q1130-R1130)</f>
        <v/>
      </c>
      <c r="T1130" s="7">
        <f>IF($B1130="","",S1130-J1130)</f>
        <v/>
      </c>
      <c r="W1130">
        <f>IF($B1130="","",IF($AI1130=1,0,IF($AH1130=1,Settings!$C$6,Settings!$C$7))*100)</f>
        <v/>
      </c>
      <c r="AA1130" s="7" t="n"/>
      <c r="AD1130" s="11" t="n"/>
      <c r="AF1130">
        <f>IF($B1130="","",IF(COUNTIF($B$2:$B1130,$B1130)=1,1,0))</f>
        <v/>
      </c>
      <c r="AG1130">
        <f>IF($AF1130=1,SUMPRODUCT(--($AJ$2:$AJ$1501&lt;$AJ1130))+1,"")</f>
        <v/>
      </c>
      <c r="AH1130">
        <f>IF($B1130="","",IF(OR($M1130=TRUE(),$M1130="TRUE"),1,0))</f>
        <v/>
      </c>
      <c r="AI1130">
        <f>IF($B1130="","",IF($V1130="Yes",1,0))</f>
        <v/>
      </c>
      <c r="AJ1130">
        <f>IF($AF1130=1,IFERROR(IF(VALUE($B1130)&lt;100000000,VALUE($B1130),1000000000),IFERROR(IF(VALUE(MID($B1130,2,20))&lt;100000000,VALUE(MID($B1130,2,20)),1000000000),1000000000))+ROW()/100000,"")</f>
        <v/>
      </c>
    </row>
    <row r="1131">
      <c r="C1131" s="11" t="n"/>
      <c r="J1131" s="7">
        <f>IF($B1131="","",I1131*Q1131/100)</f>
        <v/>
      </c>
      <c r="P1131" s="7" t="n"/>
      <c r="Q1131" s="7" t="n"/>
      <c r="R1131" s="7">
        <f>IF($B1131="","",Q1131*W1131/100)</f>
        <v/>
      </c>
      <c r="S1131" s="7">
        <f>IF($B1131="","",Q1131-R1131)</f>
        <v/>
      </c>
      <c r="T1131" s="7">
        <f>IF($B1131="","",S1131-J1131)</f>
        <v/>
      </c>
      <c r="W1131">
        <f>IF($B1131="","",IF($AI1131=1,0,IF($AH1131=1,Settings!$C$6,Settings!$C$7))*100)</f>
        <v/>
      </c>
      <c r="AA1131" s="7" t="n"/>
      <c r="AD1131" s="11" t="n"/>
      <c r="AF1131">
        <f>IF($B1131="","",IF(COUNTIF($B$2:$B1131,$B1131)=1,1,0))</f>
        <v/>
      </c>
      <c r="AG1131">
        <f>IF($AF1131=1,SUMPRODUCT(--($AJ$2:$AJ$1501&lt;$AJ1131))+1,"")</f>
        <v/>
      </c>
      <c r="AH1131">
        <f>IF($B1131="","",IF(OR($M1131=TRUE(),$M1131="TRUE"),1,0))</f>
        <v/>
      </c>
      <c r="AI1131">
        <f>IF($B1131="","",IF($V1131="Yes",1,0))</f>
        <v/>
      </c>
      <c r="AJ1131">
        <f>IF($AF1131=1,IFERROR(IF(VALUE($B1131)&lt;100000000,VALUE($B1131),1000000000),IFERROR(IF(VALUE(MID($B1131,2,20))&lt;100000000,VALUE(MID($B1131,2,20)),1000000000),1000000000))+ROW()/100000,"")</f>
        <v/>
      </c>
    </row>
    <row r="1132">
      <c r="C1132" s="11" t="n"/>
      <c r="J1132" s="7">
        <f>IF($B1132="","",I1132*Q1132/100)</f>
        <v/>
      </c>
      <c r="P1132" s="7" t="n"/>
      <c r="Q1132" s="7" t="n"/>
      <c r="R1132" s="7">
        <f>IF($B1132="","",Q1132*W1132/100)</f>
        <v/>
      </c>
      <c r="S1132" s="7">
        <f>IF($B1132="","",Q1132-R1132)</f>
        <v/>
      </c>
      <c r="T1132" s="7">
        <f>IF($B1132="","",S1132-J1132)</f>
        <v/>
      </c>
      <c r="W1132">
        <f>IF($B1132="","",IF($AI1132=1,0,IF($AH1132=1,Settings!$C$6,Settings!$C$7))*100)</f>
        <v/>
      </c>
      <c r="AA1132" s="7" t="n"/>
      <c r="AD1132" s="11" t="n"/>
      <c r="AF1132">
        <f>IF($B1132="","",IF(COUNTIF($B$2:$B1132,$B1132)=1,1,0))</f>
        <v/>
      </c>
      <c r="AG1132">
        <f>IF($AF1132=1,SUMPRODUCT(--($AJ$2:$AJ$1501&lt;$AJ1132))+1,"")</f>
        <v/>
      </c>
      <c r="AH1132">
        <f>IF($B1132="","",IF(OR($M1132=TRUE(),$M1132="TRUE"),1,0))</f>
        <v/>
      </c>
      <c r="AI1132">
        <f>IF($B1132="","",IF($V1132="Yes",1,0))</f>
        <v/>
      </c>
      <c r="AJ1132">
        <f>IF($AF1132=1,IFERROR(IF(VALUE($B1132)&lt;100000000,VALUE($B1132),1000000000),IFERROR(IF(VALUE(MID($B1132,2,20))&lt;100000000,VALUE(MID($B1132,2,20)),1000000000),1000000000))+ROW()/100000,"")</f>
        <v/>
      </c>
    </row>
    <row r="1133">
      <c r="C1133" s="11" t="n"/>
      <c r="J1133" s="7">
        <f>IF($B1133="","",I1133*Q1133/100)</f>
        <v/>
      </c>
      <c r="P1133" s="7" t="n"/>
      <c r="Q1133" s="7" t="n"/>
      <c r="R1133" s="7">
        <f>IF($B1133="","",Q1133*W1133/100)</f>
        <v/>
      </c>
      <c r="S1133" s="7">
        <f>IF($B1133="","",Q1133-R1133)</f>
        <v/>
      </c>
      <c r="T1133" s="7">
        <f>IF($B1133="","",S1133-J1133)</f>
        <v/>
      </c>
      <c r="W1133">
        <f>IF($B1133="","",IF($AI1133=1,0,IF($AH1133=1,Settings!$C$6,Settings!$C$7))*100)</f>
        <v/>
      </c>
      <c r="AA1133" s="7" t="n"/>
      <c r="AD1133" s="11" t="n"/>
      <c r="AF1133">
        <f>IF($B1133="","",IF(COUNTIF($B$2:$B1133,$B1133)=1,1,0))</f>
        <v/>
      </c>
      <c r="AG1133">
        <f>IF($AF1133=1,SUMPRODUCT(--($AJ$2:$AJ$1501&lt;$AJ1133))+1,"")</f>
        <v/>
      </c>
      <c r="AH1133">
        <f>IF($B1133="","",IF(OR($M1133=TRUE(),$M1133="TRUE"),1,0))</f>
        <v/>
      </c>
      <c r="AI1133">
        <f>IF($B1133="","",IF($V1133="Yes",1,0))</f>
        <v/>
      </c>
      <c r="AJ1133">
        <f>IF($AF1133=1,IFERROR(IF(VALUE($B1133)&lt;100000000,VALUE($B1133),1000000000),IFERROR(IF(VALUE(MID($B1133,2,20))&lt;100000000,VALUE(MID($B1133,2,20)),1000000000),1000000000))+ROW()/100000,"")</f>
        <v/>
      </c>
    </row>
    <row r="1134">
      <c r="C1134" s="11" t="n"/>
      <c r="J1134" s="7">
        <f>IF($B1134="","",I1134*Q1134/100)</f>
        <v/>
      </c>
      <c r="P1134" s="7" t="n"/>
      <c r="Q1134" s="7" t="n"/>
      <c r="R1134" s="7">
        <f>IF($B1134="","",Q1134*W1134/100)</f>
        <v/>
      </c>
      <c r="S1134" s="7">
        <f>IF($B1134="","",Q1134-R1134)</f>
        <v/>
      </c>
      <c r="T1134" s="7">
        <f>IF($B1134="","",S1134-J1134)</f>
        <v/>
      </c>
      <c r="W1134">
        <f>IF($B1134="","",IF($AI1134=1,0,IF($AH1134=1,Settings!$C$6,Settings!$C$7))*100)</f>
        <v/>
      </c>
      <c r="AA1134" s="7" t="n"/>
      <c r="AD1134" s="11" t="n"/>
      <c r="AF1134">
        <f>IF($B1134="","",IF(COUNTIF($B$2:$B1134,$B1134)=1,1,0))</f>
        <v/>
      </c>
      <c r="AG1134">
        <f>IF($AF1134=1,SUMPRODUCT(--($AJ$2:$AJ$1501&lt;$AJ1134))+1,"")</f>
        <v/>
      </c>
      <c r="AH1134">
        <f>IF($B1134="","",IF(OR($M1134=TRUE(),$M1134="TRUE"),1,0))</f>
        <v/>
      </c>
      <c r="AI1134">
        <f>IF($B1134="","",IF($V1134="Yes",1,0))</f>
        <v/>
      </c>
      <c r="AJ1134">
        <f>IF($AF1134=1,IFERROR(IF(VALUE($B1134)&lt;100000000,VALUE($B1134),1000000000),IFERROR(IF(VALUE(MID($B1134,2,20))&lt;100000000,VALUE(MID($B1134,2,20)),1000000000),1000000000))+ROW()/100000,"")</f>
        <v/>
      </c>
    </row>
    <row r="1135">
      <c r="C1135" s="11" t="n"/>
      <c r="J1135" s="7">
        <f>IF($B1135="","",I1135*Q1135/100)</f>
        <v/>
      </c>
      <c r="P1135" s="7" t="n"/>
      <c r="Q1135" s="7" t="n"/>
      <c r="R1135" s="7">
        <f>IF($B1135="","",Q1135*W1135/100)</f>
        <v/>
      </c>
      <c r="S1135" s="7">
        <f>IF($B1135="","",Q1135-R1135)</f>
        <v/>
      </c>
      <c r="T1135" s="7">
        <f>IF($B1135="","",S1135-J1135)</f>
        <v/>
      </c>
      <c r="W1135">
        <f>IF($B1135="","",IF($AI1135=1,0,IF($AH1135=1,Settings!$C$6,Settings!$C$7))*100)</f>
        <v/>
      </c>
      <c r="AA1135" s="7" t="n"/>
      <c r="AD1135" s="11" t="n"/>
      <c r="AF1135">
        <f>IF($B1135="","",IF(COUNTIF($B$2:$B1135,$B1135)=1,1,0))</f>
        <v/>
      </c>
      <c r="AG1135">
        <f>IF($AF1135=1,SUMPRODUCT(--($AJ$2:$AJ$1501&lt;$AJ1135))+1,"")</f>
        <v/>
      </c>
      <c r="AH1135">
        <f>IF($B1135="","",IF(OR($M1135=TRUE(),$M1135="TRUE"),1,0))</f>
        <v/>
      </c>
      <c r="AI1135">
        <f>IF($B1135="","",IF($V1135="Yes",1,0))</f>
        <v/>
      </c>
      <c r="AJ1135">
        <f>IF($AF1135=1,IFERROR(IF(VALUE($B1135)&lt;100000000,VALUE($B1135),1000000000),IFERROR(IF(VALUE(MID($B1135,2,20))&lt;100000000,VALUE(MID($B1135,2,20)),1000000000),1000000000))+ROW()/100000,"")</f>
        <v/>
      </c>
    </row>
    <row r="1136">
      <c r="C1136" s="11" t="n"/>
      <c r="J1136" s="7">
        <f>IF($B1136="","",I1136*Q1136/100)</f>
        <v/>
      </c>
      <c r="P1136" s="7" t="n"/>
      <c r="Q1136" s="7" t="n"/>
      <c r="R1136" s="7">
        <f>IF($B1136="","",Q1136*W1136/100)</f>
        <v/>
      </c>
      <c r="S1136" s="7">
        <f>IF($B1136="","",Q1136-R1136)</f>
        <v/>
      </c>
      <c r="T1136" s="7">
        <f>IF($B1136="","",S1136-J1136)</f>
        <v/>
      </c>
      <c r="W1136">
        <f>IF($B1136="","",IF($AI1136=1,0,IF($AH1136=1,Settings!$C$6,Settings!$C$7))*100)</f>
        <v/>
      </c>
      <c r="AA1136" s="7" t="n"/>
      <c r="AD1136" s="11" t="n"/>
      <c r="AF1136">
        <f>IF($B1136="","",IF(COUNTIF($B$2:$B1136,$B1136)=1,1,0))</f>
        <v/>
      </c>
      <c r="AG1136">
        <f>IF($AF1136=1,SUMPRODUCT(--($AJ$2:$AJ$1501&lt;$AJ1136))+1,"")</f>
        <v/>
      </c>
      <c r="AH1136">
        <f>IF($B1136="","",IF(OR($M1136=TRUE(),$M1136="TRUE"),1,0))</f>
        <v/>
      </c>
      <c r="AI1136">
        <f>IF($B1136="","",IF($V1136="Yes",1,0))</f>
        <v/>
      </c>
      <c r="AJ1136">
        <f>IF($AF1136=1,IFERROR(IF(VALUE($B1136)&lt;100000000,VALUE($B1136),1000000000),IFERROR(IF(VALUE(MID($B1136,2,20))&lt;100000000,VALUE(MID($B1136,2,20)),1000000000),1000000000))+ROW()/100000,"")</f>
        <v/>
      </c>
    </row>
    <row r="1137">
      <c r="C1137" s="11" t="n"/>
      <c r="J1137" s="7">
        <f>IF($B1137="","",I1137*Q1137/100)</f>
        <v/>
      </c>
      <c r="P1137" s="7" t="n"/>
      <c r="Q1137" s="7" t="n"/>
      <c r="R1137" s="7">
        <f>IF($B1137="","",Q1137*W1137/100)</f>
        <v/>
      </c>
      <c r="S1137" s="7">
        <f>IF($B1137="","",Q1137-R1137)</f>
        <v/>
      </c>
      <c r="T1137" s="7">
        <f>IF($B1137="","",S1137-J1137)</f>
        <v/>
      </c>
      <c r="W1137">
        <f>IF($B1137="","",IF($AI1137=1,0,IF($AH1137=1,Settings!$C$6,Settings!$C$7))*100)</f>
        <v/>
      </c>
      <c r="AA1137" s="7" t="n"/>
      <c r="AD1137" s="11" t="n"/>
      <c r="AF1137">
        <f>IF($B1137="","",IF(COUNTIF($B$2:$B1137,$B1137)=1,1,0))</f>
        <v/>
      </c>
      <c r="AG1137">
        <f>IF($AF1137=1,SUMPRODUCT(--($AJ$2:$AJ$1501&lt;$AJ1137))+1,"")</f>
        <v/>
      </c>
      <c r="AH1137">
        <f>IF($B1137="","",IF(OR($M1137=TRUE(),$M1137="TRUE"),1,0))</f>
        <v/>
      </c>
      <c r="AI1137">
        <f>IF($B1137="","",IF($V1137="Yes",1,0))</f>
        <v/>
      </c>
      <c r="AJ1137">
        <f>IF($AF1137=1,IFERROR(IF(VALUE($B1137)&lt;100000000,VALUE($B1137),1000000000),IFERROR(IF(VALUE(MID($B1137,2,20))&lt;100000000,VALUE(MID($B1137,2,20)),1000000000),1000000000))+ROW()/100000,"")</f>
        <v/>
      </c>
    </row>
    <row r="1138">
      <c r="C1138" s="11" t="n"/>
      <c r="J1138" s="7">
        <f>IF($B1138="","",I1138*Q1138/100)</f>
        <v/>
      </c>
      <c r="P1138" s="7" t="n"/>
      <c r="Q1138" s="7" t="n"/>
      <c r="R1138" s="7">
        <f>IF($B1138="","",Q1138*W1138/100)</f>
        <v/>
      </c>
      <c r="S1138" s="7">
        <f>IF($B1138="","",Q1138-R1138)</f>
        <v/>
      </c>
      <c r="T1138" s="7">
        <f>IF($B1138="","",S1138-J1138)</f>
        <v/>
      </c>
      <c r="W1138">
        <f>IF($B1138="","",IF($AI1138=1,0,IF($AH1138=1,Settings!$C$6,Settings!$C$7))*100)</f>
        <v/>
      </c>
      <c r="AA1138" s="7" t="n"/>
      <c r="AD1138" s="11" t="n"/>
      <c r="AF1138">
        <f>IF($B1138="","",IF(COUNTIF($B$2:$B1138,$B1138)=1,1,0))</f>
        <v/>
      </c>
      <c r="AG1138">
        <f>IF($AF1138=1,SUMPRODUCT(--($AJ$2:$AJ$1501&lt;$AJ1138))+1,"")</f>
        <v/>
      </c>
      <c r="AH1138">
        <f>IF($B1138="","",IF(OR($M1138=TRUE(),$M1138="TRUE"),1,0))</f>
        <v/>
      </c>
      <c r="AI1138">
        <f>IF($B1138="","",IF($V1138="Yes",1,0))</f>
        <v/>
      </c>
      <c r="AJ1138">
        <f>IF($AF1138=1,IFERROR(IF(VALUE($B1138)&lt;100000000,VALUE($B1138),1000000000),IFERROR(IF(VALUE(MID($B1138,2,20))&lt;100000000,VALUE(MID($B1138,2,20)),1000000000),1000000000))+ROW()/100000,"")</f>
        <v/>
      </c>
    </row>
    <row r="1139">
      <c r="C1139" s="11" t="n"/>
      <c r="J1139" s="7">
        <f>IF($B1139="","",I1139*Q1139/100)</f>
        <v/>
      </c>
      <c r="P1139" s="7" t="n"/>
      <c r="Q1139" s="7" t="n"/>
      <c r="R1139" s="7">
        <f>IF($B1139="","",Q1139*W1139/100)</f>
        <v/>
      </c>
      <c r="S1139" s="7">
        <f>IF($B1139="","",Q1139-R1139)</f>
        <v/>
      </c>
      <c r="T1139" s="7">
        <f>IF($B1139="","",S1139-J1139)</f>
        <v/>
      </c>
      <c r="W1139">
        <f>IF($B1139="","",IF($AI1139=1,0,IF($AH1139=1,Settings!$C$6,Settings!$C$7))*100)</f>
        <v/>
      </c>
      <c r="AA1139" s="7" t="n"/>
      <c r="AD1139" s="11" t="n"/>
      <c r="AF1139">
        <f>IF($B1139="","",IF(COUNTIF($B$2:$B1139,$B1139)=1,1,0))</f>
        <v/>
      </c>
      <c r="AG1139">
        <f>IF($AF1139=1,SUMPRODUCT(--($AJ$2:$AJ$1501&lt;$AJ1139))+1,"")</f>
        <v/>
      </c>
      <c r="AH1139">
        <f>IF($B1139="","",IF(OR($M1139=TRUE(),$M1139="TRUE"),1,0))</f>
        <v/>
      </c>
      <c r="AI1139">
        <f>IF($B1139="","",IF($V1139="Yes",1,0))</f>
        <v/>
      </c>
      <c r="AJ1139">
        <f>IF($AF1139=1,IFERROR(IF(VALUE($B1139)&lt;100000000,VALUE($B1139),1000000000),IFERROR(IF(VALUE(MID($B1139,2,20))&lt;100000000,VALUE(MID($B1139,2,20)),1000000000),1000000000))+ROW()/100000,"")</f>
        <v/>
      </c>
    </row>
    <row r="1140">
      <c r="C1140" s="11" t="n"/>
      <c r="J1140" s="7">
        <f>IF($B1140="","",I1140*Q1140/100)</f>
        <v/>
      </c>
      <c r="P1140" s="7" t="n"/>
      <c r="Q1140" s="7" t="n"/>
      <c r="R1140" s="7">
        <f>IF($B1140="","",Q1140*W1140/100)</f>
        <v/>
      </c>
      <c r="S1140" s="7">
        <f>IF($B1140="","",Q1140-R1140)</f>
        <v/>
      </c>
      <c r="T1140" s="7">
        <f>IF($B1140="","",S1140-J1140)</f>
        <v/>
      </c>
      <c r="W1140">
        <f>IF($B1140="","",IF($AI1140=1,0,IF($AH1140=1,Settings!$C$6,Settings!$C$7))*100)</f>
        <v/>
      </c>
      <c r="AA1140" s="7" t="n"/>
      <c r="AD1140" s="11" t="n"/>
      <c r="AF1140">
        <f>IF($B1140="","",IF(COUNTIF($B$2:$B1140,$B1140)=1,1,0))</f>
        <v/>
      </c>
      <c r="AG1140">
        <f>IF($AF1140=1,SUMPRODUCT(--($AJ$2:$AJ$1501&lt;$AJ1140))+1,"")</f>
        <v/>
      </c>
      <c r="AH1140">
        <f>IF($B1140="","",IF(OR($M1140=TRUE(),$M1140="TRUE"),1,0))</f>
        <v/>
      </c>
      <c r="AI1140">
        <f>IF($B1140="","",IF($V1140="Yes",1,0))</f>
        <v/>
      </c>
      <c r="AJ1140">
        <f>IF($AF1140=1,IFERROR(IF(VALUE($B1140)&lt;100000000,VALUE($B1140),1000000000),IFERROR(IF(VALUE(MID($B1140,2,20))&lt;100000000,VALUE(MID($B1140,2,20)),1000000000),1000000000))+ROW()/100000,"")</f>
        <v/>
      </c>
    </row>
    <row r="1141">
      <c r="C1141" s="11" t="n"/>
      <c r="J1141" s="7">
        <f>IF($B1141="","",I1141*Q1141/100)</f>
        <v/>
      </c>
      <c r="P1141" s="7" t="n"/>
      <c r="Q1141" s="7" t="n"/>
      <c r="R1141" s="7">
        <f>IF($B1141="","",Q1141*W1141/100)</f>
        <v/>
      </c>
      <c r="S1141" s="7">
        <f>IF($B1141="","",Q1141-R1141)</f>
        <v/>
      </c>
      <c r="T1141" s="7">
        <f>IF($B1141="","",S1141-J1141)</f>
        <v/>
      </c>
      <c r="W1141">
        <f>IF($B1141="","",IF($AI1141=1,0,IF($AH1141=1,Settings!$C$6,Settings!$C$7))*100)</f>
        <v/>
      </c>
      <c r="AA1141" s="7" t="n"/>
      <c r="AD1141" s="11" t="n"/>
      <c r="AF1141">
        <f>IF($B1141="","",IF(COUNTIF($B$2:$B1141,$B1141)=1,1,0))</f>
        <v/>
      </c>
      <c r="AG1141">
        <f>IF($AF1141=1,SUMPRODUCT(--($AJ$2:$AJ$1501&lt;$AJ1141))+1,"")</f>
        <v/>
      </c>
      <c r="AH1141">
        <f>IF($B1141="","",IF(OR($M1141=TRUE(),$M1141="TRUE"),1,0))</f>
        <v/>
      </c>
      <c r="AI1141">
        <f>IF($B1141="","",IF($V1141="Yes",1,0))</f>
        <v/>
      </c>
      <c r="AJ1141">
        <f>IF($AF1141=1,IFERROR(IF(VALUE($B1141)&lt;100000000,VALUE($B1141),1000000000),IFERROR(IF(VALUE(MID($B1141,2,20))&lt;100000000,VALUE(MID($B1141,2,20)),1000000000),1000000000))+ROW()/100000,"")</f>
        <v/>
      </c>
    </row>
    <row r="1142">
      <c r="C1142" s="11" t="n"/>
      <c r="J1142" s="7">
        <f>IF($B1142="","",I1142*Q1142/100)</f>
        <v/>
      </c>
      <c r="P1142" s="7" t="n"/>
      <c r="Q1142" s="7" t="n"/>
      <c r="R1142" s="7">
        <f>IF($B1142="","",Q1142*W1142/100)</f>
        <v/>
      </c>
      <c r="S1142" s="7">
        <f>IF($B1142="","",Q1142-R1142)</f>
        <v/>
      </c>
      <c r="T1142" s="7">
        <f>IF($B1142="","",S1142-J1142)</f>
        <v/>
      </c>
      <c r="W1142">
        <f>IF($B1142="","",IF($AI1142=1,0,IF($AH1142=1,Settings!$C$6,Settings!$C$7))*100)</f>
        <v/>
      </c>
      <c r="AA1142" s="7" t="n"/>
      <c r="AD1142" s="11" t="n"/>
      <c r="AF1142">
        <f>IF($B1142="","",IF(COUNTIF($B$2:$B1142,$B1142)=1,1,0))</f>
        <v/>
      </c>
      <c r="AG1142">
        <f>IF($AF1142=1,SUMPRODUCT(--($AJ$2:$AJ$1501&lt;$AJ1142))+1,"")</f>
        <v/>
      </c>
      <c r="AH1142">
        <f>IF($B1142="","",IF(OR($M1142=TRUE(),$M1142="TRUE"),1,0))</f>
        <v/>
      </c>
      <c r="AI1142">
        <f>IF($B1142="","",IF($V1142="Yes",1,0))</f>
        <v/>
      </c>
      <c r="AJ1142">
        <f>IF($AF1142=1,IFERROR(IF(VALUE($B1142)&lt;100000000,VALUE($B1142),1000000000),IFERROR(IF(VALUE(MID($B1142,2,20))&lt;100000000,VALUE(MID($B1142,2,20)),1000000000),1000000000))+ROW()/100000,"")</f>
        <v/>
      </c>
    </row>
    <row r="1143">
      <c r="C1143" s="11" t="n"/>
      <c r="J1143" s="7">
        <f>IF($B1143="","",I1143*Q1143/100)</f>
        <v/>
      </c>
      <c r="P1143" s="7" t="n"/>
      <c r="Q1143" s="7" t="n"/>
      <c r="R1143" s="7">
        <f>IF($B1143="","",Q1143*W1143/100)</f>
        <v/>
      </c>
      <c r="S1143" s="7">
        <f>IF($B1143="","",Q1143-R1143)</f>
        <v/>
      </c>
      <c r="T1143" s="7">
        <f>IF($B1143="","",S1143-J1143)</f>
        <v/>
      </c>
      <c r="W1143">
        <f>IF($B1143="","",IF($AI1143=1,0,IF($AH1143=1,Settings!$C$6,Settings!$C$7))*100)</f>
        <v/>
      </c>
      <c r="AA1143" s="7" t="n"/>
      <c r="AD1143" s="11" t="n"/>
      <c r="AF1143">
        <f>IF($B1143="","",IF(COUNTIF($B$2:$B1143,$B1143)=1,1,0))</f>
        <v/>
      </c>
      <c r="AG1143">
        <f>IF($AF1143=1,SUMPRODUCT(--($AJ$2:$AJ$1501&lt;$AJ1143))+1,"")</f>
        <v/>
      </c>
      <c r="AH1143">
        <f>IF($B1143="","",IF(OR($M1143=TRUE(),$M1143="TRUE"),1,0))</f>
        <v/>
      </c>
      <c r="AI1143">
        <f>IF($B1143="","",IF($V1143="Yes",1,0))</f>
        <v/>
      </c>
      <c r="AJ1143">
        <f>IF($AF1143=1,IFERROR(IF(VALUE($B1143)&lt;100000000,VALUE($B1143),1000000000),IFERROR(IF(VALUE(MID($B1143,2,20))&lt;100000000,VALUE(MID($B1143,2,20)),1000000000),1000000000))+ROW()/100000,"")</f>
        <v/>
      </c>
    </row>
    <row r="1144">
      <c r="C1144" s="11" t="n"/>
      <c r="J1144" s="7">
        <f>IF($B1144="","",I1144*Q1144/100)</f>
        <v/>
      </c>
      <c r="P1144" s="7" t="n"/>
      <c r="Q1144" s="7" t="n"/>
      <c r="R1144" s="7">
        <f>IF($B1144="","",Q1144*W1144/100)</f>
        <v/>
      </c>
      <c r="S1144" s="7">
        <f>IF($B1144="","",Q1144-R1144)</f>
        <v/>
      </c>
      <c r="T1144" s="7">
        <f>IF($B1144="","",S1144-J1144)</f>
        <v/>
      </c>
      <c r="W1144">
        <f>IF($B1144="","",IF($AI1144=1,0,IF($AH1144=1,Settings!$C$6,Settings!$C$7))*100)</f>
        <v/>
      </c>
      <c r="AA1144" s="7" t="n"/>
      <c r="AD1144" s="11" t="n"/>
      <c r="AF1144">
        <f>IF($B1144="","",IF(COUNTIF($B$2:$B1144,$B1144)=1,1,0))</f>
        <v/>
      </c>
      <c r="AG1144">
        <f>IF($AF1144=1,SUMPRODUCT(--($AJ$2:$AJ$1501&lt;$AJ1144))+1,"")</f>
        <v/>
      </c>
      <c r="AH1144">
        <f>IF($B1144="","",IF(OR($M1144=TRUE(),$M1144="TRUE"),1,0))</f>
        <v/>
      </c>
      <c r="AI1144">
        <f>IF($B1144="","",IF($V1144="Yes",1,0))</f>
        <v/>
      </c>
      <c r="AJ1144">
        <f>IF($AF1144=1,IFERROR(IF(VALUE($B1144)&lt;100000000,VALUE($B1144),1000000000),IFERROR(IF(VALUE(MID($B1144,2,20))&lt;100000000,VALUE(MID($B1144,2,20)),1000000000),1000000000))+ROW()/100000,"")</f>
        <v/>
      </c>
    </row>
    <row r="1145">
      <c r="C1145" s="11" t="n"/>
      <c r="J1145" s="7">
        <f>IF($B1145="","",I1145*Q1145/100)</f>
        <v/>
      </c>
      <c r="P1145" s="7" t="n"/>
      <c r="Q1145" s="7" t="n"/>
      <c r="R1145" s="7">
        <f>IF($B1145="","",Q1145*W1145/100)</f>
        <v/>
      </c>
      <c r="S1145" s="7">
        <f>IF($B1145="","",Q1145-R1145)</f>
        <v/>
      </c>
      <c r="T1145" s="7">
        <f>IF($B1145="","",S1145-J1145)</f>
        <v/>
      </c>
      <c r="W1145">
        <f>IF($B1145="","",IF($AI1145=1,0,IF($AH1145=1,Settings!$C$6,Settings!$C$7))*100)</f>
        <v/>
      </c>
      <c r="AA1145" s="7" t="n"/>
      <c r="AD1145" s="11" t="n"/>
      <c r="AF1145">
        <f>IF($B1145="","",IF(COUNTIF($B$2:$B1145,$B1145)=1,1,0))</f>
        <v/>
      </c>
      <c r="AG1145">
        <f>IF($AF1145=1,SUMPRODUCT(--($AJ$2:$AJ$1501&lt;$AJ1145))+1,"")</f>
        <v/>
      </c>
      <c r="AH1145">
        <f>IF($B1145="","",IF(OR($M1145=TRUE(),$M1145="TRUE"),1,0))</f>
        <v/>
      </c>
      <c r="AI1145">
        <f>IF($B1145="","",IF($V1145="Yes",1,0))</f>
        <v/>
      </c>
      <c r="AJ1145">
        <f>IF($AF1145=1,IFERROR(IF(VALUE($B1145)&lt;100000000,VALUE($B1145),1000000000),IFERROR(IF(VALUE(MID($B1145,2,20))&lt;100000000,VALUE(MID($B1145,2,20)),1000000000),1000000000))+ROW()/100000,"")</f>
        <v/>
      </c>
    </row>
    <row r="1146">
      <c r="C1146" s="11" t="n"/>
      <c r="J1146" s="7">
        <f>IF($B1146="","",I1146*Q1146/100)</f>
        <v/>
      </c>
      <c r="P1146" s="7" t="n"/>
      <c r="Q1146" s="7" t="n"/>
      <c r="R1146" s="7">
        <f>IF($B1146="","",Q1146*W1146/100)</f>
        <v/>
      </c>
      <c r="S1146" s="7">
        <f>IF($B1146="","",Q1146-R1146)</f>
        <v/>
      </c>
      <c r="T1146" s="7">
        <f>IF($B1146="","",S1146-J1146)</f>
        <v/>
      </c>
      <c r="W1146">
        <f>IF($B1146="","",IF($AI1146=1,0,IF($AH1146=1,Settings!$C$6,Settings!$C$7))*100)</f>
        <v/>
      </c>
      <c r="AA1146" s="7" t="n"/>
      <c r="AD1146" s="11" t="n"/>
      <c r="AF1146">
        <f>IF($B1146="","",IF(COUNTIF($B$2:$B1146,$B1146)=1,1,0))</f>
        <v/>
      </c>
      <c r="AG1146">
        <f>IF($AF1146=1,SUMPRODUCT(--($AJ$2:$AJ$1501&lt;$AJ1146))+1,"")</f>
        <v/>
      </c>
      <c r="AH1146">
        <f>IF($B1146="","",IF(OR($M1146=TRUE(),$M1146="TRUE"),1,0))</f>
        <v/>
      </c>
      <c r="AI1146">
        <f>IF($B1146="","",IF($V1146="Yes",1,0))</f>
        <v/>
      </c>
      <c r="AJ1146">
        <f>IF($AF1146=1,IFERROR(IF(VALUE($B1146)&lt;100000000,VALUE($B1146),1000000000),IFERROR(IF(VALUE(MID($B1146,2,20))&lt;100000000,VALUE(MID($B1146,2,20)),1000000000),1000000000))+ROW()/100000,"")</f>
        <v/>
      </c>
    </row>
    <row r="1147">
      <c r="C1147" s="11" t="n"/>
      <c r="J1147" s="7">
        <f>IF($B1147="","",I1147*Q1147/100)</f>
        <v/>
      </c>
      <c r="P1147" s="7" t="n"/>
      <c r="Q1147" s="7" t="n"/>
      <c r="R1147" s="7">
        <f>IF($B1147="","",Q1147*W1147/100)</f>
        <v/>
      </c>
      <c r="S1147" s="7">
        <f>IF($B1147="","",Q1147-R1147)</f>
        <v/>
      </c>
      <c r="T1147" s="7">
        <f>IF($B1147="","",S1147-J1147)</f>
        <v/>
      </c>
      <c r="W1147">
        <f>IF($B1147="","",IF($AI1147=1,0,IF($AH1147=1,Settings!$C$6,Settings!$C$7))*100)</f>
        <v/>
      </c>
      <c r="AA1147" s="7" t="n"/>
      <c r="AD1147" s="11" t="n"/>
      <c r="AF1147">
        <f>IF($B1147="","",IF(COUNTIF($B$2:$B1147,$B1147)=1,1,0))</f>
        <v/>
      </c>
      <c r="AG1147">
        <f>IF($AF1147=1,SUMPRODUCT(--($AJ$2:$AJ$1501&lt;$AJ1147))+1,"")</f>
        <v/>
      </c>
      <c r="AH1147">
        <f>IF($B1147="","",IF(OR($M1147=TRUE(),$M1147="TRUE"),1,0))</f>
        <v/>
      </c>
      <c r="AI1147">
        <f>IF($B1147="","",IF($V1147="Yes",1,0))</f>
        <v/>
      </c>
      <c r="AJ1147">
        <f>IF($AF1147=1,IFERROR(IF(VALUE($B1147)&lt;100000000,VALUE($B1147),1000000000),IFERROR(IF(VALUE(MID($B1147,2,20))&lt;100000000,VALUE(MID($B1147,2,20)),1000000000),1000000000))+ROW()/100000,"")</f>
        <v/>
      </c>
    </row>
    <row r="1148">
      <c r="C1148" s="11" t="n"/>
      <c r="J1148" s="7">
        <f>IF($B1148="","",I1148*Q1148/100)</f>
        <v/>
      </c>
      <c r="P1148" s="7" t="n"/>
      <c r="Q1148" s="7" t="n"/>
      <c r="R1148" s="7">
        <f>IF($B1148="","",Q1148*W1148/100)</f>
        <v/>
      </c>
      <c r="S1148" s="7">
        <f>IF($B1148="","",Q1148-R1148)</f>
        <v/>
      </c>
      <c r="T1148" s="7">
        <f>IF($B1148="","",S1148-J1148)</f>
        <v/>
      </c>
      <c r="W1148">
        <f>IF($B1148="","",IF($AI1148=1,0,IF($AH1148=1,Settings!$C$6,Settings!$C$7))*100)</f>
        <v/>
      </c>
      <c r="AA1148" s="7" t="n"/>
      <c r="AD1148" s="11" t="n"/>
      <c r="AF1148">
        <f>IF($B1148="","",IF(COUNTIF($B$2:$B1148,$B1148)=1,1,0))</f>
        <v/>
      </c>
      <c r="AG1148">
        <f>IF($AF1148=1,SUMPRODUCT(--($AJ$2:$AJ$1501&lt;$AJ1148))+1,"")</f>
        <v/>
      </c>
      <c r="AH1148">
        <f>IF($B1148="","",IF(OR($M1148=TRUE(),$M1148="TRUE"),1,0))</f>
        <v/>
      </c>
      <c r="AI1148">
        <f>IF($B1148="","",IF($V1148="Yes",1,0))</f>
        <v/>
      </c>
      <c r="AJ1148">
        <f>IF($AF1148=1,IFERROR(IF(VALUE($B1148)&lt;100000000,VALUE($B1148),1000000000),IFERROR(IF(VALUE(MID($B1148,2,20))&lt;100000000,VALUE(MID($B1148,2,20)),1000000000),1000000000))+ROW()/100000,"")</f>
        <v/>
      </c>
    </row>
    <row r="1149">
      <c r="C1149" s="11" t="n"/>
      <c r="J1149" s="7">
        <f>IF($B1149="","",I1149*Q1149/100)</f>
        <v/>
      </c>
      <c r="P1149" s="7" t="n"/>
      <c r="Q1149" s="7" t="n"/>
      <c r="R1149" s="7">
        <f>IF($B1149="","",Q1149*W1149/100)</f>
        <v/>
      </c>
      <c r="S1149" s="7">
        <f>IF($B1149="","",Q1149-R1149)</f>
        <v/>
      </c>
      <c r="T1149" s="7">
        <f>IF($B1149="","",S1149-J1149)</f>
        <v/>
      </c>
      <c r="W1149">
        <f>IF($B1149="","",IF($AI1149=1,0,IF($AH1149=1,Settings!$C$6,Settings!$C$7))*100)</f>
        <v/>
      </c>
      <c r="AA1149" s="7" t="n"/>
      <c r="AD1149" s="11" t="n"/>
      <c r="AF1149">
        <f>IF($B1149="","",IF(COUNTIF($B$2:$B1149,$B1149)=1,1,0))</f>
        <v/>
      </c>
      <c r="AG1149">
        <f>IF($AF1149=1,SUMPRODUCT(--($AJ$2:$AJ$1501&lt;$AJ1149))+1,"")</f>
        <v/>
      </c>
      <c r="AH1149">
        <f>IF($B1149="","",IF(OR($M1149=TRUE(),$M1149="TRUE"),1,0))</f>
        <v/>
      </c>
      <c r="AI1149">
        <f>IF($B1149="","",IF($V1149="Yes",1,0))</f>
        <v/>
      </c>
      <c r="AJ1149">
        <f>IF($AF1149=1,IFERROR(IF(VALUE($B1149)&lt;100000000,VALUE($B1149),1000000000),IFERROR(IF(VALUE(MID($B1149,2,20))&lt;100000000,VALUE(MID($B1149,2,20)),1000000000),1000000000))+ROW()/100000,"")</f>
        <v/>
      </c>
    </row>
    <row r="1150">
      <c r="C1150" s="11" t="n"/>
      <c r="J1150" s="7">
        <f>IF($B1150="","",I1150*Q1150/100)</f>
        <v/>
      </c>
      <c r="P1150" s="7" t="n"/>
      <c r="Q1150" s="7" t="n"/>
      <c r="R1150" s="7">
        <f>IF($B1150="","",Q1150*W1150/100)</f>
        <v/>
      </c>
      <c r="S1150" s="7">
        <f>IF($B1150="","",Q1150-R1150)</f>
        <v/>
      </c>
      <c r="T1150" s="7">
        <f>IF($B1150="","",S1150-J1150)</f>
        <v/>
      </c>
      <c r="W1150">
        <f>IF($B1150="","",IF($AI1150=1,0,IF($AH1150=1,Settings!$C$6,Settings!$C$7))*100)</f>
        <v/>
      </c>
      <c r="AA1150" s="7" t="n"/>
      <c r="AD1150" s="11" t="n"/>
      <c r="AF1150">
        <f>IF($B1150="","",IF(COUNTIF($B$2:$B1150,$B1150)=1,1,0))</f>
        <v/>
      </c>
      <c r="AG1150">
        <f>IF($AF1150=1,SUMPRODUCT(--($AJ$2:$AJ$1501&lt;$AJ1150))+1,"")</f>
        <v/>
      </c>
      <c r="AH1150">
        <f>IF($B1150="","",IF(OR($M1150=TRUE(),$M1150="TRUE"),1,0))</f>
        <v/>
      </c>
      <c r="AI1150">
        <f>IF($B1150="","",IF($V1150="Yes",1,0))</f>
        <v/>
      </c>
      <c r="AJ1150">
        <f>IF($AF1150=1,IFERROR(IF(VALUE($B1150)&lt;100000000,VALUE($B1150),1000000000),IFERROR(IF(VALUE(MID($B1150,2,20))&lt;100000000,VALUE(MID($B1150,2,20)),1000000000),1000000000))+ROW()/100000,"")</f>
        <v/>
      </c>
    </row>
    <row r="1151">
      <c r="C1151" s="11" t="n"/>
      <c r="J1151" s="7">
        <f>IF($B1151="","",I1151*Q1151/100)</f>
        <v/>
      </c>
      <c r="P1151" s="7" t="n"/>
      <c r="Q1151" s="7" t="n"/>
      <c r="R1151" s="7">
        <f>IF($B1151="","",Q1151*W1151/100)</f>
        <v/>
      </c>
      <c r="S1151" s="7">
        <f>IF($B1151="","",Q1151-R1151)</f>
        <v/>
      </c>
      <c r="T1151" s="7">
        <f>IF($B1151="","",S1151-J1151)</f>
        <v/>
      </c>
      <c r="W1151">
        <f>IF($B1151="","",IF($AI1151=1,0,IF($AH1151=1,Settings!$C$6,Settings!$C$7))*100)</f>
        <v/>
      </c>
      <c r="AA1151" s="7" t="n"/>
      <c r="AD1151" s="11" t="n"/>
      <c r="AF1151">
        <f>IF($B1151="","",IF(COUNTIF($B$2:$B1151,$B1151)=1,1,0))</f>
        <v/>
      </c>
      <c r="AG1151">
        <f>IF($AF1151=1,SUMPRODUCT(--($AJ$2:$AJ$1501&lt;$AJ1151))+1,"")</f>
        <v/>
      </c>
      <c r="AH1151">
        <f>IF($B1151="","",IF(OR($M1151=TRUE(),$M1151="TRUE"),1,0))</f>
        <v/>
      </c>
      <c r="AI1151">
        <f>IF($B1151="","",IF($V1151="Yes",1,0))</f>
        <v/>
      </c>
      <c r="AJ1151">
        <f>IF($AF1151=1,IFERROR(IF(VALUE($B1151)&lt;100000000,VALUE($B1151),1000000000),IFERROR(IF(VALUE(MID($B1151,2,20))&lt;100000000,VALUE(MID($B1151,2,20)),1000000000),1000000000))+ROW()/100000,"")</f>
        <v/>
      </c>
    </row>
    <row r="1152">
      <c r="C1152" s="11" t="n"/>
      <c r="J1152" s="7">
        <f>IF($B1152="","",I1152*Q1152/100)</f>
        <v/>
      </c>
      <c r="P1152" s="7" t="n"/>
      <c r="Q1152" s="7" t="n"/>
      <c r="R1152" s="7">
        <f>IF($B1152="","",Q1152*W1152/100)</f>
        <v/>
      </c>
      <c r="S1152" s="7">
        <f>IF($B1152="","",Q1152-R1152)</f>
        <v/>
      </c>
      <c r="T1152" s="7">
        <f>IF($B1152="","",S1152-J1152)</f>
        <v/>
      </c>
      <c r="W1152">
        <f>IF($B1152="","",IF($AI1152=1,0,IF($AH1152=1,Settings!$C$6,Settings!$C$7))*100)</f>
        <v/>
      </c>
      <c r="AA1152" s="7" t="n"/>
      <c r="AD1152" s="11" t="n"/>
      <c r="AF1152">
        <f>IF($B1152="","",IF(COUNTIF($B$2:$B1152,$B1152)=1,1,0))</f>
        <v/>
      </c>
      <c r="AG1152">
        <f>IF($AF1152=1,SUMPRODUCT(--($AJ$2:$AJ$1501&lt;$AJ1152))+1,"")</f>
        <v/>
      </c>
      <c r="AH1152">
        <f>IF($B1152="","",IF(OR($M1152=TRUE(),$M1152="TRUE"),1,0))</f>
        <v/>
      </c>
      <c r="AI1152">
        <f>IF($B1152="","",IF($V1152="Yes",1,0))</f>
        <v/>
      </c>
      <c r="AJ1152">
        <f>IF($AF1152=1,IFERROR(IF(VALUE($B1152)&lt;100000000,VALUE($B1152),1000000000),IFERROR(IF(VALUE(MID($B1152,2,20))&lt;100000000,VALUE(MID($B1152,2,20)),1000000000),1000000000))+ROW()/100000,"")</f>
        <v/>
      </c>
    </row>
    <row r="1153">
      <c r="C1153" s="11" t="n"/>
      <c r="J1153" s="7">
        <f>IF($B1153="","",I1153*Q1153/100)</f>
        <v/>
      </c>
      <c r="P1153" s="7" t="n"/>
      <c r="Q1153" s="7" t="n"/>
      <c r="R1153" s="7">
        <f>IF($B1153="","",Q1153*W1153/100)</f>
        <v/>
      </c>
      <c r="S1153" s="7">
        <f>IF($B1153="","",Q1153-R1153)</f>
        <v/>
      </c>
      <c r="T1153" s="7">
        <f>IF($B1153="","",S1153-J1153)</f>
        <v/>
      </c>
      <c r="W1153">
        <f>IF($B1153="","",IF($AI1153=1,0,IF($AH1153=1,Settings!$C$6,Settings!$C$7))*100)</f>
        <v/>
      </c>
      <c r="AA1153" s="7" t="n"/>
      <c r="AD1153" s="11" t="n"/>
      <c r="AF1153">
        <f>IF($B1153="","",IF(COUNTIF($B$2:$B1153,$B1153)=1,1,0))</f>
        <v/>
      </c>
      <c r="AG1153">
        <f>IF($AF1153=1,SUMPRODUCT(--($AJ$2:$AJ$1501&lt;$AJ1153))+1,"")</f>
        <v/>
      </c>
      <c r="AH1153">
        <f>IF($B1153="","",IF(OR($M1153=TRUE(),$M1153="TRUE"),1,0))</f>
        <v/>
      </c>
      <c r="AI1153">
        <f>IF($B1153="","",IF($V1153="Yes",1,0))</f>
        <v/>
      </c>
      <c r="AJ1153">
        <f>IF($AF1153=1,IFERROR(IF(VALUE($B1153)&lt;100000000,VALUE($B1153),1000000000),IFERROR(IF(VALUE(MID($B1153,2,20))&lt;100000000,VALUE(MID($B1153,2,20)),1000000000),1000000000))+ROW()/100000,"")</f>
        <v/>
      </c>
    </row>
    <row r="1154">
      <c r="C1154" s="11" t="n"/>
      <c r="J1154" s="7">
        <f>IF($B1154="","",I1154*Q1154/100)</f>
        <v/>
      </c>
      <c r="P1154" s="7" t="n"/>
      <c r="Q1154" s="7" t="n"/>
      <c r="R1154" s="7">
        <f>IF($B1154="","",Q1154*W1154/100)</f>
        <v/>
      </c>
      <c r="S1154" s="7">
        <f>IF($B1154="","",Q1154-R1154)</f>
        <v/>
      </c>
      <c r="T1154" s="7">
        <f>IF($B1154="","",S1154-J1154)</f>
        <v/>
      </c>
      <c r="W1154">
        <f>IF($B1154="","",IF($AI1154=1,0,IF($AH1154=1,Settings!$C$6,Settings!$C$7))*100)</f>
        <v/>
      </c>
      <c r="AA1154" s="7" t="n"/>
      <c r="AD1154" s="11" t="n"/>
      <c r="AF1154">
        <f>IF($B1154="","",IF(COUNTIF($B$2:$B1154,$B1154)=1,1,0))</f>
        <v/>
      </c>
      <c r="AG1154">
        <f>IF($AF1154=1,SUMPRODUCT(--($AJ$2:$AJ$1501&lt;$AJ1154))+1,"")</f>
        <v/>
      </c>
      <c r="AH1154">
        <f>IF($B1154="","",IF(OR($M1154=TRUE(),$M1154="TRUE"),1,0))</f>
        <v/>
      </c>
      <c r="AI1154">
        <f>IF($B1154="","",IF($V1154="Yes",1,0))</f>
        <v/>
      </c>
      <c r="AJ1154">
        <f>IF($AF1154=1,IFERROR(IF(VALUE($B1154)&lt;100000000,VALUE($B1154),1000000000),IFERROR(IF(VALUE(MID($B1154,2,20))&lt;100000000,VALUE(MID($B1154,2,20)),1000000000),1000000000))+ROW()/100000,"")</f>
        <v/>
      </c>
    </row>
    <row r="1155">
      <c r="C1155" s="11" t="n"/>
      <c r="J1155" s="7">
        <f>IF($B1155="","",I1155*Q1155/100)</f>
        <v/>
      </c>
      <c r="P1155" s="7" t="n"/>
      <c r="Q1155" s="7" t="n"/>
      <c r="R1155" s="7">
        <f>IF($B1155="","",Q1155*W1155/100)</f>
        <v/>
      </c>
      <c r="S1155" s="7">
        <f>IF($B1155="","",Q1155-R1155)</f>
        <v/>
      </c>
      <c r="T1155" s="7">
        <f>IF($B1155="","",S1155-J1155)</f>
        <v/>
      </c>
      <c r="W1155">
        <f>IF($B1155="","",IF($AI1155=1,0,IF($AH1155=1,Settings!$C$6,Settings!$C$7))*100)</f>
        <v/>
      </c>
      <c r="AA1155" s="7" t="n"/>
      <c r="AD1155" s="11" t="n"/>
      <c r="AF1155">
        <f>IF($B1155="","",IF(COUNTIF($B$2:$B1155,$B1155)=1,1,0))</f>
        <v/>
      </c>
      <c r="AG1155">
        <f>IF($AF1155=1,SUMPRODUCT(--($AJ$2:$AJ$1501&lt;$AJ1155))+1,"")</f>
        <v/>
      </c>
      <c r="AH1155">
        <f>IF($B1155="","",IF(OR($M1155=TRUE(),$M1155="TRUE"),1,0))</f>
        <v/>
      </c>
      <c r="AI1155">
        <f>IF($B1155="","",IF($V1155="Yes",1,0))</f>
        <v/>
      </c>
      <c r="AJ1155">
        <f>IF($AF1155=1,IFERROR(IF(VALUE($B1155)&lt;100000000,VALUE($B1155),1000000000),IFERROR(IF(VALUE(MID($B1155,2,20))&lt;100000000,VALUE(MID($B1155,2,20)),1000000000),1000000000))+ROW()/100000,"")</f>
        <v/>
      </c>
    </row>
    <row r="1156">
      <c r="C1156" s="11" t="n"/>
      <c r="J1156" s="7">
        <f>IF($B1156="","",I1156*Q1156/100)</f>
        <v/>
      </c>
      <c r="P1156" s="7" t="n"/>
      <c r="Q1156" s="7" t="n"/>
      <c r="R1156" s="7">
        <f>IF($B1156="","",Q1156*W1156/100)</f>
        <v/>
      </c>
      <c r="S1156" s="7">
        <f>IF($B1156="","",Q1156-R1156)</f>
        <v/>
      </c>
      <c r="T1156" s="7">
        <f>IF($B1156="","",S1156-J1156)</f>
        <v/>
      </c>
      <c r="W1156">
        <f>IF($B1156="","",IF($AI1156=1,0,IF($AH1156=1,Settings!$C$6,Settings!$C$7))*100)</f>
        <v/>
      </c>
      <c r="AA1156" s="7" t="n"/>
      <c r="AD1156" s="11" t="n"/>
      <c r="AF1156">
        <f>IF($B1156="","",IF(COUNTIF($B$2:$B1156,$B1156)=1,1,0))</f>
        <v/>
      </c>
      <c r="AG1156">
        <f>IF($AF1156=1,SUMPRODUCT(--($AJ$2:$AJ$1501&lt;$AJ1156))+1,"")</f>
        <v/>
      </c>
      <c r="AH1156">
        <f>IF($B1156="","",IF(OR($M1156=TRUE(),$M1156="TRUE"),1,0))</f>
        <v/>
      </c>
      <c r="AI1156">
        <f>IF($B1156="","",IF($V1156="Yes",1,0))</f>
        <v/>
      </c>
      <c r="AJ1156">
        <f>IF($AF1156=1,IFERROR(IF(VALUE($B1156)&lt;100000000,VALUE($B1156),1000000000),IFERROR(IF(VALUE(MID($B1156,2,20))&lt;100000000,VALUE(MID($B1156,2,20)),1000000000),1000000000))+ROW()/100000,"")</f>
        <v/>
      </c>
    </row>
    <row r="1157">
      <c r="C1157" s="11" t="n"/>
      <c r="J1157" s="7">
        <f>IF($B1157="","",I1157*Q1157/100)</f>
        <v/>
      </c>
      <c r="P1157" s="7" t="n"/>
      <c r="Q1157" s="7" t="n"/>
      <c r="R1157" s="7">
        <f>IF($B1157="","",Q1157*W1157/100)</f>
        <v/>
      </c>
      <c r="S1157" s="7">
        <f>IF($B1157="","",Q1157-R1157)</f>
        <v/>
      </c>
      <c r="T1157" s="7">
        <f>IF($B1157="","",S1157-J1157)</f>
        <v/>
      </c>
      <c r="W1157">
        <f>IF($B1157="","",IF($AI1157=1,0,IF($AH1157=1,Settings!$C$6,Settings!$C$7))*100)</f>
        <v/>
      </c>
      <c r="AA1157" s="7" t="n"/>
      <c r="AD1157" s="11" t="n"/>
      <c r="AF1157">
        <f>IF($B1157="","",IF(COUNTIF($B$2:$B1157,$B1157)=1,1,0))</f>
        <v/>
      </c>
      <c r="AG1157">
        <f>IF($AF1157=1,SUMPRODUCT(--($AJ$2:$AJ$1501&lt;$AJ1157))+1,"")</f>
        <v/>
      </c>
      <c r="AH1157">
        <f>IF($B1157="","",IF(OR($M1157=TRUE(),$M1157="TRUE"),1,0))</f>
        <v/>
      </c>
      <c r="AI1157">
        <f>IF($B1157="","",IF($V1157="Yes",1,0))</f>
        <v/>
      </c>
      <c r="AJ1157">
        <f>IF($AF1157=1,IFERROR(IF(VALUE($B1157)&lt;100000000,VALUE($B1157),1000000000),IFERROR(IF(VALUE(MID($B1157,2,20))&lt;100000000,VALUE(MID($B1157,2,20)),1000000000),1000000000))+ROW()/100000,"")</f>
        <v/>
      </c>
    </row>
    <row r="1158">
      <c r="C1158" s="11" t="n"/>
      <c r="J1158" s="7">
        <f>IF($B1158="","",I1158*Q1158/100)</f>
        <v/>
      </c>
      <c r="P1158" s="7" t="n"/>
      <c r="Q1158" s="7" t="n"/>
      <c r="R1158" s="7">
        <f>IF($B1158="","",Q1158*W1158/100)</f>
        <v/>
      </c>
      <c r="S1158" s="7">
        <f>IF($B1158="","",Q1158-R1158)</f>
        <v/>
      </c>
      <c r="T1158" s="7">
        <f>IF($B1158="","",S1158-J1158)</f>
        <v/>
      </c>
      <c r="W1158">
        <f>IF($B1158="","",IF($AI1158=1,0,IF($AH1158=1,Settings!$C$6,Settings!$C$7))*100)</f>
        <v/>
      </c>
      <c r="AA1158" s="7" t="n"/>
      <c r="AD1158" s="11" t="n"/>
      <c r="AF1158">
        <f>IF($B1158="","",IF(COUNTIF($B$2:$B1158,$B1158)=1,1,0))</f>
        <v/>
      </c>
      <c r="AG1158">
        <f>IF($AF1158=1,SUMPRODUCT(--($AJ$2:$AJ$1501&lt;$AJ1158))+1,"")</f>
        <v/>
      </c>
      <c r="AH1158">
        <f>IF($B1158="","",IF(OR($M1158=TRUE(),$M1158="TRUE"),1,0))</f>
        <v/>
      </c>
      <c r="AI1158">
        <f>IF($B1158="","",IF($V1158="Yes",1,0))</f>
        <v/>
      </c>
      <c r="AJ1158">
        <f>IF($AF1158=1,IFERROR(IF(VALUE($B1158)&lt;100000000,VALUE($B1158),1000000000),IFERROR(IF(VALUE(MID($B1158,2,20))&lt;100000000,VALUE(MID($B1158,2,20)),1000000000),1000000000))+ROW()/100000,"")</f>
        <v/>
      </c>
    </row>
    <row r="1159">
      <c r="C1159" s="11" t="n"/>
      <c r="J1159" s="7">
        <f>IF($B1159="","",I1159*Q1159/100)</f>
        <v/>
      </c>
      <c r="P1159" s="7" t="n"/>
      <c r="Q1159" s="7" t="n"/>
      <c r="R1159" s="7">
        <f>IF($B1159="","",Q1159*W1159/100)</f>
        <v/>
      </c>
      <c r="S1159" s="7">
        <f>IF($B1159="","",Q1159-R1159)</f>
        <v/>
      </c>
      <c r="T1159" s="7">
        <f>IF($B1159="","",S1159-J1159)</f>
        <v/>
      </c>
      <c r="W1159">
        <f>IF($B1159="","",IF($AI1159=1,0,IF($AH1159=1,Settings!$C$6,Settings!$C$7))*100)</f>
        <v/>
      </c>
      <c r="AA1159" s="7" t="n"/>
      <c r="AD1159" s="11" t="n"/>
      <c r="AF1159">
        <f>IF($B1159="","",IF(COUNTIF($B$2:$B1159,$B1159)=1,1,0))</f>
        <v/>
      </c>
      <c r="AG1159">
        <f>IF($AF1159=1,SUMPRODUCT(--($AJ$2:$AJ$1501&lt;$AJ1159))+1,"")</f>
        <v/>
      </c>
      <c r="AH1159">
        <f>IF($B1159="","",IF(OR($M1159=TRUE(),$M1159="TRUE"),1,0))</f>
        <v/>
      </c>
      <c r="AI1159">
        <f>IF($B1159="","",IF($V1159="Yes",1,0))</f>
        <v/>
      </c>
      <c r="AJ1159">
        <f>IF($AF1159=1,IFERROR(IF(VALUE($B1159)&lt;100000000,VALUE($B1159),1000000000),IFERROR(IF(VALUE(MID($B1159,2,20))&lt;100000000,VALUE(MID($B1159,2,20)),1000000000),1000000000))+ROW()/100000,"")</f>
        <v/>
      </c>
    </row>
    <row r="1160">
      <c r="C1160" s="11" t="n"/>
      <c r="J1160" s="7">
        <f>IF($B1160="","",I1160*Q1160/100)</f>
        <v/>
      </c>
      <c r="P1160" s="7" t="n"/>
      <c r="Q1160" s="7" t="n"/>
      <c r="R1160" s="7">
        <f>IF($B1160="","",Q1160*W1160/100)</f>
        <v/>
      </c>
      <c r="S1160" s="7">
        <f>IF($B1160="","",Q1160-R1160)</f>
        <v/>
      </c>
      <c r="T1160" s="7">
        <f>IF($B1160="","",S1160-J1160)</f>
        <v/>
      </c>
      <c r="W1160">
        <f>IF($B1160="","",IF($AI1160=1,0,IF($AH1160=1,Settings!$C$6,Settings!$C$7))*100)</f>
        <v/>
      </c>
      <c r="AA1160" s="7" t="n"/>
      <c r="AD1160" s="11" t="n"/>
      <c r="AF1160">
        <f>IF($B1160="","",IF(COUNTIF($B$2:$B1160,$B1160)=1,1,0))</f>
        <v/>
      </c>
      <c r="AG1160">
        <f>IF($AF1160=1,SUMPRODUCT(--($AJ$2:$AJ$1501&lt;$AJ1160))+1,"")</f>
        <v/>
      </c>
      <c r="AH1160">
        <f>IF($B1160="","",IF(OR($M1160=TRUE(),$M1160="TRUE"),1,0))</f>
        <v/>
      </c>
      <c r="AI1160">
        <f>IF($B1160="","",IF($V1160="Yes",1,0))</f>
        <v/>
      </c>
      <c r="AJ1160">
        <f>IF($AF1160=1,IFERROR(IF(VALUE($B1160)&lt;100000000,VALUE($B1160),1000000000),IFERROR(IF(VALUE(MID($B1160,2,20))&lt;100000000,VALUE(MID($B1160,2,20)),1000000000),1000000000))+ROW()/100000,"")</f>
        <v/>
      </c>
    </row>
    <row r="1161">
      <c r="C1161" s="11" t="n"/>
      <c r="J1161" s="7">
        <f>IF($B1161="","",I1161*Q1161/100)</f>
        <v/>
      </c>
      <c r="P1161" s="7" t="n"/>
      <c r="Q1161" s="7" t="n"/>
      <c r="R1161" s="7">
        <f>IF($B1161="","",Q1161*W1161/100)</f>
        <v/>
      </c>
      <c r="S1161" s="7">
        <f>IF($B1161="","",Q1161-R1161)</f>
        <v/>
      </c>
      <c r="T1161" s="7">
        <f>IF($B1161="","",S1161-J1161)</f>
        <v/>
      </c>
      <c r="W1161">
        <f>IF($B1161="","",IF($AI1161=1,0,IF($AH1161=1,Settings!$C$6,Settings!$C$7))*100)</f>
        <v/>
      </c>
      <c r="AA1161" s="7" t="n"/>
      <c r="AD1161" s="11" t="n"/>
      <c r="AF1161">
        <f>IF($B1161="","",IF(COUNTIF($B$2:$B1161,$B1161)=1,1,0))</f>
        <v/>
      </c>
      <c r="AG1161">
        <f>IF($AF1161=1,SUMPRODUCT(--($AJ$2:$AJ$1501&lt;$AJ1161))+1,"")</f>
        <v/>
      </c>
      <c r="AH1161">
        <f>IF($B1161="","",IF(OR($M1161=TRUE(),$M1161="TRUE"),1,0))</f>
        <v/>
      </c>
      <c r="AI1161">
        <f>IF($B1161="","",IF($V1161="Yes",1,0))</f>
        <v/>
      </c>
      <c r="AJ1161">
        <f>IF($AF1161=1,IFERROR(IF(VALUE($B1161)&lt;100000000,VALUE($B1161),1000000000),IFERROR(IF(VALUE(MID($B1161,2,20))&lt;100000000,VALUE(MID($B1161,2,20)),1000000000),1000000000))+ROW()/100000,"")</f>
        <v/>
      </c>
    </row>
    <row r="1162">
      <c r="C1162" s="11" t="n"/>
      <c r="J1162" s="7">
        <f>IF($B1162="","",I1162*Q1162/100)</f>
        <v/>
      </c>
      <c r="P1162" s="7" t="n"/>
      <c r="Q1162" s="7" t="n"/>
      <c r="R1162" s="7">
        <f>IF($B1162="","",Q1162*W1162/100)</f>
        <v/>
      </c>
      <c r="S1162" s="7">
        <f>IF($B1162="","",Q1162-R1162)</f>
        <v/>
      </c>
      <c r="T1162" s="7">
        <f>IF($B1162="","",S1162-J1162)</f>
        <v/>
      </c>
      <c r="W1162">
        <f>IF($B1162="","",IF($AI1162=1,0,IF($AH1162=1,Settings!$C$6,Settings!$C$7))*100)</f>
        <v/>
      </c>
      <c r="AA1162" s="7" t="n"/>
      <c r="AD1162" s="11" t="n"/>
      <c r="AF1162">
        <f>IF($B1162="","",IF(COUNTIF($B$2:$B1162,$B1162)=1,1,0))</f>
        <v/>
      </c>
      <c r="AG1162">
        <f>IF($AF1162=1,SUMPRODUCT(--($AJ$2:$AJ$1501&lt;$AJ1162))+1,"")</f>
        <v/>
      </c>
      <c r="AH1162">
        <f>IF($B1162="","",IF(OR($M1162=TRUE(),$M1162="TRUE"),1,0))</f>
        <v/>
      </c>
      <c r="AI1162">
        <f>IF($B1162="","",IF($V1162="Yes",1,0))</f>
        <v/>
      </c>
      <c r="AJ1162">
        <f>IF($AF1162=1,IFERROR(IF(VALUE($B1162)&lt;100000000,VALUE($B1162),1000000000),IFERROR(IF(VALUE(MID($B1162,2,20))&lt;100000000,VALUE(MID($B1162,2,20)),1000000000),1000000000))+ROW()/100000,"")</f>
        <v/>
      </c>
    </row>
    <row r="1163">
      <c r="C1163" s="11" t="n"/>
      <c r="J1163" s="7">
        <f>IF($B1163="","",I1163*Q1163/100)</f>
        <v/>
      </c>
      <c r="P1163" s="7" t="n"/>
      <c r="Q1163" s="7" t="n"/>
      <c r="R1163" s="7">
        <f>IF($B1163="","",Q1163*W1163/100)</f>
        <v/>
      </c>
      <c r="S1163" s="7">
        <f>IF($B1163="","",Q1163-R1163)</f>
        <v/>
      </c>
      <c r="T1163" s="7">
        <f>IF($B1163="","",S1163-J1163)</f>
        <v/>
      </c>
      <c r="W1163">
        <f>IF($B1163="","",IF($AI1163=1,0,IF($AH1163=1,Settings!$C$6,Settings!$C$7))*100)</f>
        <v/>
      </c>
      <c r="AA1163" s="7" t="n"/>
      <c r="AD1163" s="11" t="n"/>
      <c r="AF1163">
        <f>IF($B1163="","",IF(COUNTIF($B$2:$B1163,$B1163)=1,1,0))</f>
        <v/>
      </c>
      <c r="AG1163">
        <f>IF($AF1163=1,SUMPRODUCT(--($AJ$2:$AJ$1501&lt;$AJ1163))+1,"")</f>
        <v/>
      </c>
      <c r="AH1163">
        <f>IF($B1163="","",IF(OR($M1163=TRUE(),$M1163="TRUE"),1,0))</f>
        <v/>
      </c>
      <c r="AI1163">
        <f>IF($B1163="","",IF($V1163="Yes",1,0))</f>
        <v/>
      </c>
      <c r="AJ1163">
        <f>IF($AF1163=1,IFERROR(IF(VALUE($B1163)&lt;100000000,VALUE($B1163),1000000000),IFERROR(IF(VALUE(MID($B1163,2,20))&lt;100000000,VALUE(MID($B1163,2,20)),1000000000),1000000000))+ROW()/100000,"")</f>
        <v/>
      </c>
    </row>
    <row r="1164">
      <c r="C1164" s="11" t="n"/>
      <c r="J1164" s="7">
        <f>IF($B1164="","",I1164*Q1164/100)</f>
        <v/>
      </c>
      <c r="P1164" s="7" t="n"/>
      <c r="Q1164" s="7" t="n"/>
      <c r="R1164" s="7">
        <f>IF($B1164="","",Q1164*W1164/100)</f>
        <v/>
      </c>
      <c r="S1164" s="7">
        <f>IF($B1164="","",Q1164-R1164)</f>
        <v/>
      </c>
      <c r="T1164" s="7">
        <f>IF($B1164="","",S1164-J1164)</f>
        <v/>
      </c>
      <c r="W1164">
        <f>IF($B1164="","",IF($AI1164=1,0,IF($AH1164=1,Settings!$C$6,Settings!$C$7))*100)</f>
        <v/>
      </c>
      <c r="AA1164" s="7" t="n"/>
      <c r="AD1164" s="11" t="n"/>
      <c r="AF1164">
        <f>IF($B1164="","",IF(COUNTIF($B$2:$B1164,$B1164)=1,1,0))</f>
        <v/>
      </c>
      <c r="AG1164">
        <f>IF($AF1164=1,SUMPRODUCT(--($AJ$2:$AJ$1501&lt;$AJ1164))+1,"")</f>
        <v/>
      </c>
      <c r="AH1164">
        <f>IF($B1164="","",IF(OR($M1164=TRUE(),$M1164="TRUE"),1,0))</f>
        <v/>
      </c>
      <c r="AI1164">
        <f>IF($B1164="","",IF($V1164="Yes",1,0))</f>
        <v/>
      </c>
      <c r="AJ1164">
        <f>IF($AF1164=1,IFERROR(IF(VALUE($B1164)&lt;100000000,VALUE($B1164),1000000000),IFERROR(IF(VALUE(MID($B1164,2,20))&lt;100000000,VALUE(MID($B1164,2,20)),1000000000),1000000000))+ROW()/100000,"")</f>
        <v/>
      </c>
    </row>
    <row r="1165">
      <c r="C1165" s="11" t="n"/>
      <c r="J1165" s="7">
        <f>IF($B1165="","",I1165*Q1165/100)</f>
        <v/>
      </c>
      <c r="P1165" s="7" t="n"/>
      <c r="Q1165" s="7" t="n"/>
      <c r="R1165" s="7">
        <f>IF($B1165="","",Q1165*W1165/100)</f>
        <v/>
      </c>
      <c r="S1165" s="7">
        <f>IF($B1165="","",Q1165-R1165)</f>
        <v/>
      </c>
      <c r="T1165" s="7">
        <f>IF($B1165="","",S1165-J1165)</f>
        <v/>
      </c>
      <c r="W1165">
        <f>IF($B1165="","",IF($AI1165=1,0,IF($AH1165=1,Settings!$C$6,Settings!$C$7))*100)</f>
        <v/>
      </c>
      <c r="AA1165" s="7" t="n"/>
      <c r="AD1165" s="11" t="n"/>
      <c r="AF1165">
        <f>IF($B1165="","",IF(COUNTIF($B$2:$B1165,$B1165)=1,1,0))</f>
        <v/>
      </c>
      <c r="AG1165">
        <f>IF($AF1165=1,SUMPRODUCT(--($AJ$2:$AJ$1501&lt;$AJ1165))+1,"")</f>
        <v/>
      </c>
      <c r="AH1165">
        <f>IF($B1165="","",IF(OR($M1165=TRUE(),$M1165="TRUE"),1,0))</f>
        <v/>
      </c>
      <c r="AI1165">
        <f>IF($B1165="","",IF($V1165="Yes",1,0))</f>
        <v/>
      </c>
      <c r="AJ1165">
        <f>IF($AF1165=1,IFERROR(IF(VALUE($B1165)&lt;100000000,VALUE($B1165),1000000000),IFERROR(IF(VALUE(MID($B1165,2,20))&lt;100000000,VALUE(MID($B1165,2,20)),1000000000),1000000000))+ROW()/100000,"")</f>
        <v/>
      </c>
    </row>
    <row r="1166">
      <c r="C1166" s="11" t="n"/>
      <c r="J1166" s="7">
        <f>IF($B1166="","",I1166*Q1166/100)</f>
        <v/>
      </c>
      <c r="P1166" s="7" t="n"/>
      <c r="Q1166" s="7" t="n"/>
      <c r="R1166" s="7">
        <f>IF($B1166="","",Q1166*W1166/100)</f>
        <v/>
      </c>
      <c r="S1166" s="7">
        <f>IF($B1166="","",Q1166-R1166)</f>
        <v/>
      </c>
      <c r="T1166" s="7">
        <f>IF($B1166="","",S1166-J1166)</f>
        <v/>
      </c>
      <c r="W1166">
        <f>IF($B1166="","",IF($AI1166=1,0,IF($AH1166=1,Settings!$C$6,Settings!$C$7))*100)</f>
        <v/>
      </c>
      <c r="AA1166" s="7" t="n"/>
      <c r="AD1166" s="11" t="n"/>
      <c r="AF1166">
        <f>IF($B1166="","",IF(COUNTIF($B$2:$B1166,$B1166)=1,1,0))</f>
        <v/>
      </c>
      <c r="AG1166">
        <f>IF($AF1166=1,SUMPRODUCT(--($AJ$2:$AJ$1501&lt;$AJ1166))+1,"")</f>
        <v/>
      </c>
      <c r="AH1166">
        <f>IF($B1166="","",IF(OR($M1166=TRUE(),$M1166="TRUE"),1,0))</f>
        <v/>
      </c>
      <c r="AI1166">
        <f>IF($B1166="","",IF($V1166="Yes",1,0))</f>
        <v/>
      </c>
      <c r="AJ1166">
        <f>IF($AF1166=1,IFERROR(IF(VALUE($B1166)&lt;100000000,VALUE($B1166),1000000000),IFERROR(IF(VALUE(MID($B1166,2,20))&lt;100000000,VALUE(MID($B1166,2,20)),1000000000),1000000000))+ROW()/100000,"")</f>
        <v/>
      </c>
    </row>
    <row r="1167">
      <c r="C1167" s="11" t="n"/>
      <c r="J1167" s="7">
        <f>IF($B1167="","",I1167*Q1167/100)</f>
        <v/>
      </c>
      <c r="P1167" s="7" t="n"/>
      <c r="Q1167" s="7" t="n"/>
      <c r="R1167" s="7">
        <f>IF($B1167="","",Q1167*W1167/100)</f>
        <v/>
      </c>
      <c r="S1167" s="7">
        <f>IF($B1167="","",Q1167-R1167)</f>
        <v/>
      </c>
      <c r="T1167" s="7">
        <f>IF($B1167="","",S1167-J1167)</f>
        <v/>
      </c>
      <c r="W1167">
        <f>IF($B1167="","",IF($AI1167=1,0,IF($AH1167=1,Settings!$C$6,Settings!$C$7))*100)</f>
        <v/>
      </c>
      <c r="AA1167" s="7" t="n"/>
      <c r="AD1167" s="11" t="n"/>
      <c r="AF1167">
        <f>IF($B1167="","",IF(COUNTIF($B$2:$B1167,$B1167)=1,1,0))</f>
        <v/>
      </c>
      <c r="AG1167">
        <f>IF($AF1167=1,SUMPRODUCT(--($AJ$2:$AJ$1501&lt;$AJ1167))+1,"")</f>
        <v/>
      </c>
      <c r="AH1167">
        <f>IF($B1167="","",IF(OR($M1167=TRUE(),$M1167="TRUE"),1,0))</f>
        <v/>
      </c>
      <c r="AI1167">
        <f>IF($B1167="","",IF($V1167="Yes",1,0))</f>
        <v/>
      </c>
      <c r="AJ1167">
        <f>IF($AF1167=1,IFERROR(IF(VALUE($B1167)&lt;100000000,VALUE($B1167),1000000000),IFERROR(IF(VALUE(MID($B1167,2,20))&lt;100000000,VALUE(MID($B1167,2,20)),1000000000),1000000000))+ROW()/100000,"")</f>
        <v/>
      </c>
    </row>
    <row r="1168">
      <c r="C1168" s="11" t="n"/>
      <c r="J1168" s="7">
        <f>IF($B1168="","",I1168*Q1168/100)</f>
        <v/>
      </c>
      <c r="P1168" s="7" t="n"/>
      <c r="Q1168" s="7" t="n"/>
      <c r="R1168" s="7">
        <f>IF($B1168="","",Q1168*W1168/100)</f>
        <v/>
      </c>
      <c r="S1168" s="7">
        <f>IF($B1168="","",Q1168-R1168)</f>
        <v/>
      </c>
      <c r="T1168" s="7">
        <f>IF($B1168="","",S1168-J1168)</f>
        <v/>
      </c>
      <c r="W1168">
        <f>IF($B1168="","",IF($AI1168=1,0,IF($AH1168=1,Settings!$C$6,Settings!$C$7))*100)</f>
        <v/>
      </c>
      <c r="AA1168" s="7" t="n"/>
      <c r="AD1168" s="11" t="n"/>
      <c r="AF1168">
        <f>IF($B1168="","",IF(COUNTIF($B$2:$B1168,$B1168)=1,1,0))</f>
        <v/>
      </c>
      <c r="AG1168">
        <f>IF($AF1168=1,SUMPRODUCT(--($AJ$2:$AJ$1501&lt;$AJ1168))+1,"")</f>
        <v/>
      </c>
      <c r="AH1168">
        <f>IF($B1168="","",IF(OR($M1168=TRUE(),$M1168="TRUE"),1,0))</f>
        <v/>
      </c>
      <c r="AI1168">
        <f>IF($B1168="","",IF($V1168="Yes",1,0))</f>
        <v/>
      </c>
      <c r="AJ1168">
        <f>IF($AF1168=1,IFERROR(IF(VALUE($B1168)&lt;100000000,VALUE($B1168),1000000000),IFERROR(IF(VALUE(MID($B1168,2,20))&lt;100000000,VALUE(MID($B1168,2,20)),1000000000),1000000000))+ROW()/100000,"")</f>
        <v/>
      </c>
    </row>
    <row r="1169">
      <c r="C1169" s="11" t="n"/>
      <c r="J1169" s="7">
        <f>IF($B1169="","",I1169*Q1169/100)</f>
        <v/>
      </c>
      <c r="P1169" s="7" t="n"/>
      <c r="Q1169" s="7" t="n"/>
      <c r="R1169" s="7">
        <f>IF($B1169="","",Q1169*W1169/100)</f>
        <v/>
      </c>
      <c r="S1169" s="7">
        <f>IF($B1169="","",Q1169-R1169)</f>
        <v/>
      </c>
      <c r="T1169" s="7">
        <f>IF($B1169="","",S1169-J1169)</f>
        <v/>
      </c>
      <c r="W1169">
        <f>IF($B1169="","",IF($AI1169=1,0,IF($AH1169=1,Settings!$C$6,Settings!$C$7))*100)</f>
        <v/>
      </c>
      <c r="AA1169" s="7" t="n"/>
      <c r="AD1169" s="11" t="n"/>
      <c r="AF1169">
        <f>IF($B1169="","",IF(COUNTIF($B$2:$B1169,$B1169)=1,1,0))</f>
        <v/>
      </c>
      <c r="AG1169">
        <f>IF($AF1169=1,SUMPRODUCT(--($AJ$2:$AJ$1501&lt;$AJ1169))+1,"")</f>
        <v/>
      </c>
      <c r="AH1169">
        <f>IF($B1169="","",IF(OR($M1169=TRUE(),$M1169="TRUE"),1,0))</f>
        <v/>
      </c>
      <c r="AI1169">
        <f>IF($B1169="","",IF($V1169="Yes",1,0))</f>
        <v/>
      </c>
      <c r="AJ1169">
        <f>IF($AF1169=1,IFERROR(IF(VALUE($B1169)&lt;100000000,VALUE($B1169),1000000000),IFERROR(IF(VALUE(MID($B1169,2,20))&lt;100000000,VALUE(MID($B1169,2,20)),1000000000),1000000000))+ROW()/100000,"")</f>
        <v/>
      </c>
    </row>
    <row r="1170">
      <c r="C1170" s="11" t="n"/>
      <c r="J1170" s="7">
        <f>IF($B1170="","",I1170*Q1170/100)</f>
        <v/>
      </c>
      <c r="P1170" s="7" t="n"/>
      <c r="Q1170" s="7" t="n"/>
      <c r="R1170" s="7">
        <f>IF($B1170="","",Q1170*W1170/100)</f>
        <v/>
      </c>
      <c r="S1170" s="7">
        <f>IF($B1170="","",Q1170-R1170)</f>
        <v/>
      </c>
      <c r="T1170" s="7">
        <f>IF($B1170="","",S1170-J1170)</f>
        <v/>
      </c>
      <c r="W1170">
        <f>IF($B1170="","",IF($AI1170=1,0,IF($AH1170=1,Settings!$C$6,Settings!$C$7))*100)</f>
        <v/>
      </c>
      <c r="AA1170" s="7" t="n"/>
      <c r="AD1170" s="11" t="n"/>
      <c r="AF1170">
        <f>IF($B1170="","",IF(COUNTIF($B$2:$B1170,$B1170)=1,1,0))</f>
        <v/>
      </c>
      <c r="AG1170">
        <f>IF($AF1170=1,SUMPRODUCT(--($AJ$2:$AJ$1501&lt;$AJ1170))+1,"")</f>
        <v/>
      </c>
      <c r="AH1170">
        <f>IF($B1170="","",IF(OR($M1170=TRUE(),$M1170="TRUE"),1,0))</f>
        <v/>
      </c>
      <c r="AI1170">
        <f>IF($B1170="","",IF($V1170="Yes",1,0))</f>
        <v/>
      </c>
      <c r="AJ1170">
        <f>IF($AF1170=1,IFERROR(IF(VALUE($B1170)&lt;100000000,VALUE($B1170),1000000000),IFERROR(IF(VALUE(MID($B1170,2,20))&lt;100000000,VALUE(MID($B1170,2,20)),1000000000),1000000000))+ROW()/100000,"")</f>
        <v/>
      </c>
    </row>
    <row r="1171">
      <c r="C1171" s="11" t="n"/>
      <c r="J1171" s="7">
        <f>IF($B1171="","",I1171*Q1171/100)</f>
        <v/>
      </c>
      <c r="P1171" s="7" t="n"/>
      <c r="Q1171" s="7" t="n"/>
      <c r="R1171" s="7">
        <f>IF($B1171="","",Q1171*W1171/100)</f>
        <v/>
      </c>
      <c r="S1171" s="7">
        <f>IF($B1171="","",Q1171-R1171)</f>
        <v/>
      </c>
      <c r="T1171" s="7">
        <f>IF($B1171="","",S1171-J1171)</f>
        <v/>
      </c>
      <c r="W1171">
        <f>IF($B1171="","",IF($AI1171=1,0,IF($AH1171=1,Settings!$C$6,Settings!$C$7))*100)</f>
        <v/>
      </c>
      <c r="AA1171" s="7" t="n"/>
      <c r="AD1171" s="11" t="n"/>
      <c r="AF1171">
        <f>IF($B1171="","",IF(COUNTIF($B$2:$B1171,$B1171)=1,1,0))</f>
        <v/>
      </c>
      <c r="AG1171">
        <f>IF($AF1171=1,SUMPRODUCT(--($AJ$2:$AJ$1501&lt;$AJ1171))+1,"")</f>
        <v/>
      </c>
      <c r="AH1171">
        <f>IF($B1171="","",IF(OR($M1171=TRUE(),$M1171="TRUE"),1,0))</f>
        <v/>
      </c>
      <c r="AI1171">
        <f>IF($B1171="","",IF($V1171="Yes",1,0))</f>
        <v/>
      </c>
      <c r="AJ1171">
        <f>IF($AF1171=1,IFERROR(IF(VALUE($B1171)&lt;100000000,VALUE($B1171),1000000000),IFERROR(IF(VALUE(MID($B1171,2,20))&lt;100000000,VALUE(MID($B1171,2,20)),1000000000),1000000000))+ROW()/100000,"")</f>
        <v/>
      </c>
    </row>
    <row r="1172">
      <c r="C1172" s="11" t="n"/>
      <c r="J1172" s="7">
        <f>IF($B1172="","",I1172*Q1172/100)</f>
        <v/>
      </c>
      <c r="P1172" s="7" t="n"/>
      <c r="Q1172" s="7" t="n"/>
      <c r="R1172" s="7">
        <f>IF($B1172="","",Q1172*W1172/100)</f>
        <v/>
      </c>
      <c r="S1172" s="7">
        <f>IF($B1172="","",Q1172-R1172)</f>
        <v/>
      </c>
      <c r="T1172" s="7">
        <f>IF($B1172="","",S1172-J1172)</f>
        <v/>
      </c>
      <c r="W1172">
        <f>IF($B1172="","",IF($AI1172=1,0,IF($AH1172=1,Settings!$C$6,Settings!$C$7))*100)</f>
        <v/>
      </c>
      <c r="AA1172" s="7" t="n"/>
      <c r="AD1172" s="11" t="n"/>
      <c r="AF1172">
        <f>IF($B1172="","",IF(COUNTIF($B$2:$B1172,$B1172)=1,1,0))</f>
        <v/>
      </c>
      <c r="AG1172">
        <f>IF($AF1172=1,SUMPRODUCT(--($AJ$2:$AJ$1501&lt;$AJ1172))+1,"")</f>
        <v/>
      </c>
      <c r="AH1172">
        <f>IF($B1172="","",IF(OR($M1172=TRUE(),$M1172="TRUE"),1,0))</f>
        <v/>
      </c>
      <c r="AI1172">
        <f>IF($B1172="","",IF($V1172="Yes",1,0))</f>
        <v/>
      </c>
      <c r="AJ1172">
        <f>IF($AF1172=1,IFERROR(IF(VALUE($B1172)&lt;100000000,VALUE($B1172),1000000000),IFERROR(IF(VALUE(MID($B1172,2,20))&lt;100000000,VALUE(MID($B1172,2,20)),1000000000),1000000000))+ROW()/100000,"")</f>
        <v/>
      </c>
    </row>
    <row r="1173">
      <c r="C1173" s="11" t="n"/>
      <c r="J1173" s="7">
        <f>IF($B1173="","",I1173*Q1173/100)</f>
        <v/>
      </c>
      <c r="P1173" s="7" t="n"/>
      <c r="Q1173" s="7" t="n"/>
      <c r="R1173" s="7">
        <f>IF($B1173="","",Q1173*W1173/100)</f>
        <v/>
      </c>
      <c r="S1173" s="7">
        <f>IF($B1173="","",Q1173-R1173)</f>
        <v/>
      </c>
      <c r="T1173" s="7">
        <f>IF($B1173="","",S1173-J1173)</f>
        <v/>
      </c>
      <c r="W1173">
        <f>IF($B1173="","",IF($AI1173=1,0,IF($AH1173=1,Settings!$C$6,Settings!$C$7))*100)</f>
        <v/>
      </c>
      <c r="AA1173" s="7" t="n"/>
      <c r="AD1173" s="11" t="n"/>
      <c r="AF1173">
        <f>IF($B1173="","",IF(COUNTIF($B$2:$B1173,$B1173)=1,1,0))</f>
        <v/>
      </c>
      <c r="AG1173">
        <f>IF($AF1173=1,SUMPRODUCT(--($AJ$2:$AJ$1501&lt;$AJ1173))+1,"")</f>
        <v/>
      </c>
      <c r="AH1173">
        <f>IF($B1173="","",IF(OR($M1173=TRUE(),$M1173="TRUE"),1,0))</f>
        <v/>
      </c>
      <c r="AI1173">
        <f>IF($B1173="","",IF($V1173="Yes",1,0))</f>
        <v/>
      </c>
      <c r="AJ1173">
        <f>IF($AF1173=1,IFERROR(IF(VALUE($B1173)&lt;100000000,VALUE($B1173),1000000000),IFERROR(IF(VALUE(MID($B1173,2,20))&lt;100000000,VALUE(MID($B1173,2,20)),1000000000),1000000000))+ROW()/100000,"")</f>
        <v/>
      </c>
    </row>
    <row r="1174">
      <c r="C1174" s="11" t="n"/>
      <c r="J1174" s="7">
        <f>IF($B1174="","",I1174*Q1174/100)</f>
        <v/>
      </c>
      <c r="P1174" s="7" t="n"/>
      <c r="Q1174" s="7" t="n"/>
      <c r="R1174" s="7">
        <f>IF($B1174="","",Q1174*W1174/100)</f>
        <v/>
      </c>
      <c r="S1174" s="7">
        <f>IF($B1174="","",Q1174-R1174)</f>
        <v/>
      </c>
      <c r="T1174" s="7">
        <f>IF($B1174="","",S1174-J1174)</f>
        <v/>
      </c>
      <c r="W1174">
        <f>IF($B1174="","",IF($AI1174=1,0,IF($AH1174=1,Settings!$C$6,Settings!$C$7))*100)</f>
        <v/>
      </c>
      <c r="AA1174" s="7" t="n"/>
      <c r="AD1174" s="11" t="n"/>
      <c r="AF1174">
        <f>IF($B1174="","",IF(COUNTIF($B$2:$B1174,$B1174)=1,1,0))</f>
        <v/>
      </c>
      <c r="AG1174">
        <f>IF($AF1174=1,SUMPRODUCT(--($AJ$2:$AJ$1501&lt;$AJ1174))+1,"")</f>
        <v/>
      </c>
      <c r="AH1174">
        <f>IF($B1174="","",IF(OR($M1174=TRUE(),$M1174="TRUE"),1,0))</f>
        <v/>
      </c>
      <c r="AI1174">
        <f>IF($B1174="","",IF($V1174="Yes",1,0))</f>
        <v/>
      </c>
      <c r="AJ1174">
        <f>IF($AF1174=1,IFERROR(IF(VALUE($B1174)&lt;100000000,VALUE($B1174),1000000000),IFERROR(IF(VALUE(MID($B1174,2,20))&lt;100000000,VALUE(MID($B1174,2,20)),1000000000),1000000000))+ROW()/100000,"")</f>
        <v/>
      </c>
    </row>
    <row r="1175">
      <c r="C1175" s="11" t="n"/>
      <c r="J1175" s="7">
        <f>IF($B1175="","",I1175*Q1175/100)</f>
        <v/>
      </c>
      <c r="P1175" s="7" t="n"/>
      <c r="Q1175" s="7" t="n"/>
      <c r="R1175" s="7">
        <f>IF($B1175="","",Q1175*W1175/100)</f>
        <v/>
      </c>
      <c r="S1175" s="7">
        <f>IF($B1175="","",Q1175-R1175)</f>
        <v/>
      </c>
      <c r="T1175" s="7">
        <f>IF($B1175="","",S1175-J1175)</f>
        <v/>
      </c>
      <c r="W1175">
        <f>IF($B1175="","",IF($AI1175=1,0,IF($AH1175=1,Settings!$C$6,Settings!$C$7))*100)</f>
        <v/>
      </c>
      <c r="AA1175" s="7" t="n"/>
      <c r="AD1175" s="11" t="n"/>
      <c r="AF1175">
        <f>IF($B1175="","",IF(COUNTIF($B$2:$B1175,$B1175)=1,1,0))</f>
        <v/>
      </c>
      <c r="AG1175">
        <f>IF($AF1175=1,SUMPRODUCT(--($AJ$2:$AJ$1501&lt;$AJ1175))+1,"")</f>
        <v/>
      </c>
      <c r="AH1175">
        <f>IF($B1175="","",IF(OR($M1175=TRUE(),$M1175="TRUE"),1,0))</f>
        <v/>
      </c>
      <c r="AI1175">
        <f>IF($B1175="","",IF($V1175="Yes",1,0))</f>
        <v/>
      </c>
      <c r="AJ1175">
        <f>IF($AF1175=1,IFERROR(IF(VALUE($B1175)&lt;100000000,VALUE($B1175),1000000000),IFERROR(IF(VALUE(MID($B1175,2,20))&lt;100000000,VALUE(MID($B1175,2,20)),1000000000),1000000000))+ROW()/100000,"")</f>
        <v/>
      </c>
    </row>
    <row r="1176">
      <c r="C1176" s="11" t="n"/>
      <c r="J1176" s="7">
        <f>IF($B1176="","",I1176*Q1176/100)</f>
        <v/>
      </c>
      <c r="P1176" s="7" t="n"/>
      <c r="Q1176" s="7" t="n"/>
      <c r="R1176" s="7">
        <f>IF($B1176="","",Q1176*W1176/100)</f>
        <v/>
      </c>
      <c r="S1176" s="7">
        <f>IF($B1176="","",Q1176-R1176)</f>
        <v/>
      </c>
      <c r="T1176" s="7">
        <f>IF($B1176="","",S1176-J1176)</f>
        <v/>
      </c>
      <c r="W1176">
        <f>IF($B1176="","",IF($AI1176=1,0,IF($AH1176=1,Settings!$C$6,Settings!$C$7))*100)</f>
        <v/>
      </c>
      <c r="AA1176" s="7" t="n"/>
      <c r="AD1176" s="11" t="n"/>
      <c r="AF1176">
        <f>IF($B1176="","",IF(COUNTIF($B$2:$B1176,$B1176)=1,1,0))</f>
        <v/>
      </c>
      <c r="AG1176">
        <f>IF($AF1176=1,SUMPRODUCT(--($AJ$2:$AJ$1501&lt;$AJ1176))+1,"")</f>
        <v/>
      </c>
      <c r="AH1176">
        <f>IF($B1176="","",IF(OR($M1176=TRUE(),$M1176="TRUE"),1,0))</f>
        <v/>
      </c>
      <c r="AI1176">
        <f>IF($B1176="","",IF($V1176="Yes",1,0))</f>
        <v/>
      </c>
      <c r="AJ1176">
        <f>IF($AF1176=1,IFERROR(IF(VALUE($B1176)&lt;100000000,VALUE($B1176),1000000000),IFERROR(IF(VALUE(MID($B1176,2,20))&lt;100000000,VALUE(MID($B1176,2,20)),1000000000),1000000000))+ROW()/100000,"")</f>
        <v/>
      </c>
    </row>
    <row r="1177">
      <c r="C1177" s="11" t="n"/>
      <c r="J1177" s="7">
        <f>IF($B1177="","",I1177*Q1177/100)</f>
        <v/>
      </c>
      <c r="P1177" s="7" t="n"/>
      <c r="Q1177" s="7" t="n"/>
      <c r="R1177" s="7">
        <f>IF($B1177="","",Q1177*W1177/100)</f>
        <v/>
      </c>
      <c r="S1177" s="7">
        <f>IF($B1177="","",Q1177-R1177)</f>
        <v/>
      </c>
      <c r="T1177" s="7">
        <f>IF($B1177="","",S1177-J1177)</f>
        <v/>
      </c>
      <c r="W1177">
        <f>IF($B1177="","",IF($AI1177=1,0,IF($AH1177=1,Settings!$C$6,Settings!$C$7))*100)</f>
        <v/>
      </c>
      <c r="AA1177" s="7" t="n"/>
      <c r="AD1177" s="11" t="n"/>
      <c r="AF1177">
        <f>IF($B1177="","",IF(COUNTIF($B$2:$B1177,$B1177)=1,1,0))</f>
        <v/>
      </c>
      <c r="AG1177">
        <f>IF($AF1177=1,SUMPRODUCT(--($AJ$2:$AJ$1501&lt;$AJ1177))+1,"")</f>
        <v/>
      </c>
      <c r="AH1177">
        <f>IF($B1177="","",IF(OR($M1177=TRUE(),$M1177="TRUE"),1,0))</f>
        <v/>
      </c>
      <c r="AI1177">
        <f>IF($B1177="","",IF($V1177="Yes",1,0))</f>
        <v/>
      </c>
      <c r="AJ1177">
        <f>IF($AF1177=1,IFERROR(IF(VALUE($B1177)&lt;100000000,VALUE($B1177),1000000000),IFERROR(IF(VALUE(MID($B1177,2,20))&lt;100000000,VALUE(MID($B1177,2,20)),1000000000),1000000000))+ROW()/100000,"")</f>
        <v/>
      </c>
    </row>
    <row r="1178">
      <c r="C1178" s="11" t="n"/>
      <c r="J1178" s="7">
        <f>IF($B1178="","",I1178*Q1178/100)</f>
        <v/>
      </c>
      <c r="P1178" s="7" t="n"/>
      <c r="Q1178" s="7" t="n"/>
      <c r="R1178" s="7">
        <f>IF($B1178="","",Q1178*W1178/100)</f>
        <v/>
      </c>
      <c r="S1178" s="7">
        <f>IF($B1178="","",Q1178-R1178)</f>
        <v/>
      </c>
      <c r="T1178" s="7">
        <f>IF($B1178="","",S1178-J1178)</f>
        <v/>
      </c>
      <c r="W1178">
        <f>IF($B1178="","",IF($AI1178=1,0,IF($AH1178=1,Settings!$C$6,Settings!$C$7))*100)</f>
        <v/>
      </c>
      <c r="AA1178" s="7" t="n"/>
      <c r="AD1178" s="11" t="n"/>
      <c r="AF1178">
        <f>IF($B1178="","",IF(COUNTIF($B$2:$B1178,$B1178)=1,1,0))</f>
        <v/>
      </c>
      <c r="AG1178">
        <f>IF($AF1178=1,SUMPRODUCT(--($AJ$2:$AJ$1501&lt;$AJ1178))+1,"")</f>
        <v/>
      </c>
      <c r="AH1178">
        <f>IF($B1178="","",IF(OR($M1178=TRUE(),$M1178="TRUE"),1,0))</f>
        <v/>
      </c>
      <c r="AI1178">
        <f>IF($B1178="","",IF($V1178="Yes",1,0))</f>
        <v/>
      </c>
      <c r="AJ1178">
        <f>IF($AF1178=1,IFERROR(IF(VALUE($B1178)&lt;100000000,VALUE($B1178),1000000000),IFERROR(IF(VALUE(MID($B1178,2,20))&lt;100000000,VALUE(MID($B1178,2,20)),1000000000),1000000000))+ROW()/100000,"")</f>
        <v/>
      </c>
    </row>
    <row r="1179">
      <c r="C1179" s="11" t="n"/>
      <c r="J1179" s="7">
        <f>IF($B1179="","",I1179*Q1179/100)</f>
        <v/>
      </c>
      <c r="P1179" s="7" t="n"/>
      <c r="Q1179" s="7" t="n"/>
      <c r="R1179" s="7">
        <f>IF($B1179="","",Q1179*W1179/100)</f>
        <v/>
      </c>
      <c r="S1179" s="7">
        <f>IF($B1179="","",Q1179-R1179)</f>
        <v/>
      </c>
      <c r="T1179" s="7">
        <f>IF($B1179="","",S1179-J1179)</f>
        <v/>
      </c>
      <c r="W1179">
        <f>IF($B1179="","",IF($AI1179=1,0,IF($AH1179=1,Settings!$C$6,Settings!$C$7))*100)</f>
        <v/>
      </c>
      <c r="AA1179" s="7" t="n"/>
      <c r="AD1179" s="11" t="n"/>
      <c r="AF1179">
        <f>IF($B1179="","",IF(COUNTIF($B$2:$B1179,$B1179)=1,1,0))</f>
        <v/>
      </c>
      <c r="AG1179">
        <f>IF($AF1179=1,SUMPRODUCT(--($AJ$2:$AJ$1501&lt;$AJ1179))+1,"")</f>
        <v/>
      </c>
      <c r="AH1179">
        <f>IF($B1179="","",IF(OR($M1179=TRUE(),$M1179="TRUE"),1,0))</f>
        <v/>
      </c>
      <c r="AI1179">
        <f>IF($B1179="","",IF($V1179="Yes",1,0))</f>
        <v/>
      </c>
      <c r="AJ1179">
        <f>IF($AF1179=1,IFERROR(IF(VALUE($B1179)&lt;100000000,VALUE($B1179),1000000000),IFERROR(IF(VALUE(MID($B1179,2,20))&lt;100000000,VALUE(MID($B1179,2,20)),1000000000),1000000000))+ROW()/100000,"")</f>
        <v/>
      </c>
    </row>
    <row r="1180">
      <c r="C1180" s="11" t="n"/>
      <c r="J1180" s="7">
        <f>IF($B1180="","",I1180*Q1180/100)</f>
        <v/>
      </c>
      <c r="P1180" s="7" t="n"/>
      <c r="Q1180" s="7" t="n"/>
      <c r="R1180" s="7">
        <f>IF($B1180="","",Q1180*W1180/100)</f>
        <v/>
      </c>
      <c r="S1180" s="7">
        <f>IF($B1180="","",Q1180-R1180)</f>
        <v/>
      </c>
      <c r="T1180" s="7">
        <f>IF($B1180="","",S1180-J1180)</f>
        <v/>
      </c>
      <c r="W1180">
        <f>IF($B1180="","",IF($AI1180=1,0,IF($AH1180=1,Settings!$C$6,Settings!$C$7))*100)</f>
        <v/>
      </c>
      <c r="AA1180" s="7" t="n"/>
      <c r="AD1180" s="11" t="n"/>
      <c r="AF1180">
        <f>IF($B1180="","",IF(COUNTIF($B$2:$B1180,$B1180)=1,1,0))</f>
        <v/>
      </c>
      <c r="AG1180">
        <f>IF($AF1180=1,SUMPRODUCT(--($AJ$2:$AJ$1501&lt;$AJ1180))+1,"")</f>
        <v/>
      </c>
      <c r="AH1180">
        <f>IF($B1180="","",IF(OR($M1180=TRUE(),$M1180="TRUE"),1,0))</f>
        <v/>
      </c>
      <c r="AI1180">
        <f>IF($B1180="","",IF($V1180="Yes",1,0))</f>
        <v/>
      </c>
      <c r="AJ1180">
        <f>IF($AF1180=1,IFERROR(IF(VALUE($B1180)&lt;100000000,VALUE($B1180),1000000000),IFERROR(IF(VALUE(MID($B1180,2,20))&lt;100000000,VALUE(MID($B1180,2,20)),1000000000),1000000000))+ROW()/100000,"")</f>
        <v/>
      </c>
    </row>
    <row r="1181">
      <c r="C1181" s="11" t="n"/>
      <c r="J1181" s="7">
        <f>IF($B1181="","",I1181*Q1181/100)</f>
        <v/>
      </c>
      <c r="P1181" s="7" t="n"/>
      <c r="Q1181" s="7" t="n"/>
      <c r="R1181" s="7">
        <f>IF($B1181="","",Q1181*W1181/100)</f>
        <v/>
      </c>
      <c r="S1181" s="7">
        <f>IF($B1181="","",Q1181-R1181)</f>
        <v/>
      </c>
      <c r="T1181" s="7">
        <f>IF($B1181="","",S1181-J1181)</f>
        <v/>
      </c>
      <c r="W1181">
        <f>IF($B1181="","",IF($AI1181=1,0,IF($AH1181=1,Settings!$C$6,Settings!$C$7))*100)</f>
        <v/>
      </c>
      <c r="AA1181" s="7" t="n"/>
      <c r="AD1181" s="11" t="n"/>
      <c r="AF1181">
        <f>IF($B1181="","",IF(COUNTIF($B$2:$B1181,$B1181)=1,1,0))</f>
        <v/>
      </c>
      <c r="AG1181">
        <f>IF($AF1181=1,SUMPRODUCT(--($AJ$2:$AJ$1501&lt;$AJ1181))+1,"")</f>
        <v/>
      </c>
      <c r="AH1181">
        <f>IF($B1181="","",IF(OR($M1181=TRUE(),$M1181="TRUE"),1,0))</f>
        <v/>
      </c>
      <c r="AI1181">
        <f>IF($B1181="","",IF($V1181="Yes",1,0))</f>
        <v/>
      </c>
      <c r="AJ1181">
        <f>IF($AF1181=1,IFERROR(IF(VALUE($B1181)&lt;100000000,VALUE($B1181),1000000000),IFERROR(IF(VALUE(MID($B1181,2,20))&lt;100000000,VALUE(MID($B1181,2,20)),1000000000),1000000000))+ROW()/100000,"")</f>
        <v/>
      </c>
    </row>
    <row r="1182">
      <c r="C1182" s="11" t="n"/>
      <c r="J1182" s="7">
        <f>IF($B1182="","",I1182*Q1182/100)</f>
        <v/>
      </c>
      <c r="P1182" s="7" t="n"/>
      <c r="Q1182" s="7" t="n"/>
      <c r="R1182" s="7">
        <f>IF($B1182="","",Q1182*W1182/100)</f>
        <v/>
      </c>
      <c r="S1182" s="7">
        <f>IF($B1182="","",Q1182-R1182)</f>
        <v/>
      </c>
      <c r="T1182" s="7">
        <f>IF($B1182="","",S1182-J1182)</f>
        <v/>
      </c>
      <c r="W1182">
        <f>IF($B1182="","",IF($AI1182=1,0,IF($AH1182=1,Settings!$C$6,Settings!$C$7))*100)</f>
        <v/>
      </c>
      <c r="AA1182" s="7" t="n"/>
      <c r="AD1182" s="11" t="n"/>
      <c r="AF1182">
        <f>IF($B1182="","",IF(COUNTIF($B$2:$B1182,$B1182)=1,1,0))</f>
        <v/>
      </c>
      <c r="AG1182">
        <f>IF($AF1182=1,SUMPRODUCT(--($AJ$2:$AJ$1501&lt;$AJ1182))+1,"")</f>
        <v/>
      </c>
      <c r="AH1182">
        <f>IF($B1182="","",IF(OR($M1182=TRUE(),$M1182="TRUE"),1,0))</f>
        <v/>
      </c>
      <c r="AI1182">
        <f>IF($B1182="","",IF($V1182="Yes",1,0))</f>
        <v/>
      </c>
      <c r="AJ1182">
        <f>IF($AF1182=1,IFERROR(IF(VALUE($B1182)&lt;100000000,VALUE($B1182),1000000000),IFERROR(IF(VALUE(MID($B1182,2,20))&lt;100000000,VALUE(MID($B1182,2,20)),1000000000),1000000000))+ROW()/100000,"")</f>
        <v/>
      </c>
    </row>
    <row r="1183">
      <c r="C1183" s="11" t="n"/>
      <c r="J1183" s="7">
        <f>IF($B1183="","",I1183*Q1183/100)</f>
        <v/>
      </c>
      <c r="P1183" s="7" t="n"/>
      <c r="Q1183" s="7" t="n"/>
      <c r="R1183" s="7">
        <f>IF($B1183="","",Q1183*W1183/100)</f>
        <v/>
      </c>
      <c r="S1183" s="7">
        <f>IF($B1183="","",Q1183-R1183)</f>
        <v/>
      </c>
      <c r="T1183" s="7">
        <f>IF($B1183="","",S1183-J1183)</f>
        <v/>
      </c>
      <c r="W1183">
        <f>IF($B1183="","",IF($AI1183=1,0,IF($AH1183=1,Settings!$C$6,Settings!$C$7))*100)</f>
        <v/>
      </c>
      <c r="AA1183" s="7" t="n"/>
      <c r="AD1183" s="11" t="n"/>
      <c r="AF1183">
        <f>IF($B1183="","",IF(COUNTIF($B$2:$B1183,$B1183)=1,1,0))</f>
        <v/>
      </c>
      <c r="AG1183">
        <f>IF($AF1183=1,SUMPRODUCT(--($AJ$2:$AJ$1501&lt;$AJ1183))+1,"")</f>
        <v/>
      </c>
      <c r="AH1183">
        <f>IF($B1183="","",IF(OR($M1183=TRUE(),$M1183="TRUE"),1,0))</f>
        <v/>
      </c>
      <c r="AI1183">
        <f>IF($B1183="","",IF($V1183="Yes",1,0))</f>
        <v/>
      </c>
      <c r="AJ1183">
        <f>IF($AF1183=1,IFERROR(IF(VALUE($B1183)&lt;100000000,VALUE($B1183),1000000000),IFERROR(IF(VALUE(MID($B1183,2,20))&lt;100000000,VALUE(MID($B1183,2,20)),1000000000),1000000000))+ROW()/100000,"")</f>
        <v/>
      </c>
    </row>
    <row r="1184">
      <c r="C1184" s="11" t="n"/>
      <c r="J1184" s="7">
        <f>IF($B1184="","",I1184*Q1184/100)</f>
        <v/>
      </c>
      <c r="P1184" s="7" t="n"/>
      <c r="Q1184" s="7" t="n"/>
      <c r="R1184" s="7">
        <f>IF($B1184="","",Q1184*W1184/100)</f>
        <v/>
      </c>
      <c r="S1184" s="7">
        <f>IF($B1184="","",Q1184-R1184)</f>
        <v/>
      </c>
      <c r="T1184" s="7">
        <f>IF($B1184="","",S1184-J1184)</f>
        <v/>
      </c>
      <c r="W1184">
        <f>IF($B1184="","",IF($AI1184=1,0,IF($AH1184=1,Settings!$C$6,Settings!$C$7))*100)</f>
        <v/>
      </c>
      <c r="AA1184" s="7" t="n"/>
      <c r="AD1184" s="11" t="n"/>
      <c r="AF1184">
        <f>IF($B1184="","",IF(COUNTIF($B$2:$B1184,$B1184)=1,1,0))</f>
        <v/>
      </c>
      <c r="AG1184">
        <f>IF($AF1184=1,SUMPRODUCT(--($AJ$2:$AJ$1501&lt;$AJ1184))+1,"")</f>
        <v/>
      </c>
      <c r="AH1184">
        <f>IF($B1184="","",IF(OR($M1184=TRUE(),$M1184="TRUE"),1,0))</f>
        <v/>
      </c>
      <c r="AI1184">
        <f>IF($B1184="","",IF($V1184="Yes",1,0))</f>
        <v/>
      </c>
      <c r="AJ1184">
        <f>IF($AF1184=1,IFERROR(IF(VALUE($B1184)&lt;100000000,VALUE($B1184),1000000000),IFERROR(IF(VALUE(MID($B1184,2,20))&lt;100000000,VALUE(MID($B1184,2,20)),1000000000),1000000000))+ROW()/100000,"")</f>
        <v/>
      </c>
    </row>
    <row r="1185">
      <c r="C1185" s="11" t="n"/>
      <c r="J1185" s="7">
        <f>IF($B1185="","",I1185*Q1185/100)</f>
        <v/>
      </c>
      <c r="P1185" s="7" t="n"/>
      <c r="Q1185" s="7" t="n"/>
      <c r="R1185" s="7">
        <f>IF($B1185="","",Q1185*W1185/100)</f>
        <v/>
      </c>
      <c r="S1185" s="7">
        <f>IF($B1185="","",Q1185-R1185)</f>
        <v/>
      </c>
      <c r="T1185" s="7">
        <f>IF($B1185="","",S1185-J1185)</f>
        <v/>
      </c>
      <c r="W1185">
        <f>IF($B1185="","",IF($AI1185=1,0,IF($AH1185=1,Settings!$C$6,Settings!$C$7))*100)</f>
        <v/>
      </c>
      <c r="AA1185" s="7" t="n"/>
      <c r="AD1185" s="11" t="n"/>
      <c r="AF1185">
        <f>IF($B1185="","",IF(COUNTIF($B$2:$B1185,$B1185)=1,1,0))</f>
        <v/>
      </c>
      <c r="AG1185">
        <f>IF($AF1185=1,SUMPRODUCT(--($AJ$2:$AJ$1501&lt;$AJ1185))+1,"")</f>
        <v/>
      </c>
      <c r="AH1185">
        <f>IF($B1185="","",IF(OR($M1185=TRUE(),$M1185="TRUE"),1,0))</f>
        <v/>
      </c>
      <c r="AI1185">
        <f>IF($B1185="","",IF($V1185="Yes",1,0))</f>
        <v/>
      </c>
      <c r="AJ1185">
        <f>IF($AF1185=1,IFERROR(IF(VALUE($B1185)&lt;100000000,VALUE($B1185),1000000000),IFERROR(IF(VALUE(MID($B1185,2,20))&lt;100000000,VALUE(MID($B1185,2,20)),1000000000),1000000000))+ROW()/100000,"")</f>
        <v/>
      </c>
    </row>
    <row r="1186">
      <c r="C1186" s="11" t="n"/>
      <c r="J1186" s="7">
        <f>IF($B1186="","",I1186*Q1186/100)</f>
        <v/>
      </c>
      <c r="P1186" s="7" t="n"/>
      <c r="Q1186" s="7" t="n"/>
      <c r="R1186" s="7">
        <f>IF($B1186="","",Q1186*W1186/100)</f>
        <v/>
      </c>
      <c r="S1186" s="7">
        <f>IF($B1186="","",Q1186-R1186)</f>
        <v/>
      </c>
      <c r="T1186" s="7">
        <f>IF($B1186="","",S1186-J1186)</f>
        <v/>
      </c>
      <c r="W1186">
        <f>IF($B1186="","",IF($AI1186=1,0,IF($AH1186=1,Settings!$C$6,Settings!$C$7))*100)</f>
        <v/>
      </c>
      <c r="AA1186" s="7" t="n"/>
      <c r="AD1186" s="11" t="n"/>
      <c r="AF1186">
        <f>IF($B1186="","",IF(COUNTIF($B$2:$B1186,$B1186)=1,1,0))</f>
        <v/>
      </c>
      <c r="AG1186">
        <f>IF($AF1186=1,SUMPRODUCT(--($AJ$2:$AJ$1501&lt;$AJ1186))+1,"")</f>
        <v/>
      </c>
      <c r="AH1186">
        <f>IF($B1186="","",IF(OR($M1186=TRUE(),$M1186="TRUE"),1,0))</f>
        <v/>
      </c>
      <c r="AI1186">
        <f>IF($B1186="","",IF($V1186="Yes",1,0))</f>
        <v/>
      </c>
      <c r="AJ1186">
        <f>IF($AF1186=1,IFERROR(IF(VALUE($B1186)&lt;100000000,VALUE($B1186),1000000000),IFERROR(IF(VALUE(MID($B1186,2,20))&lt;100000000,VALUE(MID($B1186,2,20)),1000000000),1000000000))+ROW()/100000,"")</f>
        <v/>
      </c>
    </row>
    <row r="1187">
      <c r="C1187" s="11" t="n"/>
      <c r="J1187" s="7">
        <f>IF($B1187="","",I1187*Q1187/100)</f>
        <v/>
      </c>
      <c r="P1187" s="7" t="n"/>
      <c r="Q1187" s="7" t="n"/>
      <c r="R1187" s="7">
        <f>IF($B1187="","",Q1187*W1187/100)</f>
        <v/>
      </c>
      <c r="S1187" s="7">
        <f>IF($B1187="","",Q1187-R1187)</f>
        <v/>
      </c>
      <c r="T1187" s="7">
        <f>IF($B1187="","",S1187-J1187)</f>
        <v/>
      </c>
      <c r="W1187">
        <f>IF($B1187="","",IF($AI1187=1,0,IF($AH1187=1,Settings!$C$6,Settings!$C$7))*100)</f>
        <v/>
      </c>
      <c r="AA1187" s="7" t="n"/>
      <c r="AD1187" s="11" t="n"/>
      <c r="AF1187">
        <f>IF($B1187="","",IF(COUNTIF($B$2:$B1187,$B1187)=1,1,0))</f>
        <v/>
      </c>
      <c r="AG1187">
        <f>IF($AF1187=1,SUMPRODUCT(--($AJ$2:$AJ$1501&lt;$AJ1187))+1,"")</f>
        <v/>
      </c>
      <c r="AH1187">
        <f>IF($B1187="","",IF(OR($M1187=TRUE(),$M1187="TRUE"),1,0))</f>
        <v/>
      </c>
      <c r="AI1187">
        <f>IF($B1187="","",IF($V1187="Yes",1,0))</f>
        <v/>
      </c>
      <c r="AJ1187">
        <f>IF($AF1187=1,IFERROR(IF(VALUE($B1187)&lt;100000000,VALUE($B1187),1000000000),IFERROR(IF(VALUE(MID($B1187,2,20))&lt;100000000,VALUE(MID($B1187,2,20)),1000000000),1000000000))+ROW()/100000,"")</f>
        <v/>
      </c>
    </row>
    <row r="1188">
      <c r="C1188" s="11" t="n"/>
      <c r="J1188" s="7">
        <f>IF($B1188="","",I1188*Q1188/100)</f>
        <v/>
      </c>
      <c r="P1188" s="7" t="n"/>
      <c r="Q1188" s="7" t="n"/>
      <c r="R1188" s="7">
        <f>IF($B1188="","",Q1188*W1188/100)</f>
        <v/>
      </c>
      <c r="S1188" s="7">
        <f>IF($B1188="","",Q1188-R1188)</f>
        <v/>
      </c>
      <c r="T1188" s="7">
        <f>IF($B1188="","",S1188-J1188)</f>
        <v/>
      </c>
      <c r="W1188">
        <f>IF($B1188="","",IF($AI1188=1,0,IF($AH1188=1,Settings!$C$6,Settings!$C$7))*100)</f>
        <v/>
      </c>
      <c r="AA1188" s="7" t="n"/>
      <c r="AD1188" s="11" t="n"/>
      <c r="AF1188">
        <f>IF($B1188="","",IF(COUNTIF($B$2:$B1188,$B1188)=1,1,0))</f>
        <v/>
      </c>
      <c r="AG1188">
        <f>IF($AF1188=1,SUMPRODUCT(--($AJ$2:$AJ$1501&lt;$AJ1188))+1,"")</f>
        <v/>
      </c>
      <c r="AH1188">
        <f>IF($B1188="","",IF(OR($M1188=TRUE(),$M1188="TRUE"),1,0))</f>
        <v/>
      </c>
      <c r="AI1188">
        <f>IF($B1188="","",IF($V1188="Yes",1,0))</f>
        <v/>
      </c>
      <c r="AJ1188">
        <f>IF($AF1188=1,IFERROR(IF(VALUE($B1188)&lt;100000000,VALUE($B1188),1000000000),IFERROR(IF(VALUE(MID($B1188,2,20))&lt;100000000,VALUE(MID($B1188,2,20)),1000000000),1000000000))+ROW()/100000,"")</f>
        <v/>
      </c>
    </row>
    <row r="1189">
      <c r="C1189" s="11" t="n"/>
      <c r="J1189" s="7">
        <f>IF($B1189="","",I1189*Q1189/100)</f>
        <v/>
      </c>
      <c r="P1189" s="7" t="n"/>
      <c r="Q1189" s="7" t="n"/>
      <c r="R1189" s="7">
        <f>IF($B1189="","",Q1189*W1189/100)</f>
        <v/>
      </c>
      <c r="S1189" s="7">
        <f>IF($B1189="","",Q1189-R1189)</f>
        <v/>
      </c>
      <c r="T1189" s="7">
        <f>IF($B1189="","",S1189-J1189)</f>
        <v/>
      </c>
      <c r="W1189">
        <f>IF($B1189="","",IF($AI1189=1,0,IF($AH1189=1,Settings!$C$6,Settings!$C$7))*100)</f>
        <v/>
      </c>
      <c r="AA1189" s="7" t="n"/>
      <c r="AD1189" s="11" t="n"/>
      <c r="AF1189">
        <f>IF($B1189="","",IF(COUNTIF($B$2:$B1189,$B1189)=1,1,0))</f>
        <v/>
      </c>
      <c r="AG1189">
        <f>IF($AF1189=1,SUMPRODUCT(--($AJ$2:$AJ$1501&lt;$AJ1189))+1,"")</f>
        <v/>
      </c>
      <c r="AH1189">
        <f>IF($B1189="","",IF(OR($M1189=TRUE(),$M1189="TRUE"),1,0))</f>
        <v/>
      </c>
      <c r="AI1189">
        <f>IF($B1189="","",IF($V1189="Yes",1,0))</f>
        <v/>
      </c>
      <c r="AJ1189">
        <f>IF($AF1189=1,IFERROR(IF(VALUE($B1189)&lt;100000000,VALUE($B1189),1000000000),IFERROR(IF(VALUE(MID($B1189,2,20))&lt;100000000,VALUE(MID($B1189,2,20)),1000000000),1000000000))+ROW()/100000,"")</f>
        <v/>
      </c>
    </row>
    <row r="1190">
      <c r="C1190" s="11" t="n"/>
      <c r="J1190" s="7">
        <f>IF($B1190="","",I1190*Q1190/100)</f>
        <v/>
      </c>
      <c r="P1190" s="7" t="n"/>
      <c r="Q1190" s="7" t="n"/>
      <c r="R1190" s="7">
        <f>IF($B1190="","",Q1190*W1190/100)</f>
        <v/>
      </c>
      <c r="S1190" s="7">
        <f>IF($B1190="","",Q1190-R1190)</f>
        <v/>
      </c>
      <c r="T1190" s="7">
        <f>IF($B1190="","",S1190-J1190)</f>
        <v/>
      </c>
      <c r="W1190">
        <f>IF($B1190="","",IF($AI1190=1,0,IF($AH1190=1,Settings!$C$6,Settings!$C$7))*100)</f>
        <v/>
      </c>
      <c r="AA1190" s="7" t="n"/>
      <c r="AD1190" s="11" t="n"/>
      <c r="AF1190">
        <f>IF($B1190="","",IF(COUNTIF($B$2:$B1190,$B1190)=1,1,0))</f>
        <v/>
      </c>
      <c r="AG1190">
        <f>IF($AF1190=1,SUMPRODUCT(--($AJ$2:$AJ$1501&lt;$AJ1190))+1,"")</f>
        <v/>
      </c>
      <c r="AH1190">
        <f>IF($B1190="","",IF(OR($M1190=TRUE(),$M1190="TRUE"),1,0))</f>
        <v/>
      </c>
      <c r="AI1190">
        <f>IF($B1190="","",IF($V1190="Yes",1,0))</f>
        <v/>
      </c>
      <c r="AJ1190">
        <f>IF($AF1190=1,IFERROR(IF(VALUE($B1190)&lt;100000000,VALUE($B1190),1000000000),IFERROR(IF(VALUE(MID($B1190,2,20))&lt;100000000,VALUE(MID($B1190,2,20)),1000000000),1000000000))+ROW()/100000,"")</f>
        <v/>
      </c>
    </row>
    <row r="1191">
      <c r="C1191" s="11" t="n"/>
      <c r="J1191" s="7">
        <f>IF($B1191="","",I1191*Q1191/100)</f>
        <v/>
      </c>
      <c r="P1191" s="7" t="n"/>
      <c r="Q1191" s="7" t="n"/>
      <c r="R1191" s="7">
        <f>IF($B1191="","",Q1191*W1191/100)</f>
        <v/>
      </c>
      <c r="S1191" s="7">
        <f>IF($B1191="","",Q1191-R1191)</f>
        <v/>
      </c>
      <c r="T1191" s="7">
        <f>IF($B1191="","",S1191-J1191)</f>
        <v/>
      </c>
      <c r="W1191">
        <f>IF($B1191="","",IF($AI1191=1,0,IF($AH1191=1,Settings!$C$6,Settings!$C$7))*100)</f>
        <v/>
      </c>
      <c r="AA1191" s="7" t="n"/>
      <c r="AD1191" s="11" t="n"/>
      <c r="AF1191">
        <f>IF($B1191="","",IF(COUNTIF($B$2:$B1191,$B1191)=1,1,0))</f>
        <v/>
      </c>
      <c r="AG1191">
        <f>IF($AF1191=1,SUMPRODUCT(--($AJ$2:$AJ$1501&lt;$AJ1191))+1,"")</f>
        <v/>
      </c>
      <c r="AH1191">
        <f>IF($B1191="","",IF(OR($M1191=TRUE(),$M1191="TRUE"),1,0))</f>
        <v/>
      </c>
      <c r="AI1191">
        <f>IF($B1191="","",IF($V1191="Yes",1,0))</f>
        <v/>
      </c>
      <c r="AJ1191">
        <f>IF($AF1191=1,IFERROR(IF(VALUE($B1191)&lt;100000000,VALUE($B1191),1000000000),IFERROR(IF(VALUE(MID($B1191,2,20))&lt;100000000,VALUE(MID($B1191,2,20)),1000000000),1000000000))+ROW()/100000,"")</f>
        <v/>
      </c>
    </row>
    <row r="1192">
      <c r="C1192" s="11" t="n"/>
      <c r="J1192" s="7">
        <f>IF($B1192="","",I1192*Q1192/100)</f>
        <v/>
      </c>
      <c r="P1192" s="7" t="n"/>
      <c r="Q1192" s="7" t="n"/>
      <c r="R1192" s="7">
        <f>IF($B1192="","",Q1192*W1192/100)</f>
        <v/>
      </c>
      <c r="S1192" s="7">
        <f>IF($B1192="","",Q1192-R1192)</f>
        <v/>
      </c>
      <c r="T1192" s="7">
        <f>IF($B1192="","",S1192-J1192)</f>
        <v/>
      </c>
      <c r="W1192">
        <f>IF($B1192="","",IF($AI1192=1,0,IF($AH1192=1,Settings!$C$6,Settings!$C$7))*100)</f>
        <v/>
      </c>
      <c r="AA1192" s="7" t="n"/>
      <c r="AD1192" s="11" t="n"/>
      <c r="AF1192">
        <f>IF($B1192="","",IF(COUNTIF($B$2:$B1192,$B1192)=1,1,0))</f>
        <v/>
      </c>
      <c r="AG1192">
        <f>IF($AF1192=1,SUMPRODUCT(--($AJ$2:$AJ$1501&lt;$AJ1192))+1,"")</f>
        <v/>
      </c>
      <c r="AH1192">
        <f>IF($B1192="","",IF(OR($M1192=TRUE(),$M1192="TRUE"),1,0))</f>
        <v/>
      </c>
      <c r="AI1192">
        <f>IF($B1192="","",IF($V1192="Yes",1,0))</f>
        <v/>
      </c>
      <c r="AJ1192">
        <f>IF($AF1192=1,IFERROR(IF(VALUE($B1192)&lt;100000000,VALUE($B1192),1000000000),IFERROR(IF(VALUE(MID($B1192,2,20))&lt;100000000,VALUE(MID($B1192,2,20)),1000000000),1000000000))+ROW()/100000,"")</f>
        <v/>
      </c>
    </row>
    <row r="1193">
      <c r="C1193" s="11" t="n"/>
      <c r="J1193" s="7">
        <f>IF($B1193="","",I1193*Q1193/100)</f>
        <v/>
      </c>
      <c r="P1193" s="7" t="n"/>
      <c r="Q1193" s="7" t="n"/>
      <c r="R1193" s="7">
        <f>IF($B1193="","",Q1193*W1193/100)</f>
        <v/>
      </c>
      <c r="S1193" s="7">
        <f>IF($B1193="","",Q1193-R1193)</f>
        <v/>
      </c>
      <c r="T1193" s="7">
        <f>IF($B1193="","",S1193-J1193)</f>
        <v/>
      </c>
      <c r="W1193">
        <f>IF($B1193="","",IF($AI1193=1,0,IF($AH1193=1,Settings!$C$6,Settings!$C$7))*100)</f>
        <v/>
      </c>
      <c r="AA1193" s="7" t="n"/>
      <c r="AD1193" s="11" t="n"/>
      <c r="AF1193">
        <f>IF($B1193="","",IF(COUNTIF($B$2:$B1193,$B1193)=1,1,0))</f>
        <v/>
      </c>
      <c r="AG1193">
        <f>IF($AF1193=1,SUMPRODUCT(--($AJ$2:$AJ$1501&lt;$AJ1193))+1,"")</f>
        <v/>
      </c>
      <c r="AH1193">
        <f>IF($B1193="","",IF(OR($M1193=TRUE(),$M1193="TRUE"),1,0))</f>
        <v/>
      </c>
      <c r="AI1193">
        <f>IF($B1193="","",IF($V1193="Yes",1,0))</f>
        <v/>
      </c>
      <c r="AJ1193">
        <f>IF($AF1193=1,IFERROR(IF(VALUE($B1193)&lt;100000000,VALUE($B1193),1000000000),IFERROR(IF(VALUE(MID($B1193,2,20))&lt;100000000,VALUE(MID($B1193,2,20)),1000000000),1000000000))+ROW()/100000,"")</f>
        <v/>
      </c>
    </row>
    <row r="1194">
      <c r="C1194" s="11" t="n"/>
      <c r="J1194" s="7">
        <f>IF($B1194="","",I1194*Q1194/100)</f>
        <v/>
      </c>
      <c r="P1194" s="7" t="n"/>
      <c r="Q1194" s="7" t="n"/>
      <c r="R1194" s="7">
        <f>IF($B1194="","",Q1194*W1194/100)</f>
        <v/>
      </c>
      <c r="S1194" s="7">
        <f>IF($B1194="","",Q1194-R1194)</f>
        <v/>
      </c>
      <c r="T1194" s="7">
        <f>IF($B1194="","",S1194-J1194)</f>
        <v/>
      </c>
      <c r="W1194">
        <f>IF($B1194="","",IF($AI1194=1,0,IF($AH1194=1,Settings!$C$6,Settings!$C$7))*100)</f>
        <v/>
      </c>
      <c r="AA1194" s="7" t="n"/>
      <c r="AD1194" s="11" t="n"/>
      <c r="AF1194">
        <f>IF($B1194="","",IF(COUNTIF($B$2:$B1194,$B1194)=1,1,0))</f>
        <v/>
      </c>
      <c r="AG1194">
        <f>IF($AF1194=1,SUMPRODUCT(--($AJ$2:$AJ$1501&lt;$AJ1194))+1,"")</f>
        <v/>
      </c>
      <c r="AH1194">
        <f>IF($B1194="","",IF(OR($M1194=TRUE(),$M1194="TRUE"),1,0))</f>
        <v/>
      </c>
      <c r="AI1194">
        <f>IF($B1194="","",IF($V1194="Yes",1,0))</f>
        <v/>
      </c>
      <c r="AJ1194">
        <f>IF($AF1194=1,IFERROR(IF(VALUE($B1194)&lt;100000000,VALUE($B1194),1000000000),IFERROR(IF(VALUE(MID($B1194,2,20))&lt;100000000,VALUE(MID($B1194,2,20)),1000000000),1000000000))+ROW()/100000,"")</f>
        <v/>
      </c>
    </row>
    <row r="1195">
      <c r="C1195" s="11" t="n"/>
      <c r="J1195" s="7">
        <f>IF($B1195="","",I1195*Q1195/100)</f>
        <v/>
      </c>
      <c r="P1195" s="7" t="n"/>
      <c r="Q1195" s="7" t="n"/>
      <c r="R1195" s="7">
        <f>IF($B1195="","",Q1195*W1195/100)</f>
        <v/>
      </c>
      <c r="S1195" s="7">
        <f>IF($B1195="","",Q1195-R1195)</f>
        <v/>
      </c>
      <c r="T1195" s="7">
        <f>IF($B1195="","",S1195-J1195)</f>
        <v/>
      </c>
      <c r="W1195">
        <f>IF($B1195="","",IF($AI1195=1,0,IF($AH1195=1,Settings!$C$6,Settings!$C$7))*100)</f>
        <v/>
      </c>
      <c r="AA1195" s="7" t="n"/>
      <c r="AD1195" s="11" t="n"/>
      <c r="AF1195">
        <f>IF($B1195="","",IF(COUNTIF($B$2:$B1195,$B1195)=1,1,0))</f>
        <v/>
      </c>
      <c r="AG1195">
        <f>IF($AF1195=1,SUMPRODUCT(--($AJ$2:$AJ$1501&lt;$AJ1195))+1,"")</f>
        <v/>
      </c>
      <c r="AH1195">
        <f>IF($B1195="","",IF(OR($M1195=TRUE(),$M1195="TRUE"),1,0))</f>
        <v/>
      </c>
      <c r="AI1195">
        <f>IF($B1195="","",IF($V1195="Yes",1,0))</f>
        <v/>
      </c>
      <c r="AJ1195">
        <f>IF($AF1195=1,IFERROR(IF(VALUE($B1195)&lt;100000000,VALUE($B1195),1000000000),IFERROR(IF(VALUE(MID($B1195,2,20))&lt;100000000,VALUE(MID($B1195,2,20)),1000000000),1000000000))+ROW()/100000,"")</f>
        <v/>
      </c>
    </row>
    <row r="1196">
      <c r="C1196" s="11" t="n"/>
      <c r="J1196" s="7">
        <f>IF($B1196="","",I1196*Q1196/100)</f>
        <v/>
      </c>
      <c r="P1196" s="7" t="n"/>
      <c r="Q1196" s="7" t="n"/>
      <c r="R1196" s="7">
        <f>IF($B1196="","",Q1196*W1196/100)</f>
        <v/>
      </c>
      <c r="S1196" s="7">
        <f>IF($B1196="","",Q1196-R1196)</f>
        <v/>
      </c>
      <c r="T1196" s="7">
        <f>IF($B1196="","",S1196-J1196)</f>
        <v/>
      </c>
      <c r="W1196">
        <f>IF($B1196="","",IF($AI1196=1,0,IF($AH1196=1,Settings!$C$6,Settings!$C$7))*100)</f>
        <v/>
      </c>
      <c r="AA1196" s="7" t="n"/>
      <c r="AD1196" s="11" t="n"/>
      <c r="AF1196">
        <f>IF($B1196="","",IF(COUNTIF($B$2:$B1196,$B1196)=1,1,0))</f>
        <v/>
      </c>
      <c r="AG1196">
        <f>IF($AF1196=1,SUMPRODUCT(--($AJ$2:$AJ$1501&lt;$AJ1196))+1,"")</f>
        <v/>
      </c>
      <c r="AH1196">
        <f>IF($B1196="","",IF(OR($M1196=TRUE(),$M1196="TRUE"),1,0))</f>
        <v/>
      </c>
      <c r="AI1196">
        <f>IF($B1196="","",IF($V1196="Yes",1,0))</f>
        <v/>
      </c>
      <c r="AJ1196">
        <f>IF($AF1196=1,IFERROR(IF(VALUE($B1196)&lt;100000000,VALUE($B1196),1000000000),IFERROR(IF(VALUE(MID($B1196,2,20))&lt;100000000,VALUE(MID($B1196,2,20)),1000000000),1000000000))+ROW()/100000,"")</f>
        <v/>
      </c>
    </row>
    <row r="1197">
      <c r="C1197" s="11" t="n"/>
      <c r="J1197" s="7">
        <f>IF($B1197="","",I1197*Q1197/100)</f>
        <v/>
      </c>
      <c r="P1197" s="7" t="n"/>
      <c r="Q1197" s="7" t="n"/>
      <c r="R1197" s="7">
        <f>IF($B1197="","",Q1197*W1197/100)</f>
        <v/>
      </c>
      <c r="S1197" s="7">
        <f>IF($B1197="","",Q1197-R1197)</f>
        <v/>
      </c>
      <c r="T1197" s="7">
        <f>IF($B1197="","",S1197-J1197)</f>
        <v/>
      </c>
      <c r="W1197">
        <f>IF($B1197="","",IF($AI1197=1,0,IF($AH1197=1,Settings!$C$6,Settings!$C$7))*100)</f>
        <v/>
      </c>
      <c r="AA1197" s="7" t="n"/>
      <c r="AD1197" s="11" t="n"/>
      <c r="AF1197">
        <f>IF($B1197="","",IF(COUNTIF($B$2:$B1197,$B1197)=1,1,0))</f>
        <v/>
      </c>
      <c r="AG1197">
        <f>IF($AF1197=1,SUMPRODUCT(--($AJ$2:$AJ$1501&lt;$AJ1197))+1,"")</f>
        <v/>
      </c>
      <c r="AH1197">
        <f>IF($B1197="","",IF(OR($M1197=TRUE(),$M1197="TRUE"),1,0))</f>
        <v/>
      </c>
      <c r="AI1197">
        <f>IF($B1197="","",IF($V1197="Yes",1,0))</f>
        <v/>
      </c>
      <c r="AJ1197">
        <f>IF($AF1197=1,IFERROR(IF(VALUE($B1197)&lt;100000000,VALUE($B1197),1000000000),IFERROR(IF(VALUE(MID($B1197,2,20))&lt;100000000,VALUE(MID($B1197,2,20)),1000000000),1000000000))+ROW()/100000,"")</f>
        <v/>
      </c>
    </row>
    <row r="1198">
      <c r="C1198" s="11" t="n"/>
      <c r="J1198" s="7">
        <f>IF($B1198="","",I1198*Q1198/100)</f>
        <v/>
      </c>
      <c r="P1198" s="7" t="n"/>
      <c r="Q1198" s="7" t="n"/>
      <c r="R1198" s="7">
        <f>IF($B1198="","",Q1198*W1198/100)</f>
        <v/>
      </c>
      <c r="S1198" s="7">
        <f>IF($B1198="","",Q1198-R1198)</f>
        <v/>
      </c>
      <c r="T1198" s="7">
        <f>IF($B1198="","",S1198-J1198)</f>
        <v/>
      </c>
      <c r="W1198">
        <f>IF($B1198="","",IF($AI1198=1,0,IF($AH1198=1,Settings!$C$6,Settings!$C$7))*100)</f>
        <v/>
      </c>
      <c r="AA1198" s="7" t="n"/>
      <c r="AD1198" s="11" t="n"/>
      <c r="AF1198">
        <f>IF($B1198="","",IF(COUNTIF($B$2:$B1198,$B1198)=1,1,0))</f>
        <v/>
      </c>
      <c r="AG1198">
        <f>IF($AF1198=1,SUMPRODUCT(--($AJ$2:$AJ$1501&lt;$AJ1198))+1,"")</f>
        <v/>
      </c>
      <c r="AH1198">
        <f>IF($B1198="","",IF(OR($M1198=TRUE(),$M1198="TRUE"),1,0))</f>
        <v/>
      </c>
      <c r="AI1198">
        <f>IF($B1198="","",IF($V1198="Yes",1,0))</f>
        <v/>
      </c>
      <c r="AJ1198">
        <f>IF($AF1198=1,IFERROR(IF(VALUE($B1198)&lt;100000000,VALUE($B1198),1000000000),IFERROR(IF(VALUE(MID($B1198,2,20))&lt;100000000,VALUE(MID($B1198,2,20)),1000000000),1000000000))+ROW()/100000,"")</f>
        <v/>
      </c>
    </row>
    <row r="1199">
      <c r="C1199" s="11" t="n"/>
      <c r="J1199" s="7">
        <f>IF($B1199="","",I1199*Q1199/100)</f>
        <v/>
      </c>
      <c r="P1199" s="7" t="n"/>
      <c r="Q1199" s="7" t="n"/>
      <c r="R1199" s="7">
        <f>IF($B1199="","",Q1199*W1199/100)</f>
        <v/>
      </c>
      <c r="S1199" s="7">
        <f>IF($B1199="","",Q1199-R1199)</f>
        <v/>
      </c>
      <c r="T1199" s="7">
        <f>IF($B1199="","",S1199-J1199)</f>
        <v/>
      </c>
      <c r="W1199">
        <f>IF($B1199="","",IF($AI1199=1,0,IF($AH1199=1,Settings!$C$6,Settings!$C$7))*100)</f>
        <v/>
      </c>
      <c r="AA1199" s="7" t="n"/>
      <c r="AD1199" s="11" t="n"/>
      <c r="AF1199">
        <f>IF($B1199="","",IF(COUNTIF($B$2:$B1199,$B1199)=1,1,0))</f>
        <v/>
      </c>
      <c r="AG1199">
        <f>IF($AF1199=1,SUMPRODUCT(--($AJ$2:$AJ$1501&lt;$AJ1199))+1,"")</f>
        <v/>
      </c>
      <c r="AH1199">
        <f>IF($B1199="","",IF(OR($M1199=TRUE(),$M1199="TRUE"),1,0))</f>
        <v/>
      </c>
      <c r="AI1199">
        <f>IF($B1199="","",IF($V1199="Yes",1,0))</f>
        <v/>
      </c>
      <c r="AJ1199">
        <f>IF($AF1199=1,IFERROR(IF(VALUE($B1199)&lt;100000000,VALUE($B1199),1000000000),IFERROR(IF(VALUE(MID($B1199,2,20))&lt;100000000,VALUE(MID($B1199,2,20)),1000000000),1000000000))+ROW()/100000,"")</f>
        <v/>
      </c>
    </row>
    <row r="1200">
      <c r="C1200" s="11" t="n"/>
      <c r="J1200" s="7">
        <f>IF($B1200="","",I1200*Q1200/100)</f>
        <v/>
      </c>
      <c r="P1200" s="7" t="n"/>
      <c r="Q1200" s="7" t="n"/>
      <c r="R1200" s="7">
        <f>IF($B1200="","",Q1200*W1200/100)</f>
        <v/>
      </c>
      <c r="S1200" s="7">
        <f>IF($B1200="","",Q1200-R1200)</f>
        <v/>
      </c>
      <c r="T1200" s="7">
        <f>IF($B1200="","",S1200-J1200)</f>
        <v/>
      </c>
      <c r="W1200">
        <f>IF($B1200="","",IF($AI1200=1,0,IF($AH1200=1,Settings!$C$6,Settings!$C$7))*100)</f>
        <v/>
      </c>
      <c r="AA1200" s="7" t="n"/>
      <c r="AD1200" s="11" t="n"/>
      <c r="AF1200">
        <f>IF($B1200="","",IF(COUNTIF($B$2:$B1200,$B1200)=1,1,0))</f>
        <v/>
      </c>
      <c r="AG1200">
        <f>IF($AF1200=1,SUMPRODUCT(--($AJ$2:$AJ$1501&lt;$AJ1200))+1,"")</f>
        <v/>
      </c>
      <c r="AH1200">
        <f>IF($B1200="","",IF(OR($M1200=TRUE(),$M1200="TRUE"),1,0))</f>
        <v/>
      </c>
      <c r="AI1200">
        <f>IF($B1200="","",IF($V1200="Yes",1,0))</f>
        <v/>
      </c>
      <c r="AJ1200">
        <f>IF($AF1200=1,IFERROR(IF(VALUE($B1200)&lt;100000000,VALUE($B1200),1000000000),IFERROR(IF(VALUE(MID($B1200,2,20))&lt;100000000,VALUE(MID($B1200,2,20)),1000000000),1000000000))+ROW()/100000,"")</f>
        <v/>
      </c>
    </row>
    <row r="1201">
      <c r="C1201" s="11" t="n"/>
      <c r="J1201" s="7">
        <f>IF($B1201="","",I1201*Q1201/100)</f>
        <v/>
      </c>
      <c r="P1201" s="7" t="n"/>
      <c r="Q1201" s="7" t="n"/>
      <c r="R1201" s="7">
        <f>IF($B1201="","",Q1201*W1201/100)</f>
        <v/>
      </c>
      <c r="S1201" s="7">
        <f>IF($B1201="","",Q1201-R1201)</f>
        <v/>
      </c>
      <c r="T1201" s="7">
        <f>IF($B1201="","",S1201-J1201)</f>
        <v/>
      </c>
      <c r="W1201">
        <f>IF($B1201="","",IF($AI1201=1,0,IF($AH1201=1,Settings!$C$6,Settings!$C$7))*100)</f>
        <v/>
      </c>
      <c r="AA1201" s="7" t="n"/>
      <c r="AD1201" s="11" t="n"/>
      <c r="AF1201">
        <f>IF($B1201="","",IF(COUNTIF($B$2:$B1201,$B1201)=1,1,0))</f>
        <v/>
      </c>
      <c r="AG1201">
        <f>IF($AF1201=1,SUMPRODUCT(--($AJ$2:$AJ$1501&lt;$AJ1201))+1,"")</f>
        <v/>
      </c>
      <c r="AH1201">
        <f>IF($B1201="","",IF(OR($M1201=TRUE(),$M1201="TRUE"),1,0))</f>
        <v/>
      </c>
      <c r="AI1201">
        <f>IF($B1201="","",IF($V1201="Yes",1,0))</f>
        <v/>
      </c>
      <c r="AJ1201">
        <f>IF($AF1201=1,IFERROR(IF(VALUE($B1201)&lt;100000000,VALUE($B1201),1000000000),IFERROR(IF(VALUE(MID($B1201,2,20))&lt;100000000,VALUE(MID($B1201,2,20)),1000000000),1000000000))+ROW()/100000,"")</f>
        <v/>
      </c>
    </row>
    <row r="1202">
      <c r="C1202" s="11" t="n"/>
      <c r="J1202" s="7">
        <f>IF($B1202="","",I1202*Q1202/100)</f>
        <v/>
      </c>
      <c r="P1202" s="7" t="n"/>
      <c r="Q1202" s="7" t="n"/>
      <c r="R1202" s="7">
        <f>IF($B1202="","",Q1202*W1202/100)</f>
        <v/>
      </c>
      <c r="S1202" s="7">
        <f>IF($B1202="","",Q1202-R1202)</f>
        <v/>
      </c>
      <c r="T1202" s="7">
        <f>IF($B1202="","",S1202-J1202)</f>
        <v/>
      </c>
      <c r="W1202">
        <f>IF($B1202="","",IF($AI1202=1,0,IF($AH1202=1,Settings!$C$6,Settings!$C$7))*100)</f>
        <v/>
      </c>
      <c r="AA1202" s="7" t="n"/>
      <c r="AD1202" s="11" t="n"/>
      <c r="AF1202">
        <f>IF($B1202="","",IF(COUNTIF($B$2:$B1202,$B1202)=1,1,0))</f>
        <v/>
      </c>
      <c r="AG1202">
        <f>IF($AF1202=1,SUMPRODUCT(--($AJ$2:$AJ$1501&lt;$AJ1202))+1,"")</f>
        <v/>
      </c>
      <c r="AH1202">
        <f>IF($B1202="","",IF(OR($M1202=TRUE(),$M1202="TRUE"),1,0))</f>
        <v/>
      </c>
      <c r="AI1202">
        <f>IF($B1202="","",IF($V1202="Yes",1,0))</f>
        <v/>
      </c>
      <c r="AJ1202">
        <f>IF($AF1202=1,IFERROR(IF(VALUE($B1202)&lt;100000000,VALUE($B1202),1000000000),IFERROR(IF(VALUE(MID($B1202,2,20))&lt;100000000,VALUE(MID($B1202,2,20)),1000000000),1000000000))+ROW()/100000,"")</f>
        <v/>
      </c>
    </row>
    <row r="1203">
      <c r="C1203" s="11" t="n"/>
      <c r="J1203" s="7">
        <f>IF($B1203="","",I1203*Q1203/100)</f>
        <v/>
      </c>
      <c r="P1203" s="7" t="n"/>
      <c r="Q1203" s="7" t="n"/>
      <c r="R1203" s="7">
        <f>IF($B1203="","",Q1203*W1203/100)</f>
        <v/>
      </c>
      <c r="S1203" s="7">
        <f>IF($B1203="","",Q1203-R1203)</f>
        <v/>
      </c>
      <c r="T1203" s="7">
        <f>IF($B1203="","",S1203-J1203)</f>
        <v/>
      </c>
      <c r="W1203">
        <f>IF($B1203="","",IF($AI1203=1,0,IF($AH1203=1,Settings!$C$6,Settings!$C$7))*100)</f>
        <v/>
      </c>
      <c r="AA1203" s="7" t="n"/>
      <c r="AD1203" s="11" t="n"/>
      <c r="AF1203">
        <f>IF($B1203="","",IF(COUNTIF($B$2:$B1203,$B1203)=1,1,0))</f>
        <v/>
      </c>
      <c r="AG1203">
        <f>IF($AF1203=1,SUMPRODUCT(--($AJ$2:$AJ$1501&lt;$AJ1203))+1,"")</f>
        <v/>
      </c>
      <c r="AH1203">
        <f>IF($B1203="","",IF(OR($M1203=TRUE(),$M1203="TRUE"),1,0))</f>
        <v/>
      </c>
      <c r="AI1203">
        <f>IF($B1203="","",IF($V1203="Yes",1,0))</f>
        <v/>
      </c>
      <c r="AJ1203">
        <f>IF($AF1203=1,IFERROR(IF(VALUE($B1203)&lt;100000000,VALUE($B1203),1000000000),IFERROR(IF(VALUE(MID($B1203,2,20))&lt;100000000,VALUE(MID($B1203,2,20)),1000000000),1000000000))+ROW()/100000,"")</f>
        <v/>
      </c>
    </row>
    <row r="1204">
      <c r="C1204" s="11" t="n"/>
      <c r="J1204" s="7">
        <f>IF($B1204="","",I1204*Q1204/100)</f>
        <v/>
      </c>
      <c r="P1204" s="7" t="n"/>
      <c r="Q1204" s="7" t="n"/>
      <c r="R1204" s="7">
        <f>IF($B1204="","",Q1204*W1204/100)</f>
        <v/>
      </c>
      <c r="S1204" s="7">
        <f>IF($B1204="","",Q1204-R1204)</f>
        <v/>
      </c>
      <c r="T1204" s="7">
        <f>IF($B1204="","",S1204-J1204)</f>
        <v/>
      </c>
      <c r="W1204">
        <f>IF($B1204="","",IF($AI1204=1,0,IF($AH1204=1,Settings!$C$6,Settings!$C$7))*100)</f>
        <v/>
      </c>
      <c r="AA1204" s="7" t="n"/>
      <c r="AD1204" s="11" t="n"/>
      <c r="AF1204">
        <f>IF($B1204="","",IF(COUNTIF($B$2:$B1204,$B1204)=1,1,0))</f>
        <v/>
      </c>
      <c r="AG1204">
        <f>IF($AF1204=1,SUMPRODUCT(--($AJ$2:$AJ$1501&lt;$AJ1204))+1,"")</f>
        <v/>
      </c>
      <c r="AH1204">
        <f>IF($B1204="","",IF(OR($M1204=TRUE(),$M1204="TRUE"),1,0))</f>
        <v/>
      </c>
      <c r="AI1204">
        <f>IF($B1204="","",IF($V1204="Yes",1,0))</f>
        <v/>
      </c>
      <c r="AJ1204">
        <f>IF($AF1204=1,IFERROR(IF(VALUE($B1204)&lt;100000000,VALUE($B1204),1000000000),IFERROR(IF(VALUE(MID($B1204,2,20))&lt;100000000,VALUE(MID($B1204,2,20)),1000000000),1000000000))+ROW()/100000,"")</f>
        <v/>
      </c>
    </row>
    <row r="1205">
      <c r="C1205" s="11" t="n"/>
      <c r="J1205" s="7">
        <f>IF($B1205="","",I1205*Q1205/100)</f>
        <v/>
      </c>
      <c r="P1205" s="7" t="n"/>
      <c r="Q1205" s="7" t="n"/>
      <c r="R1205" s="7">
        <f>IF($B1205="","",Q1205*W1205/100)</f>
        <v/>
      </c>
      <c r="S1205" s="7">
        <f>IF($B1205="","",Q1205-R1205)</f>
        <v/>
      </c>
      <c r="T1205" s="7">
        <f>IF($B1205="","",S1205-J1205)</f>
        <v/>
      </c>
      <c r="W1205">
        <f>IF($B1205="","",IF($AI1205=1,0,IF($AH1205=1,Settings!$C$6,Settings!$C$7))*100)</f>
        <v/>
      </c>
      <c r="AA1205" s="7" t="n"/>
      <c r="AD1205" s="11" t="n"/>
      <c r="AF1205">
        <f>IF($B1205="","",IF(COUNTIF($B$2:$B1205,$B1205)=1,1,0))</f>
        <v/>
      </c>
      <c r="AG1205">
        <f>IF($AF1205=1,SUMPRODUCT(--($AJ$2:$AJ$1501&lt;$AJ1205))+1,"")</f>
        <v/>
      </c>
      <c r="AH1205">
        <f>IF($B1205="","",IF(OR($M1205=TRUE(),$M1205="TRUE"),1,0))</f>
        <v/>
      </c>
      <c r="AI1205">
        <f>IF($B1205="","",IF($V1205="Yes",1,0))</f>
        <v/>
      </c>
      <c r="AJ1205">
        <f>IF($AF1205=1,IFERROR(IF(VALUE($B1205)&lt;100000000,VALUE($B1205),1000000000),IFERROR(IF(VALUE(MID($B1205,2,20))&lt;100000000,VALUE(MID($B1205,2,20)),1000000000),1000000000))+ROW()/100000,"")</f>
        <v/>
      </c>
    </row>
    <row r="1206">
      <c r="C1206" s="11" t="n"/>
      <c r="J1206" s="7">
        <f>IF($B1206="","",I1206*Q1206/100)</f>
        <v/>
      </c>
      <c r="P1206" s="7" t="n"/>
      <c r="Q1206" s="7" t="n"/>
      <c r="R1206" s="7">
        <f>IF($B1206="","",Q1206*W1206/100)</f>
        <v/>
      </c>
      <c r="S1206" s="7">
        <f>IF($B1206="","",Q1206-R1206)</f>
        <v/>
      </c>
      <c r="T1206" s="7">
        <f>IF($B1206="","",S1206-J1206)</f>
        <v/>
      </c>
      <c r="W1206">
        <f>IF($B1206="","",IF($AI1206=1,0,IF($AH1206=1,Settings!$C$6,Settings!$C$7))*100)</f>
        <v/>
      </c>
      <c r="AA1206" s="7" t="n"/>
      <c r="AD1206" s="11" t="n"/>
      <c r="AF1206">
        <f>IF($B1206="","",IF(COUNTIF($B$2:$B1206,$B1206)=1,1,0))</f>
        <v/>
      </c>
      <c r="AG1206">
        <f>IF($AF1206=1,SUMPRODUCT(--($AJ$2:$AJ$1501&lt;$AJ1206))+1,"")</f>
        <v/>
      </c>
      <c r="AH1206">
        <f>IF($B1206="","",IF(OR($M1206=TRUE(),$M1206="TRUE"),1,0))</f>
        <v/>
      </c>
      <c r="AI1206">
        <f>IF($B1206="","",IF($V1206="Yes",1,0))</f>
        <v/>
      </c>
      <c r="AJ1206">
        <f>IF($AF1206=1,IFERROR(IF(VALUE($B1206)&lt;100000000,VALUE($B1206),1000000000),IFERROR(IF(VALUE(MID($B1206,2,20))&lt;100000000,VALUE(MID($B1206,2,20)),1000000000),1000000000))+ROW()/100000,"")</f>
        <v/>
      </c>
    </row>
    <row r="1207">
      <c r="C1207" s="11" t="n"/>
      <c r="J1207" s="7">
        <f>IF($B1207="","",I1207*Q1207/100)</f>
        <v/>
      </c>
      <c r="P1207" s="7" t="n"/>
      <c r="Q1207" s="7" t="n"/>
      <c r="R1207" s="7">
        <f>IF($B1207="","",Q1207*W1207/100)</f>
        <v/>
      </c>
      <c r="S1207" s="7">
        <f>IF($B1207="","",Q1207-R1207)</f>
        <v/>
      </c>
      <c r="T1207" s="7">
        <f>IF($B1207="","",S1207-J1207)</f>
        <v/>
      </c>
      <c r="W1207">
        <f>IF($B1207="","",IF($AI1207=1,0,IF($AH1207=1,Settings!$C$6,Settings!$C$7))*100)</f>
        <v/>
      </c>
      <c r="AA1207" s="7" t="n"/>
      <c r="AD1207" s="11" t="n"/>
      <c r="AF1207">
        <f>IF($B1207="","",IF(COUNTIF($B$2:$B1207,$B1207)=1,1,0))</f>
        <v/>
      </c>
      <c r="AG1207">
        <f>IF($AF1207=1,SUMPRODUCT(--($AJ$2:$AJ$1501&lt;$AJ1207))+1,"")</f>
        <v/>
      </c>
      <c r="AH1207">
        <f>IF($B1207="","",IF(OR($M1207=TRUE(),$M1207="TRUE"),1,0))</f>
        <v/>
      </c>
      <c r="AI1207">
        <f>IF($B1207="","",IF($V1207="Yes",1,0))</f>
        <v/>
      </c>
      <c r="AJ1207">
        <f>IF($AF1207=1,IFERROR(IF(VALUE($B1207)&lt;100000000,VALUE($B1207),1000000000),IFERROR(IF(VALUE(MID($B1207,2,20))&lt;100000000,VALUE(MID($B1207,2,20)),1000000000),1000000000))+ROW()/100000,"")</f>
        <v/>
      </c>
    </row>
    <row r="1208">
      <c r="C1208" s="11" t="n"/>
      <c r="J1208" s="7">
        <f>IF($B1208="","",I1208*Q1208/100)</f>
        <v/>
      </c>
      <c r="P1208" s="7" t="n"/>
      <c r="Q1208" s="7" t="n"/>
      <c r="R1208" s="7">
        <f>IF($B1208="","",Q1208*W1208/100)</f>
        <v/>
      </c>
      <c r="S1208" s="7">
        <f>IF($B1208="","",Q1208-R1208)</f>
        <v/>
      </c>
      <c r="T1208" s="7">
        <f>IF($B1208="","",S1208-J1208)</f>
        <v/>
      </c>
      <c r="W1208">
        <f>IF($B1208="","",IF($AI1208=1,0,IF($AH1208=1,Settings!$C$6,Settings!$C$7))*100)</f>
        <v/>
      </c>
      <c r="AA1208" s="7" t="n"/>
      <c r="AD1208" s="11" t="n"/>
      <c r="AF1208">
        <f>IF($B1208="","",IF(COUNTIF($B$2:$B1208,$B1208)=1,1,0))</f>
        <v/>
      </c>
      <c r="AG1208">
        <f>IF($AF1208=1,SUMPRODUCT(--($AJ$2:$AJ$1501&lt;$AJ1208))+1,"")</f>
        <v/>
      </c>
      <c r="AH1208">
        <f>IF($B1208="","",IF(OR($M1208=TRUE(),$M1208="TRUE"),1,0))</f>
        <v/>
      </c>
      <c r="AI1208">
        <f>IF($B1208="","",IF($V1208="Yes",1,0))</f>
        <v/>
      </c>
      <c r="AJ1208">
        <f>IF($AF1208=1,IFERROR(IF(VALUE($B1208)&lt;100000000,VALUE($B1208),1000000000),IFERROR(IF(VALUE(MID($B1208,2,20))&lt;100000000,VALUE(MID($B1208,2,20)),1000000000),1000000000))+ROW()/100000,"")</f>
        <v/>
      </c>
    </row>
    <row r="1209">
      <c r="C1209" s="11" t="n"/>
      <c r="J1209" s="7">
        <f>IF($B1209="","",I1209*Q1209/100)</f>
        <v/>
      </c>
      <c r="P1209" s="7" t="n"/>
      <c r="Q1209" s="7" t="n"/>
      <c r="R1209" s="7">
        <f>IF($B1209="","",Q1209*W1209/100)</f>
        <v/>
      </c>
      <c r="S1209" s="7">
        <f>IF($B1209="","",Q1209-R1209)</f>
        <v/>
      </c>
      <c r="T1209" s="7">
        <f>IF($B1209="","",S1209-J1209)</f>
        <v/>
      </c>
      <c r="W1209">
        <f>IF($B1209="","",IF($AI1209=1,0,IF($AH1209=1,Settings!$C$6,Settings!$C$7))*100)</f>
        <v/>
      </c>
      <c r="AA1209" s="7" t="n"/>
      <c r="AD1209" s="11" t="n"/>
      <c r="AF1209">
        <f>IF($B1209="","",IF(COUNTIF($B$2:$B1209,$B1209)=1,1,0))</f>
        <v/>
      </c>
      <c r="AG1209">
        <f>IF($AF1209=1,SUMPRODUCT(--($AJ$2:$AJ$1501&lt;$AJ1209))+1,"")</f>
        <v/>
      </c>
      <c r="AH1209">
        <f>IF($B1209="","",IF(OR($M1209=TRUE(),$M1209="TRUE"),1,0))</f>
        <v/>
      </c>
      <c r="AI1209">
        <f>IF($B1209="","",IF($V1209="Yes",1,0))</f>
        <v/>
      </c>
      <c r="AJ1209">
        <f>IF($AF1209=1,IFERROR(IF(VALUE($B1209)&lt;100000000,VALUE($B1209),1000000000),IFERROR(IF(VALUE(MID($B1209,2,20))&lt;100000000,VALUE(MID($B1209,2,20)),1000000000),1000000000))+ROW()/100000,"")</f>
        <v/>
      </c>
    </row>
    <row r="1210">
      <c r="C1210" s="11" t="n"/>
      <c r="J1210" s="7">
        <f>IF($B1210="","",I1210*Q1210/100)</f>
        <v/>
      </c>
      <c r="P1210" s="7" t="n"/>
      <c r="Q1210" s="7" t="n"/>
      <c r="R1210" s="7">
        <f>IF($B1210="","",Q1210*W1210/100)</f>
        <v/>
      </c>
      <c r="S1210" s="7">
        <f>IF($B1210="","",Q1210-R1210)</f>
        <v/>
      </c>
      <c r="T1210" s="7">
        <f>IF($B1210="","",S1210-J1210)</f>
        <v/>
      </c>
      <c r="W1210">
        <f>IF($B1210="","",IF($AI1210=1,0,IF($AH1210=1,Settings!$C$6,Settings!$C$7))*100)</f>
        <v/>
      </c>
      <c r="AA1210" s="7" t="n"/>
      <c r="AD1210" s="11" t="n"/>
      <c r="AF1210">
        <f>IF($B1210="","",IF(COUNTIF($B$2:$B1210,$B1210)=1,1,0))</f>
        <v/>
      </c>
      <c r="AG1210">
        <f>IF($AF1210=1,SUMPRODUCT(--($AJ$2:$AJ$1501&lt;$AJ1210))+1,"")</f>
        <v/>
      </c>
      <c r="AH1210">
        <f>IF($B1210="","",IF(OR($M1210=TRUE(),$M1210="TRUE"),1,0))</f>
        <v/>
      </c>
      <c r="AI1210">
        <f>IF($B1210="","",IF($V1210="Yes",1,0))</f>
        <v/>
      </c>
      <c r="AJ1210">
        <f>IF($AF1210=1,IFERROR(IF(VALUE($B1210)&lt;100000000,VALUE($B1210),1000000000),IFERROR(IF(VALUE(MID($B1210,2,20))&lt;100000000,VALUE(MID($B1210,2,20)),1000000000),1000000000))+ROW()/100000,"")</f>
        <v/>
      </c>
    </row>
    <row r="1211">
      <c r="C1211" s="11" t="n"/>
      <c r="J1211" s="7">
        <f>IF($B1211="","",I1211*Q1211/100)</f>
        <v/>
      </c>
      <c r="P1211" s="7" t="n"/>
      <c r="Q1211" s="7" t="n"/>
      <c r="R1211" s="7">
        <f>IF($B1211="","",Q1211*W1211/100)</f>
        <v/>
      </c>
      <c r="S1211" s="7">
        <f>IF($B1211="","",Q1211-R1211)</f>
        <v/>
      </c>
      <c r="T1211" s="7">
        <f>IF($B1211="","",S1211-J1211)</f>
        <v/>
      </c>
      <c r="W1211">
        <f>IF($B1211="","",IF($AI1211=1,0,IF($AH1211=1,Settings!$C$6,Settings!$C$7))*100)</f>
        <v/>
      </c>
      <c r="AA1211" s="7" t="n"/>
      <c r="AD1211" s="11" t="n"/>
      <c r="AF1211">
        <f>IF($B1211="","",IF(COUNTIF($B$2:$B1211,$B1211)=1,1,0))</f>
        <v/>
      </c>
      <c r="AG1211">
        <f>IF($AF1211=1,SUMPRODUCT(--($AJ$2:$AJ$1501&lt;$AJ1211))+1,"")</f>
        <v/>
      </c>
      <c r="AH1211">
        <f>IF($B1211="","",IF(OR($M1211=TRUE(),$M1211="TRUE"),1,0))</f>
        <v/>
      </c>
      <c r="AI1211">
        <f>IF($B1211="","",IF($V1211="Yes",1,0))</f>
        <v/>
      </c>
      <c r="AJ1211">
        <f>IF($AF1211=1,IFERROR(IF(VALUE($B1211)&lt;100000000,VALUE($B1211),1000000000),IFERROR(IF(VALUE(MID($B1211,2,20))&lt;100000000,VALUE(MID($B1211,2,20)),1000000000),1000000000))+ROW()/100000,"")</f>
        <v/>
      </c>
    </row>
    <row r="1212">
      <c r="C1212" s="11" t="n"/>
      <c r="J1212" s="7">
        <f>IF($B1212="","",I1212*Q1212/100)</f>
        <v/>
      </c>
      <c r="P1212" s="7" t="n"/>
      <c r="Q1212" s="7" t="n"/>
      <c r="R1212" s="7">
        <f>IF($B1212="","",Q1212*W1212/100)</f>
        <v/>
      </c>
      <c r="S1212" s="7">
        <f>IF($B1212="","",Q1212-R1212)</f>
        <v/>
      </c>
      <c r="T1212" s="7">
        <f>IF($B1212="","",S1212-J1212)</f>
        <v/>
      </c>
      <c r="W1212">
        <f>IF($B1212="","",IF($AI1212=1,0,IF($AH1212=1,Settings!$C$6,Settings!$C$7))*100)</f>
        <v/>
      </c>
      <c r="AA1212" s="7" t="n"/>
      <c r="AD1212" s="11" t="n"/>
      <c r="AF1212">
        <f>IF($B1212="","",IF(COUNTIF($B$2:$B1212,$B1212)=1,1,0))</f>
        <v/>
      </c>
      <c r="AG1212">
        <f>IF($AF1212=1,SUMPRODUCT(--($AJ$2:$AJ$1501&lt;$AJ1212))+1,"")</f>
        <v/>
      </c>
      <c r="AH1212">
        <f>IF($B1212="","",IF(OR($M1212=TRUE(),$M1212="TRUE"),1,0))</f>
        <v/>
      </c>
      <c r="AI1212">
        <f>IF($B1212="","",IF($V1212="Yes",1,0))</f>
        <v/>
      </c>
      <c r="AJ1212">
        <f>IF($AF1212=1,IFERROR(IF(VALUE($B1212)&lt;100000000,VALUE($B1212),1000000000),IFERROR(IF(VALUE(MID($B1212,2,20))&lt;100000000,VALUE(MID($B1212,2,20)),1000000000),1000000000))+ROW()/100000,"")</f>
        <v/>
      </c>
    </row>
    <row r="1213">
      <c r="C1213" s="11" t="n"/>
      <c r="J1213" s="7">
        <f>IF($B1213="","",I1213*Q1213/100)</f>
        <v/>
      </c>
      <c r="P1213" s="7" t="n"/>
      <c r="Q1213" s="7" t="n"/>
      <c r="R1213" s="7">
        <f>IF($B1213="","",Q1213*W1213/100)</f>
        <v/>
      </c>
      <c r="S1213" s="7">
        <f>IF($B1213="","",Q1213-R1213)</f>
        <v/>
      </c>
      <c r="T1213" s="7">
        <f>IF($B1213="","",S1213-J1213)</f>
        <v/>
      </c>
      <c r="W1213">
        <f>IF($B1213="","",IF($AI1213=1,0,IF($AH1213=1,Settings!$C$6,Settings!$C$7))*100)</f>
        <v/>
      </c>
      <c r="AA1213" s="7" t="n"/>
      <c r="AD1213" s="11" t="n"/>
      <c r="AF1213">
        <f>IF($B1213="","",IF(COUNTIF($B$2:$B1213,$B1213)=1,1,0))</f>
        <v/>
      </c>
      <c r="AG1213">
        <f>IF($AF1213=1,SUMPRODUCT(--($AJ$2:$AJ$1501&lt;$AJ1213))+1,"")</f>
        <v/>
      </c>
      <c r="AH1213">
        <f>IF($B1213="","",IF(OR($M1213=TRUE(),$M1213="TRUE"),1,0))</f>
        <v/>
      </c>
      <c r="AI1213">
        <f>IF($B1213="","",IF($V1213="Yes",1,0))</f>
        <v/>
      </c>
      <c r="AJ1213">
        <f>IF($AF1213=1,IFERROR(IF(VALUE($B1213)&lt;100000000,VALUE($B1213),1000000000),IFERROR(IF(VALUE(MID($B1213,2,20))&lt;100000000,VALUE(MID($B1213,2,20)),1000000000),1000000000))+ROW()/100000,"")</f>
        <v/>
      </c>
    </row>
    <row r="1214">
      <c r="C1214" s="11" t="n"/>
      <c r="J1214" s="7">
        <f>IF($B1214="","",I1214*Q1214/100)</f>
        <v/>
      </c>
      <c r="P1214" s="7" t="n"/>
      <c r="Q1214" s="7" t="n"/>
      <c r="R1214" s="7">
        <f>IF($B1214="","",Q1214*W1214/100)</f>
        <v/>
      </c>
      <c r="S1214" s="7">
        <f>IF($B1214="","",Q1214-R1214)</f>
        <v/>
      </c>
      <c r="T1214" s="7">
        <f>IF($B1214="","",S1214-J1214)</f>
        <v/>
      </c>
      <c r="W1214">
        <f>IF($B1214="","",IF($AI1214=1,0,IF($AH1214=1,Settings!$C$6,Settings!$C$7))*100)</f>
        <v/>
      </c>
      <c r="AA1214" s="7" t="n"/>
      <c r="AD1214" s="11" t="n"/>
      <c r="AF1214">
        <f>IF($B1214="","",IF(COUNTIF($B$2:$B1214,$B1214)=1,1,0))</f>
        <v/>
      </c>
      <c r="AG1214">
        <f>IF($AF1214=1,SUMPRODUCT(--($AJ$2:$AJ$1501&lt;$AJ1214))+1,"")</f>
        <v/>
      </c>
      <c r="AH1214">
        <f>IF($B1214="","",IF(OR($M1214=TRUE(),$M1214="TRUE"),1,0))</f>
        <v/>
      </c>
      <c r="AI1214">
        <f>IF($B1214="","",IF($V1214="Yes",1,0))</f>
        <v/>
      </c>
      <c r="AJ1214">
        <f>IF($AF1214=1,IFERROR(IF(VALUE($B1214)&lt;100000000,VALUE($B1214),1000000000),IFERROR(IF(VALUE(MID($B1214,2,20))&lt;100000000,VALUE(MID($B1214,2,20)),1000000000),1000000000))+ROW()/100000,"")</f>
        <v/>
      </c>
    </row>
    <row r="1215">
      <c r="C1215" s="11" t="n"/>
      <c r="J1215" s="7">
        <f>IF($B1215="","",I1215*Q1215/100)</f>
        <v/>
      </c>
      <c r="P1215" s="7" t="n"/>
      <c r="Q1215" s="7" t="n"/>
      <c r="R1215" s="7">
        <f>IF($B1215="","",Q1215*W1215/100)</f>
        <v/>
      </c>
      <c r="S1215" s="7">
        <f>IF($B1215="","",Q1215-R1215)</f>
        <v/>
      </c>
      <c r="T1215" s="7">
        <f>IF($B1215="","",S1215-J1215)</f>
        <v/>
      </c>
      <c r="W1215">
        <f>IF($B1215="","",IF($AI1215=1,0,IF($AH1215=1,Settings!$C$6,Settings!$C$7))*100)</f>
        <v/>
      </c>
      <c r="AA1215" s="7" t="n"/>
      <c r="AD1215" s="11" t="n"/>
      <c r="AF1215">
        <f>IF($B1215="","",IF(COUNTIF($B$2:$B1215,$B1215)=1,1,0))</f>
        <v/>
      </c>
      <c r="AG1215">
        <f>IF($AF1215=1,SUMPRODUCT(--($AJ$2:$AJ$1501&lt;$AJ1215))+1,"")</f>
        <v/>
      </c>
      <c r="AH1215">
        <f>IF($B1215="","",IF(OR($M1215=TRUE(),$M1215="TRUE"),1,0))</f>
        <v/>
      </c>
      <c r="AI1215">
        <f>IF($B1215="","",IF($V1215="Yes",1,0))</f>
        <v/>
      </c>
      <c r="AJ1215">
        <f>IF($AF1215=1,IFERROR(IF(VALUE($B1215)&lt;100000000,VALUE($B1215),1000000000),IFERROR(IF(VALUE(MID($B1215,2,20))&lt;100000000,VALUE(MID($B1215,2,20)),1000000000),1000000000))+ROW()/100000,"")</f>
        <v/>
      </c>
    </row>
    <row r="1216">
      <c r="C1216" s="11" t="n"/>
      <c r="J1216" s="7">
        <f>IF($B1216="","",I1216*Q1216/100)</f>
        <v/>
      </c>
      <c r="P1216" s="7" t="n"/>
      <c r="Q1216" s="7" t="n"/>
      <c r="R1216" s="7">
        <f>IF($B1216="","",Q1216*W1216/100)</f>
        <v/>
      </c>
      <c r="S1216" s="7">
        <f>IF($B1216="","",Q1216-R1216)</f>
        <v/>
      </c>
      <c r="T1216" s="7">
        <f>IF($B1216="","",S1216-J1216)</f>
        <v/>
      </c>
      <c r="W1216">
        <f>IF($B1216="","",IF($AI1216=1,0,IF($AH1216=1,Settings!$C$6,Settings!$C$7))*100)</f>
        <v/>
      </c>
      <c r="AA1216" s="7" t="n"/>
      <c r="AD1216" s="11" t="n"/>
      <c r="AF1216">
        <f>IF($B1216="","",IF(COUNTIF($B$2:$B1216,$B1216)=1,1,0))</f>
        <v/>
      </c>
      <c r="AG1216">
        <f>IF($AF1216=1,SUMPRODUCT(--($AJ$2:$AJ$1501&lt;$AJ1216))+1,"")</f>
        <v/>
      </c>
      <c r="AH1216">
        <f>IF($B1216="","",IF(OR($M1216=TRUE(),$M1216="TRUE"),1,0))</f>
        <v/>
      </c>
      <c r="AI1216">
        <f>IF($B1216="","",IF($V1216="Yes",1,0))</f>
        <v/>
      </c>
      <c r="AJ1216">
        <f>IF($AF1216=1,IFERROR(IF(VALUE($B1216)&lt;100000000,VALUE($B1216),1000000000),IFERROR(IF(VALUE(MID($B1216,2,20))&lt;100000000,VALUE(MID($B1216,2,20)),1000000000),1000000000))+ROW()/100000,"")</f>
        <v/>
      </c>
    </row>
    <row r="1217">
      <c r="C1217" s="11" t="n"/>
      <c r="J1217" s="7">
        <f>IF($B1217="","",I1217*Q1217/100)</f>
        <v/>
      </c>
      <c r="P1217" s="7" t="n"/>
      <c r="Q1217" s="7" t="n"/>
      <c r="R1217" s="7">
        <f>IF($B1217="","",Q1217*W1217/100)</f>
        <v/>
      </c>
      <c r="S1217" s="7">
        <f>IF($B1217="","",Q1217-R1217)</f>
        <v/>
      </c>
      <c r="T1217" s="7">
        <f>IF($B1217="","",S1217-J1217)</f>
        <v/>
      </c>
      <c r="W1217">
        <f>IF($B1217="","",IF($AI1217=1,0,IF($AH1217=1,Settings!$C$6,Settings!$C$7))*100)</f>
        <v/>
      </c>
      <c r="AA1217" s="7" t="n"/>
      <c r="AD1217" s="11" t="n"/>
      <c r="AF1217">
        <f>IF($B1217="","",IF(COUNTIF($B$2:$B1217,$B1217)=1,1,0))</f>
        <v/>
      </c>
      <c r="AG1217">
        <f>IF($AF1217=1,SUMPRODUCT(--($AJ$2:$AJ$1501&lt;$AJ1217))+1,"")</f>
        <v/>
      </c>
      <c r="AH1217">
        <f>IF($B1217="","",IF(OR($M1217=TRUE(),$M1217="TRUE"),1,0))</f>
        <v/>
      </c>
      <c r="AI1217">
        <f>IF($B1217="","",IF($V1217="Yes",1,0))</f>
        <v/>
      </c>
      <c r="AJ1217">
        <f>IF($AF1217=1,IFERROR(IF(VALUE($B1217)&lt;100000000,VALUE($B1217),1000000000),IFERROR(IF(VALUE(MID($B1217,2,20))&lt;100000000,VALUE(MID($B1217,2,20)),1000000000),1000000000))+ROW()/100000,"")</f>
        <v/>
      </c>
    </row>
    <row r="1218">
      <c r="C1218" s="11" t="n"/>
      <c r="J1218" s="7">
        <f>IF($B1218="","",I1218*Q1218/100)</f>
        <v/>
      </c>
      <c r="P1218" s="7" t="n"/>
      <c r="Q1218" s="7" t="n"/>
      <c r="R1218" s="7">
        <f>IF($B1218="","",Q1218*W1218/100)</f>
        <v/>
      </c>
      <c r="S1218" s="7">
        <f>IF($B1218="","",Q1218-R1218)</f>
        <v/>
      </c>
      <c r="T1218" s="7">
        <f>IF($B1218="","",S1218-J1218)</f>
        <v/>
      </c>
      <c r="W1218">
        <f>IF($B1218="","",IF($AI1218=1,0,IF($AH1218=1,Settings!$C$6,Settings!$C$7))*100)</f>
        <v/>
      </c>
      <c r="AA1218" s="7" t="n"/>
      <c r="AD1218" s="11" t="n"/>
      <c r="AF1218">
        <f>IF($B1218="","",IF(COUNTIF($B$2:$B1218,$B1218)=1,1,0))</f>
        <v/>
      </c>
      <c r="AG1218">
        <f>IF($AF1218=1,SUMPRODUCT(--($AJ$2:$AJ$1501&lt;$AJ1218))+1,"")</f>
        <v/>
      </c>
      <c r="AH1218">
        <f>IF($B1218="","",IF(OR($M1218=TRUE(),$M1218="TRUE"),1,0))</f>
        <v/>
      </c>
      <c r="AI1218">
        <f>IF($B1218="","",IF($V1218="Yes",1,0))</f>
        <v/>
      </c>
      <c r="AJ1218">
        <f>IF($AF1218=1,IFERROR(IF(VALUE($B1218)&lt;100000000,VALUE($B1218),1000000000),IFERROR(IF(VALUE(MID($B1218,2,20))&lt;100000000,VALUE(MID($B1218,2,20)),1000000000),1000000000))+ROW()/100000,"")</f>
        <v/>
      </c>
    </row>
    <row r="1219">
      <c r="C1219" s="11" t="n"/>
      <c r="J1219" s="7">
        <f>IF($B1219="","",I1219*Q1219/100)</f>
        <v/>
      </c>
      <c r="P1219" s="7" t="n"/>
      <c r="Q1219" s="7" t="n"/>
      <c r="R1219" s="7">
        <f>IF($B1219="","",Q1219*W1219/100)</f>
        <v/>
      </c>
      <c r="S1219" s="7">
        <f>IF($B1219="","",Q1219-R1219)</f>
        <v/>
      </c>
      <c r="T1219" s="7">
        <f>IF($B1219="","",S1219-J1219)</f>
        <v/>
      </c>
      <c r="W1219">
        <f>IF($B1219="","",IF($AI1219=1,0,IF($AH1219=1,Settings!$C$6,Settings!$C$7))*100)</f>
        <v/>
      </c>
      <c r="AA1219" s="7" t="n"/>
      <c r="AD1219" s="11" t="n"/>
      <c r="AF1219">
        <f>IF($B1219="","",IF(COUNTIF($B$2:$B1219,$B1219)=1,1,0))</f>
        <v/>
      </c>
      <c r="AG1219">
        <f>IF($AF1219=1,SUMPRODUCT(--($AJ$2:$AJ$1501&lt;$AJ1219))+1,"")</f>
        <v/>
      </c>
      <c r="AH1219">
        <f>IF($B1219="","",IF(OR($M1219=TRUE(),$M1219="TRUE"),1,0))</f>
        <v/>
      </c>
      <c r="AI1219">
        <f>IF($B1219="","",IF($V1219="Yes",1,0))</f>
        <v/>
      </c>
      <c r="AJ1219">
        <f>IF($AF1219=1,IFERROR(IF(VALUE($B1219)&lt;100000000,VALUE($B1219),1000000000),IFERROR(IF(VALUE(MID($B1219,2,20))&lt;100000000,VALUE(MID($B1219,2,20)),1000000000),1000000000))+ROW()/100000,"")</f>
        <v/>
      </c>
    </row>
    <row r="1220">
      <c r="C1220" s="11" t="n"/>
      <c r="J1220" s="7">
        <f>IF($B1220="","",I1220*Q1220/100)</f>
        <v/>
      </c>
      <c r="P1220" s="7" t="n"/>
      <c r="Q1220" s="7" t="n"/>
      <c r="R1220" s="7">
        <f>IF($B1220="","",Q1220*W1220/100)</f>
        <v/>
      </c>
      <c r="S1220" s="7">
        <f>IF($B1220="","",Q1220-R1220)</f>
        <v/>
      </c>
      <c r="T1220" s="7">
        <f>IF($B1220="","",S1220-J1220)</f>
        <v/>
      </c>
      <c r="W1220">
        <f>IF($B1220="","",IF($AI1220=1,0,IF($AH1220=1,Settings!$C$6,Settings!$C$7))*100)</f>
        <v/>
      </c>
      <c r="AA1220" s="7" t="n"/>
      <c r="AD1220" s="11" t="n"/>
      <c r="AF1220">
        <f>IF($B1220="","",IF(COUNTIF($B$2:$B1220,$B1220)=1,1,0))</f>
        <v/>
      </c>
      <c r="AG1220">
        <f>IF($AF1220=1,SUMPRODUCT(--($AJ$2:$AJ$1501&lt;$AJ1220))+1,"")</f>
        <v/>
      </c>
      <c r="AH1220">
        <f>IF($B1220="","",IF(OR($M1220=TRUE(),$M1220="TRUE"),1,0))</f>
        <v/>
      </c>
      <c r="AI1220">
        <f>IF($B1220="","",IF($V1220="Yes",1,0))</f>
        <v/>
      </c>
      <c r="AJ1220">
        <f>IF($AF1220=1,IFERROR(IF(VALUE($B1220)&lt;100000000,VALUE($B1220),1000000000),IFERROR(IF(VALUE(MID($B1220,2,20))&lt;100000000,VALUE(MID($B1220,2,20)),1000000000),1000000000))+ROW()/100000,"")</f>
        <v/>
      </c>
    </row>
    <row r="1221">
      <c r="C1221" s="11" t="n"/>
      <c r="J1221" s="7">
        <f>IF($B1221="","",I1221*Q1221/100)</f>
        <v/>
      </c>
      <c r="P1221" s="7" t="n"/>
      <c r="Q1221" s="7" t="n"/>
      <c r="R1221" s="7">
        <f>IF($B1221="","",Q1221*W1221/100)</f>
        <v/>
      </c>
      <c r="S1221" s="7">
        <f>IF($B1221="","",Q1221-R1221)</f>
        <v/>
      </c>
      <c r="T1221" s="7">
        <f>IF($B1221="","",S1221-J1221)</f>
        <v/>
      </c>
      <c r="W1221">
        <f>IF($B1221="","",IF($AI1221=1,0,IF($AH1221=1,Settings!$C$6,Settings!$C$7))*100)</f>
        <v/>
      </c>
      <c r="AA1221" s="7" t="n"/>
      <c r="AD1221" s="11" t="n"/>
      <c r="AF1221">
        <f>IF($B1221="","",IF(COUNTIF($B$2:$B1221,$B1221)=1,1,0))</f>
        <v/>
      </c>
      <c r="AG1221">
        <f>IF($AF1221=1,SUMPRODUCT(--($AJ$2:$AJ$1501&lt;$AJ1221))+1,"")</f>
        <v/>
      </c>
      <c r="AH1221">
        <f>IF($B1221="","",IF(OR($M1221=TRUE(),$M1221="TRUE"),1,0))</f>
        <v/>
      </c>
      <c r="AI1221">
        <f>IF($B1221="","",IF($V1221="Yes",1,0))</f>
        <v/>
      </c>
      <c r="AJ1221">
        <f>IF($AF1221=1,IFERROR(IF(VALUE($B1221)&lt;100000000,VALUE($B1221),1000000000),IFERROR(IF(VALUE(MID($B1221,2,20))&lt;100000000,VALUE(MID($B1221,2,20)),1000000000),1000000000))+ROW()/100000,"")</f>
        <v/>
      </c>
    </row>
    <row r="1222">
      <c r="C1222" s="11" t="n"/>
      <c r="J1222" s="7">
        <f>IF($B1222="","",I1222*Q1222/100)</f>
        <v/>
      </c>
      <c r="P1222" s="7" t="n"/>
      <c r="Q1222" s="7" t="n"/>
      <c r="R1222" s="7">
        <f>IF($B1222="","",Q1222*W1222/100)</f>
        <v/>
      </c>
      <c r="S1222" s="7">
        <f>IF($B1222="","",Q1222-R1222)</f>
        <v/>
      </c>
      <c r="T1222" s="7">
        <f>IF($B1222="","",S1222-J1222)</f>
        <v/>
      </c>
      <c r="W1222">
        <f>IF($B1222="","",IF($AI1222=1,0,IF($AH1222=1,Settings!$C$6,Settings!$C$7))*100)</f>
        <v/>
      </c>
      <c r="AA1222" s="7" t="n"/>
      <c r="AD1222" s="11" t="n"/>
      <c r="AF1222">
        <f>IF($B1222="","",IF(COUNTIF($B$2:$B1222,$B1222)=1,1,0))</f>
        <v/>
      </c>
      <c r="AG1222">
        <f>IF($AF1222=1,SUMPRODUCT(--($AJ$2:$AJ$1501&lt;$AJ1222))+1,"")</f>
        <v/>
      </c>
      <c r="AH1222">
        <f>IF($B1222="","",IF(OR($M1222=TRUE(),$M1222="TRUE"),1,0))</f>
        <v/>
      </c>
      <c r="AI1222">
        <f>IF($B1222="","",IF($V1222="Yes",1,0))</f>
        <v/>
      </c>
      <c r="AJ1222">
        <f>IF($AF1222=1,IFERROR(IF(VALUE($B1222)&lt;100000000,VALUE($B1222),1000000000),IFERROR(IF(VALUE(MID($B1222,2,20))&lt;100000000,VALUE(MID($B1222,2,20)),1000000000),1000000000))+ROW()/100000,"")</f>
        <v/>
      </c>
    </row>
    <row r="1223">
      <c r="C1223" s="11" t="n"/>
      <c r="J1223" s="7">
        <f>IF($B1223="","",I1223*Q1223/100)</f>
        <v/>
      </c>
      <c r="P1223" s="7" t="n"/>
      <c r="Q1223" s="7" t="n"/>
      <c r="R1223" s="7">
        <f>IF($B1223="","",Q1223*W1223/100)</f>
        <v/>
      </c>
      <c r="S1223" s="7">
        <f>IF($B1223="","",Q1223-R1223)</f>
        <v/>
      </c>
      <c r="T1223" s="7">
        <f>IF($B1223="","",S1223-J1223)</f>
        <v/>
      </c>
      <c r="W1223">
        <f>IF($B1223="","",IF($AI1223=1,0,IF($AH1223=1,Settings!$C$6,Settings!$C$7))*100)</f>
        <v/>
      </c>
      <c r="AA1223" s="7" t="n"/>
      <c r="AD1223" s="11" t="n"/>
      <c r="AF1223">
        <f>IF($B1223="","",IF(COUNTIF($B$2:$B1223,$B1223)=1,1,0))</f>
        <v/>
      </c>
      <c r="AG1223">
        <f>IF($AF1223=1,SUMPRODUCT(--($AJ$2:$AJ$1501&lt;$AJ1223))+1,"")</f>
        <v/>
      </c>
      <c r="AH1223">
        <f>IF($B1223="","",IF(OR($M1223=TRUE(),$M1223="TRUE"),1,0))</f>
        <v/>
      </c>
      <c r="AI1223">
        <f>IF($B1223="","",IF($V1223="Yes",1,0))</f>
        <v/>
      </c>
      <c r="AJ1223">
        <f>IF($AF1223=1,IFERROR(IF(VALUE($B1223)&lt;100000000,VALUE($B1223),1000000000),IFERROR(IF(VALUE(MID($B1223,2,20))&lt;100000000,VALUE(MID($B1223,2,20)),1000000000),1000000000))+ROW()/100000,"")</f>
        <v/>
      </c>
    </row>
    <row r="1224">
      <c r="C1224" s="11" t="n"/>
      <c r="J1224" s="7">
        <f>IF($B1224="","",I1224*Q1224/100)</f>
        <v/>
      </c>
      <c r="P1224" s="7" t="n"/>
      <c r="Q1224" s="7" t="n"/>
      <c r="R1224" s="7">
        <f>IF($B1224="","",Q1224*W1224/100)</f>
        <v/>
      </c>
      <c r="S1224" s="7">
        <f>IF($B1224="","",Q1224-R1224)</f>
        <v/>
      </c>
      <c r="T1224" s="7">
        <f>IF($B1224="","",S1224-J1224)</f>
        <v/>
      </c>
      <c r="W1224">
        <f>IF($B1224="","",IF($AI1224=1,0,IF($AH1224=1,Settings!$C$6,Settings!$C$7))*100)</f>
        <v/>
      </c>
      <c r="AA1224" s="7" t="n"/>
      <c r="AD1224" s="11" t="n"/>
      <c r="AF1224">
        <f>IF($B1224="","",IF(COUNTIF($B$2:$B1224,$B1224)=1,1,0))</f>
        <v/>
      </c>
      <c r="AG1224">
        <f>IF($AF1224=1,SUMPRODUCT(--($AJ$2:$AJ$1501&lt;$AJ1224))+1,"")</f>
        <v/>
      </c>
      <c r="AH1224">
        <f>IF($B1224="","",IF(OR($M1224=TRUE(),$M1224="TRUE"),1,0))</f>
        <v/>
      </c>
      <c r="AI1224">
        <f>IF($B1224="","",IF($V1224="Yes",1,0))</f>
        <v/>
      </c>
      <c r="AJ1224">
        <f>IF($AF1224=1,IFERROR(IF(VALUE($B1224)&lt;100000000,VALUE($B1224),1000000000),IFERROR(IF(VALUE(MID($B1224,2,20))&lt;100000000,VALUE(MID($B1224,2,20)),1000000000),1000000000))+ROW()/100000,"")</f>
        <v/>
      </c>
    </row>
    <row r="1225">
      <c r="C1225" s="11" t="n"/>
      <c r="J1225" s="7">
        <f>IF($B1225="","",I1225*Q1225/100)</f>
        <v/>
      </c>
      <c r="P1225" s="7" t="n"/>
      <c r="Q1225" s="7" t="n"/>
      <c r="R1225" s="7">
        <f>IF($B1225="","",Q1225*W1225/100)</f>
        <v/>
      </c>
      <c r="S1225" s="7">
        <f>IF($B1225="","",Q1225-R1225)</f>
        <v/>
      </c>
      <c r="T1225" s="7">
        <f>IF($B1225="","",S1225-J1225)</f>
        <v/>
      </c>
      <c r="W1225">
        <f>IF($B1225="","",IF($AI1225=1,0,IF($AH1225=1,Settings!$C$6,Settings!$C$7))*100)</f>
        <v/>
      </c>
      <c r="AA1225" s="7" t="n"/>
      <c r="AD1225" s="11" t="n"/>
      <c r="AF1225">
        <f>IF($B1225="","",IF(COUNTIF($B$2:$B1225,$B1225)=1,1,0))</f>
        <v/>
      </c>
      <c r="AG1225">
        <f>IF($AF1225=1,SUMPRODUCT(--($AJ$2:$AJ$1501&lt;$AJ1225))+1,"")</f>
        <v/>
      </c>
      <c r="AH1225">
        <f>IF($B1225="","",IF(OR($M1225=TRUE(),$M1225="TRUE"),1,0))</f>
        <v/>
      </c>
      <c r="AI1225">
        <f>IF($B1225="","",IF($V1225="Yes",1,0))</f>
        <v/>
      </c>
      <c r="AJ1225">
        <f>IF($AF1225=1,IFERROR(IF(VALUE($B1225)&lt;100000000,VALUE($B1225),1000000000),IFERROR(IF(VALUE(MID($B1225,2,20))&lt;100000000,VALUE(MID($B1225,2,20)),1000000000),1000000000))+ROW()/100000,"")</f>
        <v/>
      </c>
    </row>
    <row r="1226">
      <c r="C1226" s="11" t="n"/>
      <c r="J1226" s="7">
        <f>IF($B1226="","",I1226*Q1226/100)</f>
        <v/>
      </c>
      <c r="P1226" s="7" t="n"/>
      <c r="Q1226" s="7" t="n"/>
      <c r="R1226" s="7">
        <f>IF($B1226="","",Q1226*W1226/100)</f>
        <v/>
      </c>
      <c r="S1226" s="7">
        <f>IF($B1226="","",Q1226-R1226)</f>
        <v/>
      </c>
      <c r="T1226" s="7">
        <f>IF($B1226="","",S1226-J1226)</f>
        <v/>
      </c>
      <c r="W1226">
        <f>IF($B1226="","",IF($AI1226=1,0,IF($AH1226=1,Settings!$C$6,Settings!$C$7))*100)</f>
        <v/>
      </c>
      <c r="AA1226" s="7" t="n"/>
      <c r="AD1226" s="11" t="n"/>
      <c r="AF1226">
        <f>IF($B1226="","",IF(COUNTIF($B$2:$B1226,$B1226)=1,1,0))</f>
        <v/>
      </c>
      <c r="AG1226">
        <f>IF($AF1226=1,SUMPRODUCT(--($AJ$2:$AJ$1501&lt;$AJ1226))+1,"")</f>
        <v/>
      </c>
      <c r="AH1226">
        <f>IF($B1226="","",IF(OR($M1226=TRUE(),$M1226="TRUE"),1,0))</f>
        <v/>
      </c>
      <c r="AI1226">
        <f>IF($B1226="","",IF($V1226="Yes",1,0))</f>
        <v/>
      </c>
      <c r="AJ1226">
        <f>IF($AF1226=1,IFERROR(IF(VALUE($B1226)&lt;100000000,VALUE($B1226),1000000000),IFERROR(IF(VALUE(MID($B1226,2,20))&lt;100000000,VALUE(MID($B1226,2,20)),1000000000),1000000000))+ROW()/100000,"")</f>
        <v/>
      </c>
    </row>
    <row r="1227">
      <c r="C1227" s="11" t="n"/>
      <c r="J1227" s="7">
        <f>IF($B1227="","",I1227*Q1227/100)</f>
        <v/>
      </c>
      <c r="P1227" s="7" t="n"/>
      <c r="Q1227" s="7" t="n"/>
      <c r="R1227" s="7">
        <f>IF($B1227="","",Q1227*W1227/100)</f>
        <v/>
      </c>
      <c r="S1227" s="7">
        <f>IF($B1227="","",Q1227-R1227)</f>
        <v/>
      </c>
      <c r="T1227" s="7">
        <f>IF($B1227="","",S1227-J1227)</f>
        <v/>
      </c>
      <c r="W1227">
        <f>IF($B1227="","",IF($AI1227=1,0,IF($AH1227=1,Settings!$C$6,Settings!$C$7))*100)</f>
        <v/>
      </c>
      <c r="AA1227" s="7" t="n"/>
      <c r="AD1227" s="11" t="n"/>
      <c r="AF1227">
        <f>IF($B1227="","",IF(COUNTIF($B$2:$B1227,$B1227)=1,1,0))</f>
        <v/>
      </c>
      <c r="AG1227">
        <f>IF($AF1227=1,SUMPRODUCT(--($AJ$2:$AJ$1501&lt;$AJ1227))+1,"")</f>
        <v/>
      </c>
      <c r="AH1227">
        <f>IF($B1227="","",IF(OR($M1227=TRUE(),$M1227="TRUE"),1,0))</f>
        <v/>
      </c>
      <c r="AI1227">
        <f>IF($B1227="","",IF($V1227="Yes",1,0))</f>
        <v/>
      </c>
      <c r="AJ1227">
        <f>IF($AF1227=1,IFERROR(IF(VALUE($B1227)&lt;100000000,VALUE($B1227),1000000000),IFERROR(IF(VALUE(MID($B1227,2,20))&lt;100000000,VALUE(MID($B1227,2,20)),1000000000),1000000000))+ROW()/100000,"")</f>
        <v/>
      </c>
    </row>
    <row r="1228">
      <c r="C1228" s="11" t="n"/>
      <c r="J1228" s="7">
        <f>IF($B1228="","",I1228*Q1228/100)</f>
        <v/>
      </c>
      <c r="P1228" s="7" t="n"/>
      <c r="Q1228" s="7" t="n"/>
      <c r="R1228" s="7">
        <f>IF($B1228="","",Q1228*W1228/100)</f>
        <v/>
      </c>
      <c r="S1228" s="7">
        <f>IF($B1228="","",Q1228-R1228)</f>
        <v/>
      </c>
      <c r="T1228" s="7">
        <f>IF($B1228="","",S1228-J1228)</f>
        <v/>
      </c>
      <c r="W1228">
        <f>IF($B1228="","",IF($AI1228=1,0,IF($AH1228=1,Settings!$C$6,Settings!$C$7))*100)</f>
        <v/>
      </c>
      <c r="AA1228" s="7" t="n"/>
      <c r="AD1228" s="11" t="n"/>
      <c r="AF1228">
        <f>IF($B1228="","",IF(COUNTIF($B$2:$B1228,$B1228)=1,1,0))</f>
        <v/>
      </c>
      <c r="AG1228">
        <f>IF($AF1228=1,SUMPRODUCT(--($AJ$2:$AJ$1501&lt;$AJ1228))+1,"")</f>
        <v/>
      </c>
      <c r="AH1228">
        <f>IF($B1228="","",IF(OR($M1228=TRUE(),$M1228="TRUE"),1,0))</f>
        <v/>
      </c>
      <c r="AI1228">
        <f>IF($B1228="","",IF($V1228="Yes",1,0))</f>
        <v/>
      </c>
      <c r="AJ1228">
        <f>IF($AF1228=1,IFERROR(IF(VALUE($B1228)&lt;100000000,VALUE($B1228),1000000000),IFERROR(IF(VALUE(MID($B1228,2,20))&lt;100000000,VALUE(MID($B1228,2,20)),1000000000),1000000000))+ROW()/100000,"")</f>
        <v/>
      </c>
    </row>
    <row r="1229">
      <c r="C1229" s="11" t="n"/>
      <c r="J1229" s="7">
        <f>IF($B1229="","",I1229*Q1229/100)</f>
        <v/>
      </c>
      <c r="P1229" s="7" t="n"/>
      <c r="Q1229" s="7" t="n"/>
      <c r="R1229" s="7">
        <f>IF($B1229="","",Q1229*W1229/100)</f>
        <v/>
      </c>
      <c r="S1229" s="7">
        <f>IF($B1229="","",Q1229-R1229)</f>
        <v/>
      </c>
      <c r="T1229" s="7">
        <f>IF($B1229="","",S1229-J1229)</f>
        <v/>
      </c>
      <c r="W1229">
        <f>IF($B1229="","",IF($AI1229=1,0,IF($AH1229=1,Settings!$C$6,Settings!$C$7))*100)</f>
        <v/>
      </c>
      <c r="AA1229" s="7" t="n"/>
      <c r="AD1229" s="11" t="n"/>
      <c r="AF1229">
        <f>IF($B1229="","",IF(COUNTIF($B$2:$B1229,$B1229)=1,1,0))</f>
        <v/>
      </c>
      <c r="AG1229">
        <f>IF($AF1229=1,SUMPRODUCT(--($AJ$2:$AJ$1501&lt;$AJ1229))+1,"")</f>
        <v/>
      </c>
      <c r="AH1229">
        <f>IF($B1229="","",IF(OR($M1229=TRUE(),$M1229="TRUE"),1,0))</f>
        <v/>
      </c>
      <c r="AI1229">
        <f>IF($B1229="","",IF($V1229="Yes",1,0))</f>
        <v/>
      </c>
      <c r="AJ1229">
        <f>IF($AF1229=1,IFERROR(IF(VALUE($B1229)&lt;100000000,VALUE($B1229),1000000000),IFERROR(IF(VALUE(MID($B1229,2,20))&lt;100000000,VALUE(MID($B1229,2,20)),1000000000),1000000000))+ROW()/100000,"")</f>
        <v/>
      </c>
    </row>
    <row r="1230">
      <c r="C1230" s="11" t="n"/>
      <c r="J1230" s="7">
        <f>IF($B1230="","",I1230*Q1230/100)</f>
        <v/>
      </c>
      <c r="P1230" s="7" t="n"/>
      <c r="Q1230" s="7" t="n"/>
      <c r="R1230" s="7">
        <f>IF($B1230="","",Q1230*W1230/100)</f>
        <v/>
      </c>
      <c r="S1230" s="7">
        <f>IF($B1230="","",Q1230-R1230)</f>
        <v/>
      </c>
      <c r="T1230" s="7">
        <f>IF($B1230="","",S1230-J1230)</f>
        <v/>
      </c>
      <c r="W1230">
        <f>IF($B1230="","",IF($AI1230=1,0,IF($AH1230=1,Settings!$C$6,Settings!$C$7))*100)</f>
        <v/>
      </c>
      <c r="AA1230" s="7" t="n"/>
      <c r="AD1230" s="11" t="n"/>
      <c r="AF1230">
        <f>IF($B1230="","",IF(COUNTIF($B$2:$B1230,$B1230)=1,1,0))</f>
        <v/>
      </c>
      <c r="AG1230">
        <f>IF($AF1230=1,SUMPRODUCT(--($AJ$2:$AJ$1501&lt;$AJ1230))+1,"")</f>
        <v/>
      </c>
      <c r="AH1230">
        <f>IF($B1230="","",IF(OR($M1230=TRUE(),$M1230="TRUE"),1,0))</f>
        <v/>
      </c>
      <c r="AI1230">
        <f>IF($B1230="","",IF($V1230="Yes",1,0))</f>
        <v/>
      </c>
      <c r="AJ1230">
        <f>IF($AF1230=1,IFERROR(IF(VALUE($B1230)&lt;100000000,VALUE($B1230),1000000000),IFERROR(IF(VALUE(MID($B1230,2,20))&lt;100000000,VALUE(MID($B1230,2,20)),1000000000),1000000000))+ROW()/100000,"")</f>
        <v/>
      </c>
    </row>
    <row r="1231">
      <c r="C1231" s="11" t="n"/>
      <c r="J1231" s="7">
        <f>IF($B1231="","",I1231*Q1231/100)</f>
        <v/>
      </c>
      <c r="P1231" s="7" t="n"/>
      <c r="Q1231" s="7" t="n"/>
      <c r="R1231" s="7">
        <f>IF($B1231="","",Q1231*W1231/100)</f>
        <v/>
      </c>
      <c r="S1231" s="7">
        <f>IF($B1231="","",Q1231-R1231)</f>
        <v/>
      </c>
      <c r="T1231" s="7">
        <f>IF($B1231="","",S1231-J1231)</f>
        <v/>
      </c>
      <c r="W1231">
        <f>IF($B1231="","",IF($AI1231=1,0,IF($AH1231=1,Settings!$C$6,Settings!$C$7))*100)</f>
        <v/>
      </c>
      <c r="AA1231" s="7" t="n"/>
      <c r="AD1231" s="11" t="n"/>
      <c r="AF1231">
        <f>IF($B1231="","",IF(COUNTIF($B$2:$B1231,$B1231)=1,1,0))</f>
        <v/>
      </c>
      <c r="AG1231">
        <f>IF($AF1231=1,SUMPRODUCT(--($AJ$2:$AJ$1501&lt;$AJ1231))+1,"")</f>
        <v/>
      </c>
      <c r="AH1231">
        <f>IF($B1231="","",IF(OR($M1231=TRUE(),$M1231="TRUE"),1,0))</f>
        <v/>
      </c>
      <c r="AI1231">
        <f>IF($B1231="","",IF($V1231="Yes",1,0))</f>
        <v/>
      </c>
      <c r="AJ1231">
        <f>IF($AF1231=1,IFERROR(IF(VALUE($B1231)&lt;100000000,VALUE($B1231),1000000000),IFERROR(IF(VALUE(MID($B1231,2,20))&lt;100000000,VALUE(MID($B1231,2,20)),1000000000),1000000000))+ROW()/100000,"")</f>
        <v/>
      </c>
    </row>
    <row r="1232">
      <c r="C1232" s="11" t="n"/>
      <c r="J1232" s="7">
        <f>IF($B1232="","",I1232*Q1232/100)</f>
        <v/>
      </c>
      <c r="P1232" s="7" t="n"/>
      <c r="Q1232" s="7" t="n"/>
      <c r="R1232" s="7">
        <f>IF($B1232="","",Q1232*W1232/100)</f>
        <v/>
      </c>
      <c r="S1232" s="7">
        <f>IF($B1232="","",Q1232-R1232)</f>
        <v/>
      </c>
      <c r="T1232" s="7">
        <f>IF($B1232="","",S1232-J1232)</f>
        <v/>
      </c>
      <c r="W1232">
        <f>IF($B1232="","",IF($AI1232=1,0,IF($AH1232=1,Settings!$C$6,Settings!$C$7))*100)</f>
        <v/>
      </c>
      <c r="AA1232" s="7" t="n"/>
      <c r="AD1232" s="11" t="n"/>
      <c r="AF1232">
        <f>IF($B1232="","",IF(COUNTIF($B$2:$B1232,$B1232)=1,1,0))</f>
        <v/>
      </c>
      <c r="AG1232">
        <f>IF($AF1232=1,SUMPRODUCT(--($AJ$2:$AJ$1501&lt;$AJ1232))+1,"")</f>
        <v/>
      </c>
      <c r="AH1232">
        <f>IF($B1232="","",IF(OR($M1232=TRUE(),$M1232="TRUE"),1,0))</f>
        <v/>
      </c>
      <c r="AI1232">
        <f>IF($B1232="","",IF($V1232="Yes",1,0))</f>
        <v/>
      </c>
      <c r="AJ1232">
        <f>IF($AF1232=1,IFERROR(IF(VALUE($B1232)&lt;100000000,VALUE($B1232),1000000000),IFERROR(IF(VALUE(MID($B1232,2,20))&lt;100000000,VALUE(MID($B1232,2,20)),1000000000),1000000000))+ROW()/100000,"")</f>
        <v/>
      </c>
    </row>
    <row r="1233">
      <c r="C1233" s="11" t="n"/>
      <c r="J1233" s="7">
        <f>IF($B1233="","",I1233*Q1233/100)</f>
        <v/>
      </c>
      <c r="P1233" s="7" t="n"/>
      <c r="Q1233" s="7" t="n"/>
      <c r="R1233" s="7">
        <f>IF($B1233="","",Q1233*W1233/100)</f>
        <v/>
      </c>
      <c r="S1233" s="7">
        <f>IF($B1233="","",Q1233-R1233)</f>
        <v/>
      </c>
      <c r="T1233" s="7">
        <f>IF($B1233="","",S1233-J1233)</f>
        <v/>
      </c>
      <c r="W1233">
        <f>IF($B1233="","",IF($AI1233=1,0,IF($AH1233=1,Settings!$C$6,Settings!$C$7))*100)</f>
        <v/>
      </c>
      <c r="AA1233" s="7" t="n"/>
      <c r="AD1233" s="11" t="n"/>
      <c r="AF1233">
        <f>IF($B1233="","",IF(COUNTIF($B$2:$B1233,$B1233)=1,1,0))</f>
        <v/>
      </c>
      <c r="AG1233">
        <f>IF($AF1233=1,SUMPRODUCT(--($AJ$2:$AJ$1501&lt;$AJ1233))+1,"")</f>
        <v/>
      </c>
      <c r="AH1233">
        <f>IF($B1233="","",IF(OR($M1233=TRUE(),$M1233="TRUE"),1,0))</f>
        <v/>
      </c>
      <c r="AI1233">
        <f>IF($B1233="","",IF($V1233="Yes",1,0))</f>
        <v/>
      </c>
      <c r="AJ1233">
        <f>IF($AF1233=1,IFERROR(IF(VALUE($B1233)&lt;100000000,VALUE($B1233),1000000000),IFERROR(IF(VALUE(MID($B1233,2,20))&lt;100000000,VALUE(MID($B1233,2,20)),1000000000),1000000000))+ROW()/100000,"")</f>
        <v/>
      </c>
    </row>
    <row r="1234">
      <c r="C1234" s="11" t="n"/>
      <c r="J1234" s="7">
        <f>IF($B1234="","",I1234*Q1234/100)</f>
        <v/>
      </c>
      <c r="P1234" s="7" t="n"/>
      <c r="Q1234" s="7" t="n"/>
      <c r="R1234" s="7">
        <f>IF($B1234="","",Q1234*W1234/100)</f>
        <v/>
      </c>
      <c r="S1234" s="7">
        <f>IF($B1234="","",Q1234-R1234)</f>
        <v/>
      </c>
      <c r="T1234" s="7">
        <f>IF($B1234="","",S1234-J1234)</f>
        <v/>
      </c>
      <c r="W1234">
        <f>IF($B1234="","",IF($AI1234=1,0,IF($AH1234=1,Settings!$C$6,Settings!$C$7))*100)</f>
        <v/>
      </c>
      <c r="AA1234" s="7" t="n"/>
      <c r="AD1234" s="11" t="n"/>
      <c r="AF1234">
        <f>IF($B1234="","",IF(COUNTIF($B$2:$B1234,$B1234)=1,1,0))</f>
        <v/>
      </c>
      <c r="AG1234">
        <f>IF($AF1234=1,SUMPRODUCT(--($AJ$2:$AJ$1501&lt;$AJ1234))+1,"")</f>
        <v/>
      </c>
      <c r="AH1234">
        <f>IF($B1234="","",IF(OR($M1234=TRUE(),$M1234="TRUE"),1,0))</f>
        <v/>
      </c>
      <c r="AI1234">
        <f>IF($B1234="","",IF($V1234="Yes",1,0))</f>
        <v/>
      </c>
      <c r="AJ1234">
        <f>IF($AF1234=1,IFERROR(IF(VALUE($B1234)&lt;100000000,VALUE($B1234),1000000000),IFERROR(IF(VALUE(MID($B1234,2,20))&lt;100000000,VALUE(MID($B1234,2,20)),1000000000),1000000000))+ROW()/100000,"")</f>
        <v/>
      </c>
    </row>
    <row r="1235">
      <c r="C1235" s="11" t="n"/>
      <c r="J1235" s="7">
        <f>IF($B1235="","",I1235*Q1235/100)</f>
        <v/>
      </c>
      <c r="P1235" s="7" t="n"/>
      <c r="Q1235" s="7" t="n"/>
      <c r="R1235" s="7">
        <f>IF($B1235="","",Q1235*W1235/100)</f>
        <v/>
      </c>
      <c r="S1235" s="7">
        <f>IF($B1235="","",Q1235-R1235)</f>
        <v/>
      </c>
      <c r="T1235" s="7">
        <f>IF($B1235="","",S1235-J1235)</f>
        <v/>
      </c>
      <c r="W1235">
        <f>IF($B1235="","",IF($AI1235=1,0,IF($AH1235=1,Settings!$C$6,Settings!$C$7))*100)</f>
        <v/>
      </c>
      <c r="AA1235" s="7" t="n"/>
      <c r="AD1235" s="11" t="n"/>
      <c r="AF1235">
        <f>IF($B1235="","",IF(COUNTIF($B$2:$B1235,$B1235)=1,1,0))</f>
        <v/>
      </c>
      <c r="AG1235">
        <f>IF($AF1235=1,SUMPRODUCT(--($AJ$2:$AJ$1501&lt;$AJ1235))+1,"")</f>
        <v/>
      </c>
      <c r="AH1235">
        <f>IF($B1235="","",IF(OR($M1235=TRUE(),$M1235="TRUE"),1,0))</f>
        <v/>
      </c>
      <c r="AI1235">
        <f>IF($B1235="","",IF($V1235="Yes",1,0))</f>
        <v/>
      </c>
      <c r="AJ1235">
        <f>IF($AF1235=1,IFERROR(IF(VALUE($B1235)&lt;100000000,VALUE($B1235),1000000000),IFERROR(IF(VALUE(MID($B1235,2,20))&lt;100000000,VALUE(MID($B1235,2,20)),1000000000),1000000000))+ROW()/100000,"")</f>
        <v/>
      </c>
    </row>
    <row r="1236">
      <c r="C1236" s="11" t="n"/>
      <c r="J1236" s="7">
        <f>IF($B1236="","",I1236*Q1236/100)</f>
        <v/>
      </c>
      <c r="P1236" s="7" t="n"/>
      <c r="Q1236" s="7" t="n"/>
      <c r="R1236" s="7">
        <f>IF($B1236="","",Q1236*W1236/100)</f>
        <v/>
      </c>
      <c r="S1236" s="7">
        <f>IF($B1236="","",Q1236-R1236)</f>
        <v/>
      </c>
      <c r="T1236" s="7">
        <f>IF($B1236="","",S1236-J1236)</f>
        <v/>
      </c>
      <c r="W1236">
        <f>IF($B1236="","",IF($AI1236=1,0,IF($AH1236=1,Settings!$C$6,Settings!$C$7))*100)</f>
        <v/>
      </c>
      <c r="AA1236" s="7" t="n"/>
      <c r="AD1236" s="11" t="n"/>
      <c r="AF1236">
        <f>IF($B1236="","",IF(COUNTIF($B$2:$B1236,$B1236)=1,1,0))</f>
        <v/>
      </c>
      <c r="AG1236">
        <f>IF($AF1236=1,SUMPRODUCT(--($AJ$2:$AJ$1501&lt;$AJ1236))+1,"")</f>
        <v/>
      </c>
      <c r="AH1236">
        <f>IF($B1236="","",IF(OR($M1236=TRUE(),$M1236="TRUE"),1,0))</f>
        <v/>
      </c>
      <c r="AI1236">
        <f>IF($B1236="","",IF($V1236="Yes",1,0))</f>
        <v/>
      </c>
      <c r="AJ1236">
        <f>IF($AF1236=1,IFERROR(IF(VALUE($B1236)&lt;100000000,VALUE($B1236),1000000000),IFERROR(IF(VALUE(MID($B1236,2,20))&lt;100000000,VALUE(MID($B1236,2,20)),1000000000),1000000000))+ROW()/100000,"")</f>
        <v/>
      </c>
    </row>
    <row r="1237">
      <c r="C1237" s="11" t="n"/>
      <c r="J1237" s="7">
        <f>IF($B1237="","",I1237*Q1237/100)</f>
        <v/>
      </c>
      <c r="P1237" s="7" t="n"/>
      <c r="Q1237" s="7" t="n"/>
      <c r="R1237" s="7">
        <f>IF($B1237="","",Q1237*W1237/100)</f>
        <v/>
      </c>
      <c r="S1237" s="7">
        <f>IF($B1237="","",Q1237-R1237)</f>
        <v/>
      </c>
      <c r="T1237" s="7">
        <f>IF($B1237="","",S1237-J1237)</f>
        <v/>
      </c>
      <c r="W1237">
        <f>IF($B1237="","",IF($AI1237=1,0,IF($AH1237=1,Settings!$C$6,Settings!$C$7))*100)</f>
        <v/>
      </c>
      <c r="AA1237" s="7" t="n"/>
      <c r="AD1237" s="11" t="n"/>
      <c r="AF1237">
        <f>IF($B1237="","",IF(COUNTIF($B$2:$B1237,$B1237)=1,1,0))</f>
        <v/>
      </c>
      <c r="AG1237">
        <f>IF($AF1237=1,SUMPRODUCT(--($AJ$2:$AJ$1501&lt;$AJ1237))+1,"")</f>
        <v/>
      </c>
      <c r="AH1237">
        <f>IF($B1237="","",IF(OR($M1237=TRUE(),$M1237="TRUE"),1,0))</f>
        <v/>
      </c>
      <c r="AI1237">
        <f>IF($B1237="","",IF($V1237="Yes",1,0))</f>
        <v/>
      </c>
      <c r="AJ1237">
        <f>IF($AF1237=1,IFERROR(IF(VALUE($B1237)&lt;100000000,VALUE($B1237),1000000000),IFERROR(IF(VALUE(MID($B1237,2,20))&lt;100000000,VALUE(MID($B1237,2,20)),1000000000),1000000000))+ROW()/100000,"")</f>
        <v/>
      </c>
    </row>
    <row r="1238">
      <c r="C1238" s="11" t="n"/>
      <c r="J1238" s="7">
        <f>IF($B1238="","",I1238*Q1238/100)</f>
        <v/>
      </c>
      <c r="P1238" s="7" t="n"/>
      <c r="Q1238" s="7" t="n"/>
      <c r="R1238" s="7">
        <f>IF($B1238="","",Q1238*W1238/100)</f>
        <v/>
      </c>
      <c r="S1238" s="7">
        <f>IF($B1238="","",Q1238-R1238)</f>
        <v/>
      </c>
      <c r="T1238" s="7">
        <f>IF($B1238="","",S1238-J1238)</f>
        <v/>
      </c>
      <c r="W1238">
        <f>IF($B1238="","",IF($AI1238=1,0,IF($AH1238=1,Settings!$C$6,Settings!$C$7))*100)</f>
        <v/>
      </c>
      <c r="AA1238" s="7" t="n"/>
      <c r="AD1238" s="11" t="n"/>
      <c r="AF1238">
        <f>IF($B1238="","",IF(COUNTIF($B$2:$B1238,$B1238)=1,1,0))</f>
        <v/>
      </c>
      <c r="AG1238">
        <f>IF($AF1238=1,SUMPRODUCT(--($AJ$2:$AJ$1501&lt;$AJ1238))+1,"")</f>
        <v/>
      </c>
      <c r="AH1238">
        <f>IF($B1238="","",IF(OR($M1238=TRUE(),$M1238="TRUE"),1,0))</f>
        <v/>
      </c>
      <c r="AI1238">
        <f>IF($B1238="","",IF($V1238="Yes",1,0))</f>
        <v/>
      </c>
      <c r="AJ1238">
        <f>IF($AF1238=1,IFERROR(IF(VALUE($B1238)&lt;100000000,VALUE($B1238),1000000000),IFERROR(IF(VALUE(MID($B1238,2,20))&lt;100000000,VALUE(MID($B1238,2,20)),1000000000),1000000000))+ROW()/100000,"")</f>
        <v/>
      </c>
    </row>
    <row r="1239">
      <c r="C1239" s="11" t="n"/>
      <c r="J1239" s="7">
        <f>IF($B1239="","",I1239*Q1239/100)</f>
        <v/>
      </c>
      <c r="P1239" s="7" t="n"/>
      <c r="Q1239" s="7" t="n"/>
      <c r="R1239" s="7">
        <f>IF($B1239="","",Q1239*W1239/100)</f>
        <v/>
      </c>
      <c r="S1239" s="7">
        <f>IF($B1239="","",Q1239-R1239)</f>
        <v/>
      </c>
      <c r="T1239" s="7">
        <f>IF($B1239="","",S1239-J1239)</f>
        <v/>
      </c>
      <c r="W1239">
        <f>IF($B1239="","",IF($AI1239=1,0,IF($AH1239=1,Settings!$C$6,Settings!$C$7))*100)</f>
        <v/>
      </c>
      <c r="AA1239" s="7" t="n"/>
      <c r="AD1239" s="11" t="n"/>
      <c r="AF1239">
        <f>IF($B1239="","",IF(COUNTIF($B$2:$B1239,$B1239)=1,1,0))</f>
        <v/>
      </c>
      <c r="AG1239">
        <f>IF($AF1239=1,SUMPRODUCT(--($AJ$2:$AJ$1501&lt;$AJ1239))+1,"")</f>
        <v/>
      </c>
      <c r="AH1239">
        <f>IF($B1239="","",IF(OR($M1239=TRUE(),$M1239="TRUE"),1,0))</f>
        <v/>
      </c>
      <c r="AI1239">
        <f>IF($B1239="","",IF($V1239="Yes",1,0))</f>
        <v/>
      </c>
      <c r="AJ1239">
        <f>IF($AF1239=1,IFERROR(IF(VALUE($B1239)&lt;100000000,VALUE($B1239),1000000000),IFERROR(IF(VALUE(MID($B1239,2,20))&lt;100000000,VALUE(MID($B1239,2,20)),1000000000),1000000000))+ROW()/100000,"")</f>
        <v/>
      </c>
    </row>
    <row r="1240">
      <c r="C1240" s="11" t="n"/>
      <c r="J1240" s="7">
        <f>IF($B1240="","",I1240*Q1240/100)</f>
        <v/>
      </c>
      <c r="P1240" s="7" t="n"/>
      <c r="Q1240" s="7" t="n"/>
      <c r="R1240" s="7">
        <f>IF($B1240="","",Q1240*W1240/100)</f>
        <v/>
      </c>
      <c r="S1240" s="7">
        <f>IF($B1240="","",Q1240-R1240)</f>
        <v/>
      </c>
      <c r="T1240" s="7">
        <f>IF($B1240="","",S1240-J1240)</f>
        <v/>
      </c>
      <c r="W1240">
        <f>IF($B1240="","",IF($AI1240=1,0,IF($AH1240=1,Settings!$C$6,Settings!$C$7))*100)</f>
        <v/>
      </c>
      <c r="AA1240" s="7" t="n"/>
      <c r="AD1240" s="11" t="n"/>
      <c r="AF1240">
        <f>IF($B1240="","",IF(COUNTIF($B$2:$B1240,$B1240)=1,1,0))</f>
        <v/>
      </c>
      <c r="AG1240">
        <f>IF($AF1240=1,SUMPRODUCT(--($AJ$2:$AJ$1501&lt;$AJ1240))+1,"")</f>
        <v/>
      </c>
      <c r="AH1240">
        <f>IF($B1240="","",IF(OR($M1240=TRUE(),$M1240="TRUE"),1,0))</f>
        <v/>
      </c>
      <c r="AI1240">
        <f>IF($B1240="","",IF($V1240="Yes",1,0))</f>
        <v/>
      </c>
      <c r="AJ1240">
        <f>IF($AF1240=1,IFERROR(IF(VALUE($B1240)&lt;100000000,VALUE($B1240),1000000000),IFERROR(IF(VALUE(MID($B1240,2,20))&lt;100000000,VALUE(MID($B1240,2,20)),1000000000),1000000000))+ROW()/100000,"")</f>
        <v/>
      </c>
    </row>
    <row r="1241">
      <c r="C1241" s="11" t="n"/>
      <c r="J1241" s="7">
        <f>IF($B1241="","",I1241*Q1241/100)</f>
        <v/>
      </c>
      <c r="P1241" s="7" t="n"/>
      <c r="Q1241" s="7" t="n"/>
      <c r="R1241" s="7">
        <f>IF($B1241="","",Q1241*W1241/100)</f>
        <v/>
      </c>
      <c r="S1241" s="7">
        <f>IF($B1241="","",Q1241-R1241)</f>
        <v/>
      </c>
      <c r="T1241" s="7">
        <f>IF($B1241="","",S1241-J1241)</f>
        <v/>
      </c>
      <c r="W1241">
        <f>IF($B1241="","",IF($AI1241=1,0,IF($AH1241=1,Settings!$C$6,Settings!$C$7))*100)</f>
        <v/>
      </c>
      <c r="AA1241" s="7" t="n"/>
      <c r="AD1241" s="11" t="n"/>
      <c r="AF1241">
        <f>IF($B1241="","",IF(COUNTIF($B$2:$B1241,$B1241)=1,1,0))</f>
        <v/>
      </c>
      <c r="AG1241">
        <f>IF($AF1241=1,SUMPRODUCT(--($AJ$2:$AJ$1501&lt;$AJ1241))+1,"")</f>
        <v/>
      </c>
      <c r="AH1241">
        <f>IF($B1241="","",IF(OR($M1241=TRUE(),$M1241="TRUE"),1,0))</f>
        <v/>
      </c>
      <c r="AI1241">
        <f>IF($B1241="","",IF($V1241="Yes",1,0))</f>
        <v/>
      </c>
      <c r="AJ1241">
        <f>IF($AF1241=1,IFERROR(IF(VALUE($B1241)&lt;100000000,VALUE($B1241),1000000000),IFERROR(IF(VALUE(MID($B1241,2,20))&lt;100000000,VALUE(MID($B1241,2,20)),1000000000),1000000000))+ROW()/100000,"")</f>
        <v/>
      </c>
    </row>
    <row r="1242">
      <c r="C1242" s="11" t="n"/>
      <c r="J1242" s="7">
        <f>IF($B1242="","",I1242*Q1242/100)</f>
        <v/>
      </c>
      <c r="P1242" s="7" t="n"/>
      <c r="Q1242" s="7" t="n"/>
      <c r="R1242" s="7">
        <f>IF($B1242="","",Q1242*W1242/100)</f>
        <v/>
      </c>
      <c r="S1242" s="7">
        <f>IF($B1242="","",Q1242-R1242)</f>
        <v/>
      </c>
      <c r="T1242" s="7">
        <f>IF($B1242="","",S1242-J1242)</f>
        <v/>
      </c>
      <c r="W1242">
        <f>IF($B1242="","",IF($AI1242=1,0,IF($AH1242=1,Settings!$C$6,Settings!$C$7))*100)</f>
        <v/>
      </c>
      <c r="AA1242" s="7" t="n"/>
      <c r="AD1242" s="11" t="n"/>
      <c r="AF1242">
        <f>IF($B1242="","",IF(COUNTIF($B$2:$B1242,$B1242)=1,1,0))</f>
        <v/>
      </c>
      <c r="AG1242">
        <f>IF($AF1242=1,SUMPRODUCT(--($AJ$2:$AJ$1501&lt;$AJ1242))+1,"")</f>
        <v/>
      </c>
      <c r="AH1242">
        <f>IF($B1242="","",IF(OR($M1242=TRUE(),$M1242="TRUE"),1,0))</f>
        <v/>
      </c>
      <c r="AI1242">
        <f>IF($B1242="","",IF($V1242="Yes",1,0))</f>
        <v/>
      </c>
      <c r="AJ1242">
        <f>IF($AF1242=1,IFERROR(IF(VALUE($B1242)&lt;100000000,VALUE($B1242),1000000000),IFERROR(IF(VALUE(MID($B1242,2,20))&lt;100000000,VALUE(MID($B1242,2,20)),1000000000),1000000000))+ROW()/100000,"")</f>
        <v/>
      </c>
    </row>
    <row r="1243">
      <c r="C1243" s="11" t="n"/>
      <c r="J1243" s="7">
        <f>IF($B1243="","",I1243*Q1243/100)</f>
        <v/>
      </c>
      <c r="P1243" s="7" t="n"/>
      <c r="Q1243" s="7" t="n"/>
      <c r="R1243" s="7">
        <f>IF($B1243="","",Q1243*W1243/100)</f>
        <v/>
      </c>
      <c r="S1243" s="7">
        <f>IF($B1243="","",Q1243-R1243)</f>
        <v/>
      </c>
      <c r="T1243" s="7">
        <f>IF($B1243="","",S1243-J1243)</f>
        <v/>
      </c>
      <c r="W1243">
        <f>IF($B1243="","",IF($AI1243=1,0,IF($AH1243=1,Settings!$C$6,Settings!$C$7))*100)</f>
        <v/>
      </c>
      <c r="AA1243" s="7" t="n"/>
      <c r="AD1243" s="11" t="n"/>
      <c r="AF1243">
        <f>IF($B1243="","",IF(COUNTIF($B$2:$B1243,$B1243)=1,1,0))</f>
        <v/>
      </c>
      <c r="AG1243">
        <f>IF($AF1243=1,SUMPRODUCT(--($AJ$2:$AJ$1501&lt;$AJ1243))+1,"")</f>
        <v/>
      </c>
      <c r="AH1243">
        <f>IF($B1243="","",IF(OR($M1243=TRUE(),$M1243="TRUE"),1,0))</f>
        <v/>
      </c>
      <c r="AI1243">
        <f>IF($B1243="","",IF($V1243="Yes",1,0))</f>
        <v/>
      </c>
      <c r="AJ1243">
        <f>IF($AF1243=1,IFERROR(IF(VALUE($B1243)&lt;100000000,VALUE($B1243),1000000000),IFERROR(IF(VALUE(MID($B1243,2,20))&lt;100000000,VALUE(MID($B1243,2,20)),1000000000),1000000000))+ROW()/100000,"")</f>
        <v/>
      </c>
    </row>
    <row r="1244">
      <c r="C1244" s="11" t="n"/>
      <c r="J1244" s="7">
        <f>IF($B1244="","",I1244*Q1244/100)</f>
        <v/>
      </c>
      <c r="P1244" s="7" t="n"/>
      <c r="Q1244" s="7" t="n"/>
      <c r="R1244" s="7">
        <f>IF($B1244="","",Q1244*W1244/100)</f>
        <v/>
      </c>
      <c r="S1244" s="7">
        <f>IF($B1244="","",Q1244-R1244)</f>
        <v/>
      </c>
      <c r="T1244" s="7">
        <f>IF($B1244="","",S1244-J1244)</f>
        <v/>
      </c>
      <c r="W1244">
        <f>IF($B1244="","",IF($AI1244=1,0,IF($AH1244=1,Settings!$C$6,Settings!$C$7))*100)</f>
        <v/>
      </c>
      <c r="AA1244" s="7" t="n"/>
      <c r="AD1244" s="11" t="n"/>
      <c r="AF1244">
        <f>IF($B1244="","",IF(COUNTIF($B$2:$B1244,$B1244)=1,1,0))</f>
        <v/>
      </c>
      <c r="AG1244">
        <f>IF($AF1244=1,SUMPRODUCT(--($AJ$2:$AJ$1501&lt;$AJ1244))+1,"")</f>
        <v/>
      </c>
      <c r="AH1244">
        <f>IF($B1244="","",IF(OR($M1244=TRUE(),$M1244="TRUE"),1,0))</f>
        <v/>
      </c>
      <c r="AI1244">
        <f>IF($B1244="","",IF($V1244="Yes",1,0))</f>
        <v/>
      </c>
      <c r="AJ1244">
        <f>IF($AF1244=1,IFERROR(IF(VALUE($B1244)&lt;100000000,VALUE($B1244),1000000000),IFERROR(IF(VALUE(MID($B1244,2,20))&lt;100000000,VALUE(MID($B1244,2,20)),1000000000),1000000000))+ROW()/100000,"")</f>
        <v/>
      </c>
    </row>
    <row r="1245">
      <c r="C1245" s="11" t="n"/>
      <c r="J1245" s="7">
        <f>IF($B1245="","",I1245*Q1245/100)</f>
        <v/>
      </c>
      <c r="P1245" s="7" t="n"/>
      <c r="Q1245" s="7" t="n"/>
      <c r="R1245" s="7">
        <f>IF($B1245="","",Q1245*W1245/100)</f>
        <v/>
      </c>
      <c r="S1245" s="7">
        <f>IF($B1245="","",Q1245-R1245)</f>
        <v/>
      </c>
      <c r="T1245" s="7">
        <f>IF($B1245="","",S1245-J1245)</f>
        <v/>
      </c>
      <c r="W1245">
        <f>IF($B1245="","",IF($AI1245=1,0,IF($AH1245=1,Settings!$C$6,Settings!$C$7))*100)</f>
        <v/>
      </c>
      <c r="AA1245" s="7" t="n"/>
      <c r="AD1245" s="11" t="n"/>
      <c r="AF1245">
        <f>IF($B1245="","",IF(COUNTIF($B$2:$B1245,$B1245)=1,1,0))</f>
        <v/>
      </c>
      <c r="AG1245">
        <f>IF($AF1245=1,SUMPRODUCT(--($AJ$2:$AJ$1501&lt;$AJ1245))+1,"")</f>
        <v/>
      </c>
      <c r="AH1245">
        <f>IF($B1245="","",IF(OR($M1245=TRUE(),$M1245="TRUE"),1,0))</f>
        <v/>
      </c>
      <c r="AI1245">
        <f>IF($B1245="","",IF($V1245="Yes",1,0))</f>
        <v/>
      </c>
      <c r="AJ1245">
        <f>IF($AF1245=1,IFERROR(IF(VALUE($B1245)&lt;100000000,VALUE($B1245),1000000000),IFERROR(IF(VALUE(MID($B1245,2,20))&lt;100000000,VALUE(MID($B1245,2,20)),1000000000),1000000000))+ROW()/100000,"")</f>
        <v/>
      </c>
    </row>
    <row r="1246">
      <c r="C1246" s="11" t="n"/>
      <c r="J1246" s="7">
        <f>IF($B1246="","",I1246*Q1246/100)</f>
        <v/>
      </c>
      <c r="P1246" s="7" t="n"/>
      <c r="Q1246" s="7" t="n"/>
      <c r="R1246" s="7">
        <f>IF($B1246="","",Q1246*W1246/100)</f>
        <v/>
      </c>
      <c r="S1246" s="7">
        <f>IF($B1246="","",Q1246-R1246)</f>
        <v/>
      </c>
      <c r="T1246" s="7">
        <f>IF($B1246="","",S1246-J1246)</f>
        <v/>
      </c>
      <c r="W1246">
        <f>IF($B1246="","",IF($AI1246=1,0,IF($AH1246=1,Settings!$C$6,Settings!$C$7))*100)</f>
        <v/>
      </c>
      <c r="AA1246" s="7" t="n"/>
      <c r="AD1246" s="11" t="n"/>
      <c r="AF1246">
        <f>IF($B1246="","",IF(COUNTIF($B$2:$B1246,$B1246)=1,1,0))</f>
        <v/>
      </c>
      <c r="AG1246">
        <f>IF($AF1246=1,SUMPRODUCT(--($AJ$2:$AJ$1501&lt;$AJ1246))+1,"")</f>
        <v/>
      </c>
      <c r="AH1246">
        <f>IF($B1246="","",IF(OR($M1246=TRUE(),$M1246="TRUE"),1,0))</f>
        <v/>
      </c>
      <c r="AI1246">
        <f>IF($B1246="","",IF($V1246="Yes",1,0))</f>
        <v/>
      </c>
      <c r="AJ1246">
        <f>IF($AF1246=1,IFERROR(IF(VALUE($B1246)&lt;100000000,VALUE($B1246),1000000000),IFERROR(IF(VALUE(MID($B1246,2,20))&lt;100000000,VALUE(MID($B1246,2,20)),1000000000),1000000000))+ROW()/100000,"")</f>
        <v/>
      </c>
    </row>
    <row r="1247">
      <c r="C1247" s="11" t="n"/>
      <c r="J1247" s="7">
        <f>IF($B1247="","",I1247*Q1247/100)</f>
        <v/>
      </c>
      <c r="P1247" s="7" t="n"/>
      <c r="Q1247" s="7" t="n"/>
      <c r="R1247" s="7">
        <f>IF($B1247="","",Q1247*W1247/100)</f>
        <v/>
      </c>
      <c r="S1247" s="7">
        <f>IF($B1247="","",Q1247-R1247)</f>
        <v/>
      </c>
      <c r="T1247" s="7">
        <f>IF($B1247="","",S1247-J1247)</f>
        <v/>
      </c>
      <c r="W1247">
        <f>IF($B1247="","",IF($AI1247=1,0,IF($AH1247=1,Settings!$C$6,Settings!$C$7))*100)</f>
        <v/>
      </c>
      <c r="AA1247" s="7" t="n"/>
      <c r="AD1247" s="11" t="n"/>
      <c r="AF1247">
        <f>IF($B1247="","",IF(COUNTIF($B$2:$B1247,$B1247)=1,1,0))</f>
        <v/>
      </c>
      <c r="AG1247">
        <f>IF($AF1247=1,SUMPRODUCT(--($AJ$2:$AJ$1501&lt;$AJ1247))+1,"")</f>
        <v/>
      </c>
      <c r="AH1247">
        <f>IF($B1247="","",IF(OR($M1247=TRUE(),$M1247="TRUE"),1,0))</f>
        <v/>
      </c>
      <c r="AI1247">
        <f>IF($B1247="","",IF($V1247="Yes",1,0))</f>
        <v/>
      </c>
      <c r="AJ1247">
        <f>IF($AF1247=1,IFERROR(IF(VALUE($B1247)&lt;100000000,VALUE($B1247),1000000000),IFERROR(IF(VALUE(MID($B1247,2,20))&lt;100000000,VALUE(MID($B1247,2,20)),1000000000),1000000000))+ROW()/100000,"")</f>
        <v/>
      </c>
    </row>
    <row r="1248">
      <c r="C1248" s="11" t="n"/>
      <c r="J1248" s="7">
        <f>IF($B1248="","",I1248*Q1248/100)</f>
        <v/>
      </c>
      <c r="P1248" s="7" t="n"/>
      <c r="Q1248" s="7" t="n"/>
      <c r="R1248" s="7">
        <f>IF($B1248="","",Q1248*W1248/100)</f>
        <v/>
      </c>
      <c r="S1248" s="7">
        <f>IF($B1248="","",Q1248-R1248)</f>
        <v/>
      </c>
      <c r="T1248" s="7">
        <f>IF($B1248="","",S1248-J1248)</f>
        <v/>
      </c>
      <c r="W1248">
        <f>IF($B1248="","",IF($AI1248=1,0,IF($AH1248=1,Settings!$C$6,Settings!$C$7))*100)</f>
        <v/>
      </c>
      <c r="AA1248" s="7" t="n"/>
      <c r="AD1248" s="11" t="n"/>
      <c r="AF1248">
        <f>IF($B1248="","",IF(COUNTIF($B$2:$B1248,$B1248)=1,1,0))</f>
        <v/>
      </c>
      <c r="AG1248">
        <f>IF($AF1248=1,SUMPRODUCT(--($AJ$2:$AJ$1501&lt;$AJ1248))+1,"")</f>
        <v/>
      </c>
      <c r="AH1248">
        <f>IF($B1248="","",IF(OR($M1248=TRUE(),$M1248="TRUE"),1,0))</f>
        <v/>
      </c>
      <c r="AI1248">
        <f>IF($B1248="","",IF($V1248="Yes",1,0))</f>
        <v/>
      </c>
      <c r="AJ1248">
        <f>IF($AF1248=1,IFERROR(IF(VALUE($B1248)&lt;100000000,VALUE($B1248),1000000000),IFERROR(IF(VALUE(MID($B1248,2,20))&lt;100000000,VALUE(MID($B1248,2,20)),1000000000),1000000000))+ROW()/100000,"")</f>
        <v/>
      </c>
    </row>
    <row r="1249">
      <c r="C1249" s="11" t="n"/>
      <c r="J1249" s="7">
        <f>IF($B1249="","",I1249*Q1249/100)</f>
        <v/>
      </c>
      <c r="P1249" s="7" t="n"/>
      <c r="Q1249" s="7" t="n"/>
      <c r="R1249" s="7">
        <f>IF($B1249="","",Q1249*W1249/100)</f>
        <v/>
      </c>
      <c r="S1249" s="7">
        <f>IF($B1249="","",Q1249-R1249)</f>
        <v/>
      </c>
      <c r="T1249" s="7">
        <f>IF($B1249="","",S1249-J1249)</f>
        <v/>
      </c>
      <c r="W1249">
        <f>IF($B1249="","",IF($AI1249=1,0,IF($AH1249=1,Settings!$C$6,Settings!$C$7))*100)</f>
        <v/>
      </c>
      <c r="AA1249" s="7" t="n"/>
      <c r="AD1249" s="11" t="n"/>
      <c r="AF1249">
        <f>IF($B1249="","",IF(COUNTIF($B$2:$B1249,$B1249)=1,1,0))</f>
        <v/>
      </c>
      <c r="AG1249">
        <f>IF($AF1249=1,SUMPRODUCT(--($AJ$2:$AJ$1501&lt;$AJ1249))+1,"")</f>
        <v/>
      </c>
      <c r="AH1249">
        <f>IF($B1249="","",IF(OR($M1249=TRUE(),$M1249="TRUE"),1,0))</f>
        <v/>
      </c>
      <c r="AI1249">
        <f>IF($B1249="","",IF($V1249="Yes",1,0))</f>
        <v/>
      </c>
      <c r="AJ1249">
        <f>IF($AF1249=1,IFERROR(IF(VALUE($B1249)&lt;100000000,VALUE($B1249),1000000000),IFERROR(IF(VALUE(MID($B1249,2,20))&lt;100000000,VALUE(MID($B1249,2,20)),1000000000),1000000000))+ROW()/100000,"")</f>
        <v/>
      </c>
    </row>
    <row r="1250">
      <c r="C1250" s="11" t="n"/>
      <c r="J1250" s="7">
        <f>IF($B1250="","",I1250*Q1250/100)</f>
        <v/>
      </c>
      <c r="P1250" s="7" t="n"/>
      <c r="Q1250" s="7" t="n"/>
      <c r="R1250" s="7">
        <f>IF($B1250="","",Q1250*W1250/100)</f>
        <v/>
      </c>
      <c r="S1250" s="7">
        <f>IF($B1250="","",Q1250-R1250)</f>
        <v/>
      </c>
      <c r="T1250" s="7">
        <f>IF($B1250="","",S1250-J1250)</f>
        <v/>
      </c>
      <c r="W1250">
        <f>IF($B1250="","",IF($AI1250=1,0,IF($AH1250=1,Settings!$C$6,Settings!$C$7))*100)</f>
        <v/>
      </c>
      <c r="AA1250" s="7" t="n"/>
      <c r="AD1250" s="11" t="n"/>
      <c r="AF1250">
        <f>IF($B1250="","",IF(COUNTIF($B$2:$B1250,$B1250)=1,1,0))</f>
        <v/>
      </c>
      <c r="AG1250">
        <f>IF($AF1250=1,SUMPRODUCT(--($AJ$2:$AJ$1501&lt;$AJ1250))+1,"")</f>
        <v/>
      </c>
      <c r="AH1250">
        <f>IF($B1250="","",IF(OR($M1250=TRUE(),$M1250="TRUE"),1,0))</f>
        <v/>
      </c>
      <c r="AI1250">
        <f>IF($B1250="","",IF($V1250="Yes",1,0))</f>
        <v/>
      </c>
      <c r="AJ1250">
        <f>IF($AF1250=1,IFERROR(IF(VALUE($B1250)&lt;100000000,VALUE($B1250),1000000000),IFERROR(IF(VALUE(MID($B1250,2,20))&lt;100000000,VALUE(MID($B1250,2,20)),1000000000),1000000000))+ROW()/100000,"")</f>
        <v/>
      </c>
    </row>
    <row r="1251">
      <c r="C1251" s="11" t="n"/>
      <c r="J1251" s="7">
        <f>IF($B1251="","",I1251*Q1251/100)</f>
        <v/>
      </c>
      <c r="P1251" s="7" t="n"/>
      <c r="Q1251" s="7" t="n"/>
      <c r="R1251" s="7">
        <f>IF($B1251="","",Q1251*W1251/100)</f>
        <v/>
      </c>
      <c r="S1251" s="7">
        <f>IF($B1251="","",Q1251-R1251)</f>
        <v/>
      </c>
      <c r="T1251" s="7">
        <f>IF($B1251="","",S1251-J1251)</f>
        <v/>
      </c>
      <c r="W1251">
        <f>IF($B1251="","",IF($AI1251=1,0,IF($AH1251=1,Settings!$C$6,Settings!$C$7))*100)</f>
        <v/>
      </c>
      <c r="AA1251" s="7" t="n"/>
      <c r="AD1251" s="11" t="n"/>
      <c r="AF1251">
        <f>IF($B1251="","",IF(COUNTIF($B$2:$B1251,$B1251)=1,1,0))</f>
        <v/>
      </c>
      <c r="AG1251">
        <f>IF($AF1251=1,SUMPRODUCT(--($AJ$2:$AJ$1501&lt;$AJ1251))+1,"")</f>
        <v/>
      </c>
      <c r="AH1251">
        <f>IF($B1251="","",IF(OR($M1251=TRUE(),$M1251="TRUE"),1,0))</f>
        <v/>
      </c>
      <c r="AI1251">
        <f>IF($B1251="","",IF($V1251="Yes",1,0))</f>
        <v/>
      </c>
      <c r="AJ1251">
        <f>IF($AF1251=1,IFERROR(IF(VALUE($B1251)&lt;100000000,VALUE($B1251),1000000000),IFERROR(IF(VALUE(MID($B1251,2,20))&lt;100000000,VALUE(MID($B1251,2,20)),1000000000),1000000000))+ROW()/100000,"")</f>
        <v/>
      </c>
    </row>
    <row r="1252">
      <c r="C1252" s="11" t="n"/>
      <c r="J1252" s="7">
        <f>IF($B1252="","",I1252*Q1252/100)</f>
        <v/>
      </c>
      <c r="P1252" s="7" t="n"/>
      <c r="Q1252" s="7" t="n"/>
      <c r="R1252" s="7">
        <f>IF($B1252="","",Q1252*W1252/100)</f>
        <v/>
      </c>
      <c r="S1252" s="7">
        <f>IF($B1252="","",Q1252-R1252)</f>
        <v/>
      </c>
      <c r="T1252" s="7">
        <f>IF($B1252="","",S1252-J1252)</f>
        <v/>
      </c>
      <c r="W1252">
        <f>IF($B1252="","",IF($AI1252=1,0,IF($AH1252=1,Settings!$C$6,Settings!$C$7))*100)</f>
        <v/>
      </c>
      <c r="AA1252" s="7" t="n"/>
      <c r="AD1252" s="11" t="n"/>
      <c r="AF1252">
        <f>IF($B1252="","",IF(COUNTIF($B$2:$B1252,$B1252)=1,1,0))</f>
        <v/>
      </c>
      <c r="AG1252">
        <f>IF($AF1252=1,SUMPRODUCT(--($AJ$2:$AJ$1501&lt;$AJ1252))+1,"")</f>
        <v/>
      </c>
      <c r="AH1252">
        <f>IF($B1252="","",IF(OR($M1252=TRUE(),$M1252="TRUE"),1,0))</f>
        <v/>
      </c>
      <c r="AI1252">
        <f>IF($B1252="","",IF($V1252="Yes",1,0))</f>
        <v/>
      </c>
      <c r="AJ1252">
        <f>IF($AF1252=1,IFERROR(IF(VALUE($B1252)&lt;100000000,VALUE($B1252),1000000000),IFERROR(IF(VALUE(MID($B1252,2,20))&lt;100000000,VALUE(MID($B1252,2,20)),1000000000),1000000000))+ROW()/100000,"")</f>
        <v/>
      </c>
    </row>
    <row r="1253">
      <c r="C1253" s="11" t="n"/>
      <c r="J1253" s="7">
        <f>IF($B1253="","",I1253*Q1253/100)</f>
        <v/>
      </c>
      <c r="P1253" s="7" t="n"/>
      <c r="Q1253" s="7" t="n"/>
      <c r="R1253" s="7">
        <f>IF($B1253="","",Q1253*W1253/100)</f>
        <v/>
      </c>
      <c r="S1253" s="7">
        <f>IF($B1253="","",Q1253-R1253)</f>
        <v/>
      </c>
      <c r="T1253" s="7">
        <f>IF($B1253="","",S1253-J1253)</f>
        <v/>
      </c>
      <c r="W1253">
        <f>IF($B1253="","",IF($AI1253=1,0,IF($AH1253=1,Settings!$C$6,Settings!$C$7))*100)</f>
        <v/>
      </c>
      <c r="AA1253" s="7" t="n"/>
      <c r="AD1253" s="11" t="n"/>
      <c r="AF1253">
        <f>IF($B1253="","",IF(COUNTIF($B$2:$B1253,$B1253)=1,1,0))</f>
        <v/>
      </c>
      <c r="AG1253">
        <f>IF($AF1253=1,SUMPRODUCT(--($AJ$2:$AJ$1501&lt;$AJ1253))+1,"")</f>
        <v/>
      </c>
      <c r="AH1253">
        <f>IF($B1253="","",IF(OR($M1253=TRUE(),$M1253="TRUE"),1,0))</f>
        <v/>
      </c>
      <c r="AI1253">
        <f>IF($B1253="","",IF($V1253="Yes",1,0))</f>
        <v/>
      </c>
      <c r="AJ1253">
        <f>IF($AF1253=1,IFERROR(IF(VALUE($B1253)&lt;100000000,VALUE($B1253),1000000000),IFERROR(IF(VALUE(MID($B1253,2,20))&lt;100000000,VALUE(MID($B1253,2,20)),1000000000),1000000000))+ROW()/100000,"")</f>
        <v/>
      </c>
    </row>
    <row r="1254">
      <c r="C1254" s="11" t="n"/>
      <c r="J1254" s="7">
        <f>IF($B1254="","",I1254*Q1254/100)</f>
        <v/>
      </c>
      <c r="P1254" s="7" t="n"/>
      <c r="Q1254" s="7" t="n"/>
      <c r="R1254" s="7">
        <f>IF($B1254="","",Q1254*W1254/100)</f>
        <v/>
      </c>
      <c r="S1254" s="7">
        <f>IF($B1254="","",Q1254-R1254)</f>
        <v/>
      </c>
      <c r="T1254" s="7">
        <f>IF($B1254="","",S1254-J1254)</f>
        <v/>
      </c>
      <c r="W1254">
        <f>IF($B1254="","",IF($AI1254=1,0,IF($AH1254=1,Settings!$C$6,Settings!$C$7))*100)</f>
        <v/>
      </c>
      <c r="AA1254" s="7" t="n"/>
      <c r="AD1254" s="11" t="n"/>
      <c r="AF1254">
        <f>IF($B1254="","",IF(COUNTIF($B$2:$B1254,$B1254)=1,1,0))</f>
        <v/>
      </c>
      <c r="AG1254">
        <f>IF($AF1254=1,SUMPRODUCT(--($AJ$2:$AJ$1501&lt;$AJ1254))+1,"")</f>
        <v/>
      </c>
      <c r="AH1254">
        <f>IF($B1254="","",IF(OR($M1254=TRUE(),$M1254="TRUE"),1,0))</f>
        <v/>
      </c>
      <c r="AI1254">
        <f>IF($B1254="","",IF($V1254="Yes",1,0))</f>
        <v/>
      </c>
      <c r="AJ1254">
        <f>IF($AF1254=1,IFERROR(IF(VALUE($B1254)&lt;100000000,VALUE($B1254),1000000000),IFERROR(IF(VALUE(MID($B1254,2,20))&lt;100000000,VALUE(MID($B1254,2,20)),1000000000),1000000000))+ROW()/100000,"")</f>
        <v/>
      </c>
    </row>
    <row r="1255">
      <c r="C1255" s="11" t="n"/>
      <c r="J1255" s="7">
        <f>IF($B1255="","",I1255*Q1255/100)</f>
        <v/>
      </c>
      <c r="P1255" s="7" t="n"/>
      <c r="Q1255" s="7" t="n"/>
      <c r="R1255" s="7">
        <f>IF($B1255="","",Q1255*W1255/100)</f>
        <v/>
      </c>
      <c r="S1255" s="7">
        <f>IF($B1255="","",Q1255-R1255)</f>
        <v/>
      </c>
      <c r="T1255" s="7">
        <f>IF($B1255="","",S1255-J1255)</f>
        <v/>
      </c>
      <c r="W1255">
        <f>IF($B1255="","",IF($AI1255=1,0,IF($AH1255=1,Settings!$C$6,Settings!$C$7))*100)</f>
        <v/>
      </c>
      <c r="AA1255" s="7" t="n"/>
      <c r="AD1255" s="11" t="n"/>
      <c r="AF1255">
        <f>IF($B1255="","",IF(COUNTIF($B$2:$B1255,$B1255)=1,1,0))</f>
        <v/>
      </c>
      <c r="AG1255">
        <f>IF($AF1255=1,SUMPRODUCT(--($AJ$2:$AJ$1501&lt;$AJ1255))+1,"")</f>
        <v/>
      </c>
      <c r="AH1255">
        <f>IF($B1255="","",IF(OR($M1255=TRUE(),$M1255="TRUE"),1,0))</f>
        <v/>
      </c>
      <c r="AI1255">
        <f>IF($B1255="","",IF($V1255="Yes",1,0))</f>
        <v/>
      </c>
      <c r="AJ1255">
        <f>IF($AF1255=1,IFERROR(IF(VALUE($B1255)&lt;100000000,VALUE($B1255),1000000000),IFERROR(IF(VALUE(MID($B1255,2,20))&lt;100000000,VALUE(MID($B1255,2,20)),1000000000),1000000000))+ROW()/100000,"")</f>
        <v/>
      </c>
    </row>
    <row r="1256">
      <c r="C1256" s="11" t="n"/>
      <c r="J1256" s="7">
        <f>IF($B1256="","",I1256*Q1256/100)</f>
        <v/>
      </c>
      <c r="P1256" s="7" t="n"/>
      <c r="Q1256" s="7" t="n"/>
      <c r="R1256" s="7">
        <f>IF($B1256="","",Q1256*W1256/100)</f>
        <v/>
      </c>
      <c r="S1256" s="7">
        <f>IF($B1256="","",Q1256-R1256)</f>
        <v/>
      </c>
      <c r="T1256" s="7">
        <f>IF($B1256="","",S1256-J1256)</f>
        <v/>
      </c>
      <c r="W1256">
        <f>IF($B1256="","",IF($AI1256=1,0,IF($AH1256=1,Settings!$C$6,Settings!$C$7))*100)</f>
        <v/>
      </c>
      <c r="AA1256" s="7" t="n"/>
      <c r="AD1256" s="11" t="n"/>
      <c r="AF1256">
        <f>IF($B1256="","",IF(COUNTIF($B$2:$B1256,$B1256)=1,1,0))</f>
        <v/>
      </c>
      <c r="AG1256">
        <f>IF($AF1256=1,SUMPRODUCT(--($AJ$2:$AJ$1501&lt;$AJ1256))+1,"")</f>
        <v/>
      </c>
      <c r="AH1256">
        <f>IF($B1256="","",IF(OR($M1256=TRUE(),$M1256="TRUE"),1,0))</f>
        <v/>
      </c>
      <c r="AI1256">
        <f>IF($B1256="","",IF($V1256="Yes",1,0))</f>
        <v/>
      </c>
      <c r="AJ1256">
        <f>IF($AF1256=1,IFERROR(IF(VALUE($B1256)&lt;100000000,VALUE($B1256),1000000000),IFERROR(IF(VALUE(MID($B1256,2,20))&lt;100000000,VALUE(MID($B1256,2,20)),1000000000),1000000000))+ROW()/100000,"")</f>
        <v/>
      </c>
    </row>
    <row r="1257">
      <c r="C1257" s="11" t="n"/>
      <c r="J1257" s="7">
        <f>IF($B1257="","",I1257*Q1257/100)</f>
        <v/>
      </c>
      <c r="P1257" s="7" t="n"/>
      <c r="Q1257" s="7" t="n"/>
      <c r="R1257" s="7">
        <f>IF($B1257="","",Q1257*W1257/100)</f>
        <v/>
      </c>
      <c r="S1257" s="7">
        <f>IF($B1257="","",Q1257-R1257)</f>
        <v/>
      </c>
      <c r="T1257" s="7">
        <f>IF($B1257="","",S1257-J1257)</f>
        <v/>
      </c>
      <c r="W1257">
        <f>IF($B1257="","",IF($AI1257=1,0,IF($AH1257=1,Settings!$C$6,Settings!$C$7))*100)</f>
        <v/>
      </c>
      <c r="AA1257" s="7" t="n"/>
      <c r="AD1257" s="11" t="n"/>
      <c r="AF1257">
        <f>IF($B1257="","",IF(COUNTIF($B$2:$B1257,$B1257)=1,1,0))</f>
        <v/>
      </c>
      <c r="AG1257">
        <f>IF($AF1257=1,SUMPRODUCT(--($AJ$2:$AJ$1501&lt;$AJ1257))+1,"")</f>
        <v/>
      </c>
      <c r="AH1257">
        <f>IF($B1257="","",IF(OR($M1257=TRUE(),$M1257="TRUE"),1,0))</f>
        <v/>
      </c>
      <c r="AI1257">
        <f>IF($B1257="","",IF($V1257="Yes",1,0))</f>
        <v/>
      </c>
      <c r="AJ1257">
        <f>IF($AF1257=1,IFERROR(IF(VALUE($B1257)&lt;100000000,VALUE($B1257),1000000000),IFERROR(IF(VALUE(MID($B1257,2,20))&lt;100000000,VALUE(MID($B1257,2,20)),1000000000),1000000000))+ROW()/100000,"")</f>
        <v/>
      </c>
    </row>
    <row r="1258">
      <c r="C1258" s="11" t="n"/>
      <c r="J1258" s="7">
        <f>IF($B1258="","",I1258*Q1258/100)</f>
        <v/>
      </c>
      <c r="P1258" s="7" t="n"/>
      <c r="Q1258" s="7" t="n"/>
      <c r="R1258" s="7">
        <f>IF($B1258="","",Q1258*W1258/100)</f>
        <v/>
      </c>
      <c r="S1258" s="7">
        <f>IF($B1258="","",Q1258-R1258)</f>
        <v/>
      </c>
      <c r="T1258" s="7">
        <f>IF($B1258="","",S1258-J1258)</f>
        <v/>
      </c>
      <c r="W1258">
        <f>IF($B1258="","",IF($AI1258=1,0,IF($AH1258=1,Settings!$C$6,Settings!$C$7))*100)</f>
        <v/>
      </c>
      <c r="AA1258" s="7" t="n"/>
      <c r="AD1258" s="11" t="n"/>
      <c r="AF1258">
        <f>IF($B1258="","",IF(COUNTIF($B$2:$B1258,$B1258)=1,1,0))</f>
        <v/>
      </c>
      <c r="AG1258">
        <f>IF($AF1258=1,SUMPRODUCT(--($AJ$2:$AJ$1501&lt;$AJ1258))+1,"")</f>
        <v/>
      </c>
      <c r="AH1258">
        <f>IF($B1258="","",IF(OR($M1258=TRUE(),$M1258="TRUE"),1,0))</f>
        <v/>
      </c>
      <c r="AI1258">
        <f>IF($B1258="","",IF($V1258="Yes",1,0))</f>
        <v/>
      </c>
      <c r="AJ1258">
        <f>IF($AF1258=1,IFERROR(IF(VALUE($B1258)&lt;100000000,VALUE($B1258),1000000000),IFERROR(IF(VALUE(MID($B1258,2,20))&lt;100000000,VALUE(MID($B1258,2,20)),1000000000),1000000000))+ROW()/100000,"")</f>
        <v/>
      </c>
    </row>
    <row r="1259">
      <c r="C1259" s="11" t="n"/>
      <c r="J1259" s="7">
        <f>IF($B1259="","",I1259*Q1259/100)</f>
        <v/>
      </c>
      <c r="P1259" s="7" t="n"/>
      <c r="Q1259" s="7" t="n"/>
      <c r="R1259" s="7">
        <f>IF($B1259="","",Q1259*W1259/100)</f>
        <v/>
      </c>
      <c r="S1259" s="7">
        <f>IF($B1259="","",Q1259-R1259)</f>
        <v/>
      </c>
      <c r="T1259" s="7">
        <f>IF($B1259="","",S1259-J1259)</f>
        <v/>
      </c>
      <c r="W1259">
        <f>IF($B1259="","",IF($AI1259=1,0,IF($AH1259=1,Settings!$C$6,Settings!$C$7))*100)</f>
        <v/>
      </c>
      <c r="AA1259" s="7" t="n"/>
      <c r="AD1259" s="11" t="n"/>
      <c r="AF1259">
        <f>IF($B1259="","",IF(COUNTIF($B$2:$B1259,$B1259)=1,1,0))</f>
        <v/>
      </c>
      <c r="AG1259">
        <f>IF($AF1259=1,SUMPRODUCT(--($AJ$2:$AJ$1501&lt;$AJ1259))+1,"")</f>
        <v/>
      </c>
      <c r="AH1259">
        <f>IF($B1259="","",IF(OR($M1259=TRUE(),$M1259="TRUE"),1,0))</f>
        <v/>
      </c>
      <c r="AI1259">
        <f>IF($B1259="","",IF($V1259="Yes",1,0))</f>
        <v/>
      </c>
      <c r="AJ1259">
        <f>IF($AF1259=1,IFERROR(IF(VALUE($B1259)&lt;100000000,VALUE($B1259),1000000000),IFERROR(IF(VALUE(MID($B1259,2,20))&lt;100000000,VALUE(MID($B1259,2,20)),1000000000),1000000000))+ROW()/100000,"")</f>
        <v/>
      </c>
    </row>
    <row r="1260">
      <c r="C1260" s="11" t="n"/>
      <c r="J1260" s="7">
        <f>IF($B1260="","",I1260*Q1260/100)</f>
        <v/>
      </c>
      <c r="P1260" s="7" t="n"/>
      <c r="Q1260" s="7" t="n"/>
      <c r="R1260" s="7">
        <f>IF($B1260="","",Q1260*W1260/100)</f>
        <v/>
      </c>
      <c r="S1260" s="7">
        <f>IF($B1260="","",Q1260-R1260)</f>
        <v/>
      </c>
      <c r="T1260" s="7">
        <f>IF($B1260="","",S1260-J1260)</f>
        <v/>
      </c>
      <c r="W1260">
        <f>IF($B1260="","",IF($AI1260=1,0,IF($AH1260=1,Settings!$C$6,Settings!$C$7))*100)</f>
        <v/>
      </c>
      <c r="AA1260" s="7" t="n"/>
      <c r="AD1260" s="11" t="n"/>
      <c r="AF1260">
        <f>IF($B1260="","",IF(COUNTIF($B$2:$B1260,$B1260)=1,1,0))</f>
        <v/>
      </c>
      <c r="AG1260">
        <f>IF($AF1260=1,SUMPRODUCT(--($AJ$2:$AJ$1501&lt;$AJ1260))+1,"")</f>
        <v/>
      </c>
      <c r="AH1260">
        <f>IF($B1260="","",IF(OR($M1260=TRUE(),$M1260="TRUE"),1,0))</f>
        <v/>
      </c>
      <c r="AI1260">
        <f>IF($B1260="","",IF($V1260="Yes",1,0))</f>
        <v/>
      </c>
      <c r="AJ1260">
        <f>IF($AF1260=1,IFERROR(IF(VALUE($B1260)&lt;100000000,VALUE($B1260),1000000000),IFERROR(IF(VALUE(MID($B1260,2,20))&lt;100000000,VALUE(MID($B1260,2,20)),1000000000),1000000000))+ROW()/100000,"")</f>
        <v/>
      </c>
    </row>
    <row r="1261">
      <c r="C1261" s="11" t="n"/>
      <c r="J1261" s="7">
        <f>IF($B1261="","",I1261*Q1261/100)</f>
        <v/>
      </c>
      <c r="P1261" s="7" t="n"/>
      <c r="Q1261" s="7" t="n"/>
      <c r="R1261" s="7">
        <f>IF($B1261="","",Q1261*W1261/100)</f>
        <v/>
      </c>
      <c r="S1261" s="7">
        <f>IF($B1261="","",Q1261-R1261)</f>
        <v/>
      </c>
      <c r="T1261" s="7">
        <f>IF($B1261="","",S1261-J1261)</f>
        <v/>
      </c>
      <c r="W1261">
        <f>IF($B1261="","",IF($AI1261=1,0,IF($AH1261=1,Settings!$C$6,Settings!$C$7))*100)</f>
        <v/>
      </c>
      <c r="AA1261" s="7" t="n"/>
      <c r="AD1261" s="11" t="n"/>
      <c r="AF1261">
        <f>IF($B1261="","",IF(COUNTIF($B$2:$B1261,$B1261)=1,1,0))</f>
        <v/>
      </c>
      <c r="AG1261">
        <f>IF($AF1261=1,SUMPRODUCT(--($AJ$2:$AJ$1501&lt;$AJ1261))+1,"")</f>
        <v/>
      </c>
      <c r="AH1261">
        <f>IF($B1261="","",IF(OR($M1261=TRUE(),$M1261="TRUE"),1,0))</f>
        <v/>
      </c>
      <c r="AI1261">
        <f>IF($B1261="","",IF($V1261="Yes",1,0))</f>
        <v/>
      </c>
      <c r="AJ1261">
        <f>IF($AF1261=1,IFERROR(IF(VALUE($B1261)&lt;100000000,VALUE($B1261),1000000000),IFERROR(IF(VALUE(MID($B1261,2,20))&lt;100000000,VALUE(MID($B1261,2,20)),1000000000),1000000000))+ROW()/100000,"")</f>
        <v/>
      </c>
    </row>
    <row r="1262">
      <c r="C1262" s="11" t="n"/>
      <c r="J1262" s="7">
        <f>IF($B1262="","",I1262*Q1262/100)</f>
        <v/>
      </c>
      <c r="P1262" s="7" t="n"/>
      <c r="Q1262" s="7" t="n"/>
      <c r="R1262" s="7">
        <f>IF($B1262="","",Q1262*W1262/100)</f>
        <v/>
      </c>
      <c r="S1262" s="7">
        <f>IF($B1262="","",Q1262-R1262)</f>
        <v/>
      </c>
      <c r="T1262" s="7">
        <f>IF($B1262="","",S1262-J1262)</f>
        <v/>
      </c>
      <c r="W1262">
        <f>IF($B1262="","",IF($AI1262=1,0,IF($AH1262=1,Settings!$C$6,Settings!$C$7))*100)</f>
        <v/>
      </c>
      <c r="AA1262" s="7" t="n"/>
      <c r="AD1262" s="11" t="n"/>
      <c r="AF1262">
        <f>IF($B1262="","",IF(COUNTIF($B$2:$B1262,$B1262)=1,1,0))</f>
        <v/>
      </c>
      <c r="AG1262">
        <f>IF($AF1262=1,SUMPRODUCT(--($AJ$2:$AJ$1501&lt;$AJ1262))+1,"")</f>
        <v/>
      </c>
      <c r="AH1262">
        <f>IF($B1262="","",IF(OR($M1262=TRUE(),$M1262="TRUE"),1,0))</f>
        <v/>
      </c>
      <c r="AI1262">
        <f>IF($B1262="","",IF($V1262="Yes",1,0))</f>
        <v/>
      </c>
      <c r="AJ1262">
        <f>IF($AF1262=1,IFERROR(IF(VALUE($B1262)&lt;100000000,VALUE($B1262),1000000000),IFERROR(IF(VALUE(MID($B1262,2,20))&lt;100000000,VALUE(MID($B1262,2,20)),1000000000),1000000000))+ROW()/100000,"")</f>
        <v/>
      </c>
    </row>
    <row r="1263">
      <c r="C1263" s="11" t="n"/>
      <c r="J1263" s="7">
        <f>IF($B1263="","",I1263*Q1263/100)</f>
        <v/>
      </c>
      <c r="P1263" s="7" t="n"/>
      <c r="Q1263" s="7" t="n"/>
      <c r="R1263" s="7">
        <f>IF($B1263="","",Q1263*W1263/100)</f>
        <v/>
      </c>
      <c r="S1263" s="7">
        <f>IF($B1263="","",Q1263-R1263)</f>
        <v/>
      </c>
      <c r="T1263" s="7">
        <f>IF($B1263="","",S1263-J1263)</f>
        <v/>
      </c>
      <c r="W1263">
        <f>IF($B1263="","",IF($AI1263=1,0,IF($AH1263=1,Settings!$C$6,Settings!$C$7))*100)</f>
        <v/>
      </c>
      <c r="AA1263" s="7" t="n"/>
      <c r="AD1263" s="11" t="n"/>
      <c r="AF1263">
        <f>IF($B1263="","",IF(COUNTIF($B$2:$B1263,$B1263)=1,1,0))</f>
        <v/>
      </c>
      <c r="AG1263">
        <f>IF($AF1263=1,SUMPRODUCT(--($AJ$2:$AJ$1501&lt;$AJ1263))+1,"")</f>
        <v/>
      </c>
      <c r="AH1263">
        <f>IF($B1263="","",IF(OR($M1263=TRUE(),$M1263="TRUE"),1,0))</f>
        <v/>
      </c>
      <c r="AI1263">
        <f>IF($B1263="","",IF($V1263="Yes",1,0))</f>
        <v/>
      </c>
      <c r="AJ1263">
        <f>IF($AF1263=1,IFERROR(IF(VALUE($B1263)&lt;100000000,VALUE($B1263),1000000000),IFERROR(IF(VALUE(MID($B1263,2,20))&lt;100000000,VALUE(MID($B1263,2,20)),1000000000),1000000000))+ROW()/100000,"")</f>
        <v/>
      </c>
    </row>
    <row r="1264">
      <c r="C1264" s="11" t="n"/>
      <c r="J1264" s="7">
        <f>IF($B1264="","",I1264*Q1264/100)</f>
        <v/>
      </c>
      <c r="P1264" s="7" t="n"/>
      <c r="Q1264" s="7" t="n"/>
      <c r="R1264" s="7">
        <f>IF($B1264="","",Q1264*W1264/100)</f>
        <v/>
      </c>
      <c r="S1264" s="7">
        <f>IF($B1264="","",Q1264-R1264)</f>
        <v/>
      </c>
      <c r="T1264" s="7">
        <f>IF($B1264="","",S1264-J1264)</f>
        <v/>
      </c>
      <c r="W1264">
        <f>IF($B1264="","",IF($AI1264=1,0,IF($AH1264=1,Settings!$C$6,Settings!$C$7))*100)</f>
        <v/>
      </c>
      <c r="AA1264" s="7" t="n"/>
      <c r="AD1264" s="11" t="n"/>
      <c r="AF1264">
        <f>IF($B1264="","",IF(COUNTIF($B$2:$B1264,$B1264)=1,1,0))</f>
        <v/>
      </c>
      <c r="AG1264">
        <f>IF($AF1264=1,SUMPRODUCT(--($AJ$2:$AJ$1501&lt;$AJ1264))+1,"")</f>
        <v/>
      </c>
      <c r="AH1264">
        <f>IF($B1264="","",IF(OR($M1264=TRUE(),$M1264="TRUE"),1,0))</f>
        <v/>
      </c>
      <c r="AI1264">
        <f>IF($B1264="","",IF($V1264="Yes",1,0))</f>
        <v/>
      </c>
      <c r="AJ1264">
        <f>IF($AF1264=1,IFERROR(IF(VALUE($B1264)&lt;100000000,VALUE($B1264),1000000000),IFERROR(IF(VALUE(MID($B1264,2,20))&lt;100000000,VALUE(MID($B1264,2,20)),1000000000),1000000000))+ROW()/100000,"")</f>
        <v/>
      </c>
    </row>
    <row r="1265">
      <c r="C1265" s="11" t="n"/>
      <c r="J1265" s="7">
        <f>IF($B1265="","",I1265*Q1265/100)</f>
        <v/>
      </c>
      <c r="P1265" s="7" t="n"/>
      <c r="Q1265" s="7" t="n"/>
      <c r="R1265" s="7">
        <f>IF($B1265="","",Q1265*W1265/100)</f>
        <v/>
      </c>
      <c r="S1265" s="7">
        <f>IF($B1265="","",Q1265-R1265)</f>
        <v/>
      </c>
      <c r="T1265" s="7">
        <f>IF($B1265="","",S1265-J1265)</f>
        <v/>
      </c>
      <c r="W1265">
        <f>IF($B1265="","",IF($AI1265=1,0,IF($AH1265=1,Settings!$C$6,Settings!$C$7))*100)</f>
        <v/>
      </c>
      <c r="AA1265" s="7" t="n"/>
      <c r="AD1265" s="11" t="n"/>
      <c r="AF1265">
        <f>IF($B1265="","",IF(COUNTIF($B$2:$B1265,$B1265)=1,1,0))</f>
        <v/>
      </c>
      <c r="AG1265">
        <f>IF($AF1265=1,SUMPRODUCT(--($AJ$2:$AJ$1501&lt;$AJ1265))+1,"")</f>
        <v/>
      </c>
      <c r="AH1265">
        <f>IF($B1265="","",IF(OR($M1265=TRUE(),$M1265="TRUE"),1,0))</f>
        <v/>
      </c>
      <c r="AI1265">
        <f>IF($B1265="","",IF($V1265="Yes",1,0))</f>
        <v/>
      </c>
      <c r="AJ1265">
        <f>IF($AF1265=1,IFERROR(IF(VALUE($B1265)&lt;100000000,VALUE($B1265),1000000000),IFERROR(IF(VALUE(MID($B1265,2,20))&lt;100000000,VALUE(MID($B1265,2,20)),1000000000),1000000000))+ROW()/100000,"")</f>
        <v/>
      </c>
    </row>
    <row r="1266">
      <c r="C1266" s="11" t="n"/>
      <c r="J1266" s="7">
        <f>IF($B1266="","",I1266*Q1266/100)</f>
        <v/>
      </c>
      <c r="P1266" s="7" t="n"/>
      <c r="Q1266" s="7" t="n"/>
      <c r="R1266" s="7">
        <f>IF($B1266="","",Q1266*W1266/100)</f>
        <v/>
      </c>
      <c r="S1266" s="7">
        <f>IF($B1266="","",Q1266-R1266)</f>
        <v/>
      </c>
      <c r="T1266" s="7">
        <f>IF($B1266="","",S1266-J1266)</f>
        <v/>
      </c>
      <c r="W1266">
        <f>IF($B1266="","",IF($AI1266=1,0,IF($AH1266=1,Settings!$C$6,Settings!$C$7))*100)</f>
        <v/>
      </c>
      <c r="AA1266" s="7" t="n"/>
      <c r="AD1266" s="11" t="n"/>
      <c r="AF1266">
        <f>IF($B1266="","",IF(COUNTIF($B$2:$B1266,$B1266)=1,1,0))</f>
        <v/>
      </c>
      <c r="AG1266">
        <f>IF($AF1266=1,SUMPRODUCT(--($AJ$2:$AJ$1501&lt;$AJ1266))+1,"")</f>
        <v/>
      </c>
      <c r="AH1266">
        <f>IF($B1266="","",IF(OR($M1266=TRUE(),$M1266="TRUE"),1,0))</f>
        <v/>
      </c>
      <c r="AI1266">
        <f>IF($B1266="","",IF($V1266="Yes",1,0))</f>
        <v/>
      </c>
      <c r="AJ1266">
        <f>IF($AF1266=1,IFERROR(IF(VALUE($B1266)&lt;100000000,VALUE($B1266),1000000000),IFERROR(IF(VALUE(MID($B1266,2,20))&lt;100000000,VALUE(MID($B1266,2,20)),1000000000),1000000000))+ROW()/100000,"")</f>
        <v/>
      </c>
    </row>
    <row r="1267">
      <c r="C1267" s="11" t="n"/>
      <c r="J1267" s="7">
        <f>IF($B1267="","",I1267*Q1267/100)</f>
        <v/>
      </c>
      <c r="P1267" s="7" t="n"/>
      <c r="Q1267" s="7" t="n"/>
      <c r="R1267" s="7">
        <f>IF($B1267="","",Q1267*W1267/100)</f>
        <v/>
      </c>
      <c r="S1267" s="7">
        <f>IF($B1267="","",Q1267-R1267)</f>
        <v/>
      </c>
      <c r="T1267" s="7">
        <f>IF($B1267="","",S1267-J1267)</f>
        <v/>
      </c>
      <c r="W1267">
        <f>IF($B1267="","",IF($AI1267=1,0,IF($AH1267=1,Settings!$C$6,Settings!$C$7))*100)</f>
        <v/>
      </c>
      <c r="AA1267" s="7" t="n"/>
      <c r="AD1267" s="11" t="n"/>
      <c r="AF1267">
        <f>IF($B1267="","",IF(COUNTIF($B$2:$B1267,$B1267)=1,1,0))</f>
        <v/>
      </c>
      <c r="AG1267">
        <f>IF($AF1267=1,SUMPRODUCT(--($AJ$2:$AJ$1501&lt;$AJ1267))+1,"")</f>
        <v/>
      </c>
      <c r="AH1267">
        <f>IF($B1267="","",IF(OR($M1267=TRUE(),$M1267="TRUE"),1,0))</f>
        <v/>
      </c>
      <c r="AI1267">
        <f>IF($B1267="","",IF($V1267="Yes",1,0))</f>
        <v/>
      </c>
      <c r="AJ1267">
        <f>IF($AF1267=1,IFERROR(IF(VALUE($B1267)&lt;100000000,VALUE($B1267),1000000000),IFERROR(IF(VALUE(MID($B1267,2,20))&lt;100000000,VALUE(MID($B1267,2,20)),1000000000),1000000000))+ROW()/100000,"")</f>
        <v/>
      </c>
    </row>
    <row r="1268">
      <c r="C1268" s="11" t="n"/>
      <c r="J1268" s="7">
        <f>IF($B1268="","",I1268*Q1268/100)</f>
        <v/>
      </c>
      <c r="P1268" s="7" t="n"/>
      <c r="Q1268" s="7" t="n"/>
      <c r="R1268" s="7">
        <f>IF($B1268="","",Q1268*W1268/100)</f>
        <v/>
      </c>
      <c r="S1268" s="7">
        <f>IF($B1268="","",Q1268-R1268)</f>
        <v/>
      </c>
      <c r="T1268" s="7">
        <f>IF($B1268="","",S1268-J1268)</f>
        <v/>
      </c>
      <c r="W1268">
        <f>IF($B1268="","",IF($AI1268=1,0,IF($AH1268=1,Settings!$C$6,Settings!$C$7))*100)</f>
        <v/>
      </c>
      <c r="AA1268" s="7" t="n"/>
      <c r="AD1268" s="11" t="n"/>
      <c r="AF1268">
        <f>IF($B1268="","",IF(COUNTIF($B$2:$B1268,$B1268)=1,1,0))</f>
        <v/>
      </c>
      <c r="AG1268">
        <f>IF($AF1268=1,SUMPRODUCT(--($AJ$2:$AJ$1501&lt;$AJ1268))+1,"")</f>
        <v/>
      </c>
      <c r="AH1268">
        <f>IF($B1268="","",IF(OR($M1268=TRUE(),$M1268="TRUE"),1,0))</f>
        <v/>
      </c>
      <c r="AI1268">
        <f>IF($B1268="","",IF($V1268="Yes",1,0))</f>
        <v/>
      </c>
      <c r="AJ1268">
        <f>IF($AF1268=1,IFERROR(IF(VALUE($B1268)&lt;100000000,VALUE($B1268),1000000000),IFERROR(IF(VALUE(MID($B1268,2,20))&lt;100000000,VALUE(MID($B1268,2,20)),1000000000),1000000000))+ROW()/100000,"")</f>
        <v/>
      </c>
    </row>
    <row r="1269">
      <c r="C1269" s="11" t="n"/>
      <c r="J1269" s="7">
        <f>IF($B1269="","",I1269*Q1269/100)</f>
        <v/>
      </c>
      <c r="P1269" s="7" t="n"/>
      <c r="Q1269" s="7" t="n"/>
      <c r="R1269" s="7">
        <f>IF($B1269="","",Q1269*W1269/100)</f>
        <v/>
      </c>
      <c r="S1269" s="7">
        <f>IF($B1269="","",Q1269-R1269)</f>
        <v/>
      </c>
      <c r="T1269" s="7">
        <f>IF($B1269="","",S1269-J1269)</f>
        <v/>
      </c>
      <c r="W1269">
        <f>IF($B1269="","",IF($AI1269=1,0,IF($AH1269=1,Settings!$C$6,Settings!$C$7))*100)</f>
        <v/>
      </c>
      <c r="AA1269" s="7" t="n"/>
      <c r="AD1269" s="11" t="n"/>
      <c r="AF1269">
        <f>IF($B1269="","",IF(COUNTIF($B$2:$B1269,$B1269)=1,1,0))</f>
        <v/>
      </c>
      <c r="AG1269">
        <f>IF($AF1269=1,SUMPRODUCT(--($AJ$2:$AJ$1501&lt;$AJ1269))+1,"")</f>
        <v/>
      </c>
      <c r="AH1269">
        <f>IF($B1269="","",IF(OR($M1269=TRUE(),$M1269="TRUE"),1,0))</f>
        <v/>
      </c>
      <c r="AI1269">
        <f>IF($B1269="","",IF($V1269="Yes",1,0))</f>
        <v/>
      </c>
      <c r="AJ1269">
        <f>IF($AF1269=1,IFERROR(IF(VALUE($B1269)&lt;100000000,VALUE($B1269),1000000000),IFERROR(IF(VALUE(MID($B1269,2,20))&lt;100000000,VALUE(MID($B1269,2,20)),1000000000),1000000000))+ROW()/100000,"")</f>
        <v/>
      </c>
    </row>
    <row r="1270">
      <c r="C1270" s="11" t="n"/>
      <c r="J1270" s="7">
        <f>IF($B1270="","",I1270*Q1270/100)</f>
        <v/>
      </c>
      <c r="P1270" s="7" t="n"/>
      <c r="Q1270" s="7" t="n"/>
      <c r="R1270" s="7">
        <f>IF($B1270="","",Q1270*W1270/100)</f>
        <v/>
      </c>
      <c r="S1270" s="7">
        <f>IF($B1270="","",Q1270-R1270)</f>
        <v/>
      </c>
      <c r="T1270" s="7">
        <f>IF($B1270="","",S1270-J1270)</f>
        <v/>
      </c>
      <c r="W1270">
        <f>IF($B1270="","",IF($AI1270=1,0,IF($AH1270=1,Settings!$C$6,Settings!$C$7))*100)</f>
        <v/>
      </c>
      <c r="AA1270" s="7" t="n"/>
      <c r="AD1270" s="11" t="n"/>
      <c r="AF1270">
        <f>IF($B1270="","",IF(COUNTIF($B$2:$B1270,$B1270)=1,1,0))</f>
        <v/>
      </c>
      <c r="AG1270">
        <f>IF($AF1270=1,SUMPRODUCT(--($AJ$2:$AJ$1501&lt;$AJ1270))+1,"")</f>
        <v/>
      </c>
      <c r="AH1270">
        <f>IF($B1270="","",IF(OR($M1270=TRUE(),$M1270="TRUE"),1,0))</f>
        <v/>
      </c>
      <c r="AI1270">
        <f>IF($B1270="","",IF($V1270="Yes",1,0))</f>
        <v/>
      </c>
      <c r="AJ1270">
        <f>IF($AF1270=1,IFERROR(IF(VALUE($B1270)&lt;100000000,VALUE($B1270),1000000000),IFERROR(IF(VALUE(MID($B1270,2,20))&lt;100000000,VALUE(MID($B1270,2,20)),1000000000),1000000000))+ROW()/100000,"")</f>
        <v/>
      </c>
    </row>
    <row r="1271">
      <c r="C1271" s="11" t="n"/>
      <c r="J1271" s="7">
        <f>IF($B1271="","",I1271*Q1271/100)</f>
        <v/>
      </c>
      <c r="P1271" s="7" t="n"/>
      <c r="Q1271" s="7" t="n"/>
      <c r="R1271" s="7">
        <f>IF($B1271="","",Q1271*W1271/100)</f>
        <v/>
      </c>
      <c r="S1271" s="7">
        <f>IF($B1271="","",Q1271-R1271)</f>
        <v/>
      </c>
      <c r="T1271" s="7">
        <f>IF($B1271="","",S1271-J1271)</f>
        <v/>
      </c>
      <c r="W1271">
        <f>IF($B1271="","",IF($AI1271=1,0,IF($AH1271=1,Settings!$C$6,Settings!$C$7))*100)</f>
        <v/>
      </c>
      <c r="AA1271" s="7" t="n"/>
      <c r="AD1271" s="11" t="n"/>
      <c r="AF1271">
        <f>IF($B1271="","",IF(COUNTIF($B$2:$B1271,$B1271)=1,1,0))</f>
        <v/>
      </c>
      <c r="AG1271">
        <f>IF($AF1271=1,SUMPRODUCT(--($AJ$2:$AJ$1501&lt;$AJ1271))+1,"")</f>
        <v/>
      </c>
      <c r="AH1271">
        <f>IF($B1271="","",IF(OR($M1271=TRUE(),$M1271="TRUE"),1,0))</f>
        <v/>
      </c>
      <c r="AI1271">
        <f>IF($B1271="","",IF($V1271="Yes",1,0))</f>
        <v/>
      </c>
      <c r="AJ1271">
        <f>IF($AF1271=1,IFERROR(IF(VALUE($B1271)&lt;100000000,VALUE($B1271),1000000000),IFERROR(IF(VALUE(MID($B1271,2,20))&lt;100000000,VALUE(MID($B1271,2,20)),1000000000),1000000000))+ROW()/100000,"")</f>
        <v/>
      </c>
    </row>
    <row r="1272">
      <c r="C1272" s="11" t="n"/>
      <c r="J1272" s="7">
        <f>IF($B1272="","",I1272*Q1272/100)</f>
        <v/>
      </c>
      <c r="P1272" s="7" t="n"/>
      <c r="Q1272" s="7" t="n"/>
      <c r="R1272" s="7">
        <f>IF($B1272="","",Q1272*W1272/100)</f>
        <v/>
      </c>
      <c r="S1272" s="7">
        <f>IF($B1272="","",Q1272-R1272)</f>
        <v/>
      </c>
      <c r="T1272" s="7">
        <f>IF($B1272="","",S1272-J1272)</f>
        <v/>
      </c>
      <c r="W1272">
        <f>IF($B1272="","",IF($AI1272=1,0,IF($AH1272=1,Settings!$C$6,Settings!$C$7))*100)</f>
        <v/>
      </c>
      <c r="AA1272" s="7" t="n"/>
      <c r="AD1272" s="11" t="n"/>
      <c r="AF1272">
        <f>IF($B1272="","",IF(COUNTIF($B$2:$B1272,$B1272)=1,1,0))</f>
        <v/>
      </c>
      <c r="AG1272">
        <f>IF($AF1272=1,SUMPRODUCT(--($AJ$2:$AJ$1501&lt;$AJ1272))+1,"")</f>
        <v/>
      </c>
      <c r="AH1272">
        <f>IF($B1272="","",IF(OR($M1272=TRUE(),$M1272="TRUE"),1,0))</f>
        <v/>
      </c>
      <c r="AI1272">
        <f>IF($B1272="","",IF($V1272="Yes",1,0))</f>
        <v/>
      </c>
      <c r="AJ1272">
        <f>IF($AF1272=1,IFERROR(IF(VALUE($B1272)&lt;100000000,VALUE($B1272),1000000000),IFERROR(IF(VALUE(MID($B1272,2,20))&lt;100000000,VALUE(MID($B1272,2,20)),1000000000),1000000000))+ROW()/100000,"")</f>
        <v/>
      </c>
    </row>
    <row r="1273">
      <c r="C1273" s="11" t="n"/>
      <c r="J1273" s="7">
        <f>IF($B1273="","",I1273*Q1273/100)</f>
        <v/>
      </c>
      <c r="P1273" s="7" t="n"/>
      <c r="Q1273" s="7" t="n"/>
      <c r="R1273" s="7">
        <f>IF($B1273="","",Q1273*W1273/100)</f>
        <v/>
      </c>
      <c r="S1273" s="7">
        <f>IF($B1273="","",Q1273-R1273)</f>
        <v/>
      </c>
      <c r="T1273" s="7">
        <f>IF($B1273="","",S1273-J1273)</f>
        <v/>
      </c>
      <c r="W1273">
        <f>IF($B1273="","",IF($AI1273=1,0,IF($AH1273=1,Settings!$C$6,Settings!$C$7))*100)</f>
        <v/>
      </c>
      <c r="AA1273" s="7" t="n"/>
      <c r="AD1273" s="11" t="n"/>
      <c r="AF1273">
        <f>IF($B1273="","",IF(COUNTIF($B$2:$B1273,$B1273)=1,1,0))</f>
        <v/>
      </c>
      <c r="AG1273">
        <f>IF($AF1273=1,SUMPRODUCT(--($AJ$2:$AJ$1501&lt;$AJ1273))+1,"")</f>
        <v/>
      </c>
      <c r="AH1273">
        <f>IF($B1273="","",IF(OR($M1273=TRUE(),$M1273="TRUE"),1,0))</f>
        <v/>
      </c>
      <c r="AI1273">
        <f>IF($B1273="","",IF($V1273="Yes",1,0))</f>
        <v/>
      </c>
      <c r="AJ1273">
        <f>IF($AF1273=1,IFERROR(IF(VALUE($B1273)&lt;100000000,VALUE($B1273),1000000000),IFERROR(IF(VALUE(MID($B1273,2,20))&lt;100000000,VALUE(MID($B1273,2,20)),1000000000),1000000000))+ROW()/100000,"")</f>
        <v/>
      </c>
    </row>
    <row r="1274">
      <c r="C1274" s="11" t="n"/>
      <c r="J1274" s="7">
        <f>IF($B1274="","",I1274*Q1274/100)</f>
        <v/>
      </c>
      <c r="P1274" s="7" t="n"/>
      <c r="Q1274" s="7" t="n"/>
      <c r="R1274" s="7">
        <f>IF($B1274="","",Q1274*W1274/100)</f>
        <v/>
      </c>
      <c r="S1274" s="7">
        <f>IF($B1274="","",Q1274-R1274)</f>
        <v/>
      </c>
      <c r="T1274" s="7">
        <f>IF($B1274="","",S1274-J1274)</f>
        <v/>
      </c>
      <c r="W1274">
        <f>IF($B1274="","",IF($AI1274=1,0,IF($AH1274=1,Settings!$C$6,Settings!$C$7))*100)</f>
        <v/>
      </c>
      <c r="AA1274" s="7" t="n"/>
      <c r="AD1274" s="11" t="n"/>
      <c r="AF1274">
        <f>IF($B1274="","",IF(COUNTIF($B$2:$B1274,$B1274)=1,1,0))</f>
        <v/>
      </c>
      <c r="AG1274">
        <f>IF($AF1274=1,SUMPRODUCT(--($AJ$2:$AJ$1501&lt;$AJ1274))+1,"")</f>
        <v/>
      </c>
      <c r="AH1274">
        <f>IF($B1274="","",IF(OR($M1274=TRUE(),$M1274="TRUE"),1,0))</f>
        <v/>
      </c>
      <c r="AI1274">
        <f>IF($B1274="","",IF($V1274="Yes",1,0))</f>
        <v/>
      </c>
      <c r="AJ1274">
        <f>IF($AF1274=1,IFERROR(IF(VALUE($B1274)&lt;100000000,VALUE($B1274),1000000000),IFERROR(IF(VALUE(MID($B1274,2,20))&lt;100000000,VALUE(MID($B1274,2,20)),1000000000),1000000000))+ROW()/100000,"")</f>
        <v/>
      </c>
    </row>
    <row r="1275">
      <c r="C1275" s="11" t="n"/>
      <c r="J1275" s="7">
        <f>IF($B1275="","",I1275*Q1275/100)</f>
        <v/>
      </c>
      <c r="P1275" s="7" t="n"/>
      <c r="Q1275" s="7" t="n"/>
      <c r="R1275" s="7">
        <f>IF($B1275="","",Q1275*W1275/100)</f>
        <v/>
      </c>
      <c r="S1275" s="7">
        <f>IF($B1275="","",Q1275-R1275)</f>
        <v/>
      </c>
      <c r="T1275" s="7">
        <f>IF($B1275="","",S1275-J1275)</f>
        <v/>
      </c>
      <c r="W1275">
        <f>IF($B1275="","",IF($AI1275=1,0,IF($AH1275=1,Settings!$C$6,Settings!$C$7))*100)</f>
        <v/>
      </c>
      <c r="AA1275" s="7" t="n"/>
      <c r="AD1275" s="11" t="n"/>
      <c r="AF1275">
        <f>IF($B1275="","",IF(COUNTIF($B$2:$B1275,$B1275)=1,1,0))</f>
        <v/>
      </c>
      <c r="AG1275">
        <f>IF($AF1275=1,SUMPRODUCT(--($AJ$2:$AJ$1501&lt;$AJ1275))+1,"")</f>
        <v/>
      </c>
      <c r="AH1275">
        <f>IF($B1275="","",IF(OR($M1275=TRUE(),$M1275="TRUE"),1,0))</f>
        <v/>
      </c>
      <c r="AI1275">
        <f>IF($B1275="","",IF($V1275="Yes",1,0))</f>
        <v/>
      </c>
      <c r="AJ1275">
        <f>IF($AF1275=1,IFERROR(IF(VALUE($B1275)&lt;100000000,VALUE($B1275),1000000000),IFERROR(IF(VALUE(MID($B1275,2,20))&lt;100000000,VALUE(MID($B1275,2,20)),1000000000),1000000000))+ROW()/100000,"")</f>
        <v/>
      </c>
    </row>
    <row r="1276">
      <c r="C1276" s="11" t="n"/>
      <c r="J1276" s="7">
        <f>IF($B1276="","",I1276*Q1276/100)</f>
        <v/>
      </c>
      <c r="P1276" s="7" t="n"/>
      <c r="Q1276" s="7" t="n"/>
      <c r="R1276" s="7">
        <f>IF($B1276="","",Q1276*W1276/100)</f>
        <v/>
      </c>
      <c r="S1276" s="7">
        <f>IF($B1276="","",Q1276-R1276)</f>
        <v/>
      </c>
      <c r="T1276" s="7">
        <f>IF($B1276="","",S1276-J1276)</f>
        <v/>
      </c>
      <c r="W1276">
        <f>IF($B1276="","",IF($AI1276=1,0,IF($AH1276=1,Settings!$C$6,Settings!$C$7))*100)</f>
        <v/>
      </c>
      <c r="AA1276" s="7" t="n"/>
      <c r="AD1276" s="11" t="n"/>
      <c r="AF1276">
        <f>IF($B1276="","",IF(COUNTIF($B$2:$B1276,$B1276)=1,1,0))</f>
        <v/>
      </c>
      <c r="AG1276">
        <f>IF($AF1276=1,SUMPRODUCT(--($AJ$2:$AJ$1501&lt;$AJ1276))+1,"")</f>
        <v/>
      </c>
      <c r="AH1276">
        <f>IF($B1276="","",IF(OR($M1276=TRUE(),$M1276="TRUE"),1,0))</f>
        <v/>
      </c>
      <c r="AI1276">
        <f>IF($B1276="","",IF($V1276="Yes",1,0))</f>
        <v/>
      </c>
      <c r="AJ1276">
        <f>IF($AF1276=1,IFERROR(IF(VALUE($B1276)&lt;100000000,VALUE($B1276),1000000000),IFERROR(IF(VALUE(MID($B1276,2,20))&lt;100000000,VALUE(MID($B1276,2,20)),1000000000),1000000000))+ROW()/100000,"")</f>
        <v/>
      </c>
    </row>
    <row r="1277">
      <c r="C1277" s="11" t="n"/>
      <c r="J1277" s="7">
        <f>IF($B1277="","",I1277*Q1277/100)</f>
        <v/>
      </c>
      <c r="P1277" s="7" t="n"/>
      <c r="Q1277" s="7" t="n"/>
      <c r="R1277" s="7">
        <f>IF($B1277="","",Q1277*W1277/100)</f>
        <v/>
      </c>
      <c r="S1277" s="7">
        <f>IF($B1277="","",Q1277-R1277)</f>
        <v/>
      </c>
      <c r="T1277" s="7">
        <f>IF($B1277="","",S1277-J1277)</f>
        <v/>
      </c>
      <c r="W1277">
        <f>IF($B1277="","",IF($AI1277=1,0,IF($AH1277=1,Settings!$C$6,Settings!$C$7))*100)</f>
        <v/>
      </c>
      <c r="AA1277" s="7" t="n"/>
      <c r="AD1277" s="11" t="n"/>
      <c r="AF1277">
        <f>IF($B1277="","",IF(COUNTIF($B$2:$B1277,$B1277)=1,1,0))</f>
        <v/>
      </c>
      <c r="AG1277">
        <f>IF($AF1277=1,SUMPRODUCT(--($AJ$2:$AJ$1501&lt;$AJ1277))+1,"")</f>
        <v/>
      </c>
      <c r="AH1277">
        <f>IF($B1277="","",IF(OR($M1277=TRUE(),$M1277="TRUE"),1,0))</f>
        <v/>
      </c>
      <c r="AI1277">
        <f>IF($B1277="","",IF($V1277="Yes",1,0))</f>
        <v/>
      </c>
      <c r="AJ1277">
        <f>IF($AF1277=1,IFERROR(IF(VALUE($B1277)&lt;100000000,VALUE($B1277),1000000000),IFERROR(IF(VALUE(MID($B1277,2,20))&lt;100000000,VALUE(MID($B1277,2,20)),1000000000),1000000000))+ROW()/100000,"")</f>
        <v/>
      </c>
    </row>
    <row r="1278">
      <c r="C1278" s="11" t="n"/>
      <c r="J1278" s="7">
        <f>IF($B1278="","",I1278*Q1278/100)</f>
        <v/>
      </c>
      <c r="P1278" s="7" t="n"/>
      <c r="Q1278" s="7" t="n"/>
      <c r="R1278" s="7">
        <f>IF($B1278="","",Q1278*W1278/100)</f>
        <v/>
      </c>
      <c r="S1278" s="7">
        <f>IF($B1278="","",Q1278-R1278)</f>
        <v/>
      </c>
      <c r="T1278" s="7">
        <f>IF($B1278="","",S1278-J1278)</f>
        <v/>
      </c>
      <c r="W1278">
        <f>IF($B1278="","",IF($AI1278=1,0,IF($AH1278=1,Settings!$C$6,Settings!$C$7))*100)</f>
        <v/>
      </c>
      <c r="AA1278" s="7" t="n"/>
      <c r="AD1278" s="11" t="n"/>
      <c r="AF1278">
        <f>IF($B1278="","",IF(COUNTIF($B$2:$B1278,$B1278)=1,1,0))</f>
        <v/>
      </c>
      <c r="AG1278">
        <f>IF($AF1278=1,SUMPRODUCT(--($AJ$2:$AJ$1501&lt;$AJ1278))+1,"")</f>
        <v/>
      </c>
      <c r="AH1278">
        <f>IF($B1278="","",IF(OR($M1278=TRUE(),$M1278="TRUE"),1,0))</f>
        <v/>
      </c>
      <c r="AI1278">
        <f>IF($B1278="","",IF($V1278="Yes",1,0))</f>
        <v/>
      </c>
      <c r="AJ1278">
        <f>IF($AF1278=1,IFERROR(IF(VALUE($B1278)&lt;100000000,VALUE($B1278),1000000000),IFERROR(IF(VALUE(MID($B1278,2,20))&lt;100000000,VALUE(MID($B1278,2,20)),1000000000),1000000000))+ROW()/100000,"")</f>
        <v/>
      </c>
    </row>
    <row r="1279">
      <c r="C1279" s="11" t="n"/>
      <c r="J1279" s="7">
        <f>IF($B1279="","",I1279*Q1279/100)</f>
        <v/>
      </c>
      <c r="P1279" s="7" t="n"/>
      <c r="Q1279" s="7" t="n"/>
      <c r="R1279" s="7">
        <f>IF($B1279="","",Q1279*W1279/100)</f>
        <v/>
      </c>
      <c r="S1279" s="7">
        <f>IF($B1279="","",Q1279-R1279)</f>
        <v/>
      </c>
      <c r="T1279" s="7">
        <f>IF($B1279="","",S1279-J1279)</f>
        <v/>
      </c>
      <c r="W1279">
        <f>IF($B1279="","",IF($AI1279=1,0,IF($AH1279=1,Settings!$C$6,Settings!$C$7))*100)</f>
        <v/>
      </c>
      <c r="AA1279" s="7" t="n"/>
      <c r="AD1279" s="11" t="n"/>
      <c r="AF1279">
        <f>IF($B1279="","",IF(COUNTIF($B$2:$B1279,$B1279)=1,1,0))</f>
        <v/>
      </c>
      <c r="AG1279">
        <f>IF($AF1279=1,SUMPRODUCT(--($AJ$2:$AJ$1501&lt;$AJ1279))+1,"")</f>
        <v/>
      </c>
      <c r="AH1279">
        <f>IF($B1279="","",IF(OR($M1279=TRUE(),$M1279="TRUE"),1,0))</f>
        <v/>
      </c>
      <c r="AI1279">
        <f>IF($B1279="","",IF($V1279="Yes",1,0))</f>
        <v/>
      </c>
      <c r="AJ1279">
        <f>IF($AF1279=1,IFERROR(IF(VALUE($B1279)&lt;100000000,VALUE($B1279),1000000000),IFERROR(IF(VALUE(MID($B1279,2,20))&lt;100000000,VALUE(MID($B1279,2,20)),1000000000),1000000000))+ROW()/100000,"")</f>
        <v/>
      </c>
    </row>
    <row r="1280">
      <c r="C1280" s="11" t="n"/>
      <c r="J1280" s="7">
        <f>IF($B1280="","",I1280*Q1280/100)</f>
        <v/>
      </c>
      <c r="P1280" s="7" t="n"/>
      <c r="Q1280" s="7" t="n"/>
      <c r="R1280" s="7">
        <f>IF($B1280="","",Q1280*W1280/100)</f>
        <v/>
      </c>
      <c r="S1280" s="7">
        <f>IF($B1280="","",Q1280-R1280)</f>
        <v/>
      </c>
      <c r="T1280" s="7">
        <f>IF($B1280="","",S1280-J1280)</f>
        <v/>
      </c>
      <c r="W1280">
        <f>IF($B1280="","",IF($AI1280=1,0,IF($AH1280=1,Settings!$C$6,Settings!$C$7))*100)</f>
        <v/>
      </c>
      <c r="AA1280" s="7" t="n"/>
      <c r="AD1280" s="11" t="n"/>
      <c r="AF1280">
        <f>IF($B1280="","",IF(COUNTIF($B$2:$B1280,$B1280)=1,1,0))</f>
        <v/>
      </c>
      <c r="AG1280">
        <f>IF($AF1280=1,SUMPRODUCT(--($AJ$2:$AJ$1501&lt;$AJ1280))+1,"")</f>
        <v/>
      </c>
      <c r="AH1280">
        <f>IF($B1280="","",IF(OR($M1280=TRUE(),$M1280="TRUE"),1,0))</f>
        <v/>
      </c>
      <c r="AI1280">
        <f>IF($B1280="","",IF($V1280="Yes",1,0))</f>
        <v/>
      </c>
      <c r="AJ1280">
        <f>IF($AF1280=1,IFERROR(IF(VALUE($B1280)&lt;100000000,VALUE($B1280),1000000000),IFERROR(IF(VALUE(MID($B1280,2,20))&lt;100000000,VALUE(MID($B1280,2,20)),1000000000),1000000000))+ROW()/100000,"")</f>
        <v/>
      </c>
    </row>
    <row r="1281">
      <c r="C1281" s="11" t="n"/>
      <c r="J1281" s="7">
        <f>IF($B1281="","",I1281*Q1281/100)</f>
        <v/>
      </c>
      <c r="P1281" s="7" t="n"/>
      <c r="Q1281" s="7" t="n"/>
      <c r="R1281" s="7">
        <f>IF($B1281="","",Q1281*W1281/100)</f>
        <v/>
      </c>
      <c r="S1281" s="7">
        <f>IF($B1281="","",Q1281-R1281)</f>
        <v/>
      </c>
      <c r="T1281" s="7">
        <f>IF($B1281="","",S1281-J1281)</f>
        <v/>
      </c>
      <c r="W1281">
        <f>IF($B1281="","",IF($AI1281=1,0,IF($AH1281=1,Settings!$C$6,Settings!$C$7))*100)</f>
        <v/>
      </c>
      <c r="AA1281" s="7" t="n"/>
      <c r="AD1281" s="11" t="n"/>
      <c r="AF1281">
        <f>IF($B1281="","",IF(COUNTIF($B$2:$B1281,$B1281)=1,1,0))</f>
        <v/>
      </c>
      <c r="AG1281">
        <f>IF($AF1281=1,SUMPRODUCT(--($AJ$2:$AJ$1501&lt;$AJ1281))+1,"")</f>
        <v/>
      </c>
      <c r="AH1281">
        <f>IF($B1281="","",IF(OR($M1281=TRUE(),$M1281="TRUE"),1,0))</f>
        <v/>
      </c>
      <c r="AI1281">
        <f>IF($B1281="","",IF($V1281="Yes",1,0))</f>
        <v/>
      </c>
      <c r="AJ1281">
        <f>IF($AF1281=1,IFERROR(IF(VALUE($B1281)&lt;100000000,VALUE($B1281),1000000000),IFERROR(IF(VALUE(MID($B1281,2,20))&lt;100000000,VALUE(MID($B1281,2,20)),1000000000),1000000000))+ROW()/100000,"")</f>
        <v/>
      </c>
    </row>
    <row r="1282">
      <c r="C1282" s="11" t="n"/>
      <c r="J1282" s="7">
        <f>IF($B1282="","",I1282*Q1282/100)</f>
        <v/>
      </c>
      <c r="P1282" s="7" t="n"/>
      <c r="Q1282" s="7" t="n"/>
      <c r="R1282" s="7">
        <f>IF($B1282="","",Q1282*W1282/100)</f>
        <v/>
      </c>
      <c r="S1282" s="7">
        <f>IF($B1282="","",Q1282-R1282)</f>
        <v/>
      </c>
      <c r="T1282" s="7">
        <f>IF($B1282="","",S1282-J1282)</f>
        <v/>
      </c>
      <c r="W1282">
        <f>IF($B1282="","",IF($AI1282=1,0,IF($AH1282=1,Settings!$C$6,Settings!$C$7))*100)</f>
        <v/>
      </c>
      <c r="AA1282" s="7" t="n"/>
      <c r="AD1282" s="11" t="n"/>
      <c r="AF1282">
        <f>IF($B1282="","",IF(COUNTIF($B$2:$B1282,$B1282)=1,1,0))</f>
        <v/>
      </c>
      <c r="AG1282">
        <f>IF($AF1282=1,SUMPRODUCT(--($AJ$2:$AJ$1501&lt;$AJ1282))+1,"")</f>
        <v/>
      </c>
      <c r="AH1282">
        <f>IF($B1282="","",IF(OR($M1282=TRUE(),$M1282="TRUE"),1,0))</f>
        <v/>
      </c>
      <c r="AI1282">
        <f>IF($B1282="","",IF($V1282="Yes",1,0))</f>
        <v/>
      </c>
      <c r="AJ1282">
        <f>IF($AF1282=1,IFERROR(IF(VALUE($B1282)&lt;100000000,VALUE($B1282),1000000000),IFERROR(IF(VALUE(MID($B1282,2,20))&lt;100000000,VALUE(MID($B1282,2,20)),1000000000),1000000000))+ROW()/100000,"")</f>
        <v/>
      </c>
    </row>
    <row r="1283">
      <c r="C1283" s="11" t="n"/>
      <c r="J1283" s="7">
        <f>IF($B1283="","",I1283*Q1283/100)</f>
        <v/>
      </c>
      <c r="P1283" s="7" t="n"/>
      <c r="Q1283" s="7" t="n"/>
      <c r="R1283" s="7">
        <f>IF($B1283="","",Q1283*W1283/100)</f>
        <v/>
      </c>
      <c r="S1283" s="7">
        <f>IF($B1283="","",Q1283-R1283)</f>
        <v/>
      </c>
      <c r="T1283" s="7">
        <f>IF($B1283="","",S1283-J1283)</f>
        <v/>
      </c>
      <c r="W1283">
        <f>IF($B1283="","",IF($AI1283=1,0,IF($AH1283=1,Settings!$C$6,Settings!$C$7))*100)</f>
        <v/>
      </c>
      <c r="AA1283" s="7" t="n"/>
      <c r="AD1283" s="11" t="n"/>
      <c r="AF1283">
        <f>IF($B1283="","",IF(COUNTIF($B$2:$B1283,$B1283)=1,1,0))</f>
        <v/>
      </c>
      <c r="AG1283">
        <f>IF($AF1283=1,SUMPRODUCT(--($AJ$2:$AJ$1501&lt;$AJ1283))+1,"")</f>
        <v/>
      </c>
      <c r="AH1283">
        <f>IF($B1283="","",IF(OR($M1283=TRUE(),$M1283="TRUE"),1,0))</f>
        <v/>
      </c>
      <c r="AI1283">
        <f>IF($B1283="","",IF($V1283="Yes",1,0))</f>
        <v/>
      </c>
      <c r="AJ1283">
        <f>IF($AF1283=1,IFERROR(IF(VALUE($B1283)&lt;100000000,VALUE($B1283),1000000000),IFERROR(IF(VALUE(MID($B1283,2,20))&lt;100000000,VALUE(MID($B1283,2,20)),1000000000),1000000000))+ROW()/100000,"")</f>
        <v/>
      </c>
    </row>
    <row r="1284">
      <c r="C1284" s="11" t="n"/>
      <c r="J1284" s="7">
        <f>IF($B1284="","",I1284*Q1284/100)</f>
        <v/>
      </c>
      <c r="P1284" s="7" t="n"/>
      <c r="Q1284" s="7" t="n"/>
      <c r="R1284" s="7">
        <f>IF($B1284="","",Q1284*W1284/100)</f>
        <v/>
      </c>
      <c r="S1284" s="7">
        <f>IF($B1284="","",Q1284-R1284)</f>
        <v/>
      </c>
      <c r="T1284" s="7">
        <f>IF($B1284="","",S1284-J1284)</f>
        <v/>
      </c>
      <c r="W1284">
        <f>IF($B1284="","",IF($AI1284=1,0,IF($AH1284=1,Settings!$C$6,Settings!$C$7))*100)</f>
        <v/>
      </c>
      <c r="AA1284" s="7" t="n"/>
      <c r="AD1284" s="11" t="n"/>
      <c r="AF1284">
        <f>IF($B1284="","",IF(COUNTIF($B$2:$B1284,$B1284)=1,1,0))</f>
        <v/>
      </c>
      <c r="AG1284">
        <f>IF($AF1284=1,SUMPRODUCT(--($AJ$2:$AJ$1501&lt;$AJ1284))+1,"")</f>
        <v/>
      </c>
      <c r="AH1284">
        <f>IF($B1284="","",IF(OR($M1284=TRUE(),$M1284="TRUE"),1,0))</f>
        <v/>
      </c>
      <c r="AI1284">
        <f>IF($B1284="","",IF($V1284="Yes",1,0))</f>
        <v/>
      </c>
      <c r="AJ1284">
        <f>IF($AF1284=1,IFERROR(IF(VALUE($B1284)&lt;100000000,VALUE($B1284),1000000000),IFERROR(IF(VALUE(MID($B1284,2,20))&lt;100000000,VALUE(MID($B1284,2,20)),1000000000),1000000000))+ROW()/100000,"")</f>
        <v/>
      </c>
    </row>
    <row r="1285">
      <c r="C1285" s="11" t="n"/>
      <c r="J1285" s="7">
        <f>IF($B1285="","",I1285*Q1285/100)</f>
        <v/>
      </c>
      <c r="P1285" s="7" t="n"/>
      <c r="Q1285" s="7" t="n"/>
      <c r="R1285" s="7">
        <f>IF($B1285="","",Q1285*W1285/100)</f>
        <v/>
      </c>
      <c r="S1285" s="7">
        <f>IF($B1285="","",Q1285-R1285)</f>
        <v/>
      </c>
      <c r="T1285" s="7">
        <f>IF($B1285="","",S1285-J1285)</f>
        <v/>
      </c>
      <c r="W1285">
        <f>IF($B1285="","",IF($AI1285=1,0,IF($AH1285=1,Settings!$C$6,Settings!$C$7))*100)</f>
        <v/>
      </c>
      <c r="AA1285" s="7" t="n"/>
      <c r="AD1285" s="11" t="n"/>
      <c r="AF1285">
        <f>IF($B1285="","",IF(COUNTIF($B$2:$B1285,$B1285)=1,1,0))</f>
        <v/>
      </c>
      <c r="AG1285">
        <f>IF($AF1285=1,SUMPRODUCT(--($AJ$2:$AJ$1501&lt;$AJ1285))+1,"")</f>
        <v/>
      </c>
      <c r="AH1285">
        <f>IF($B1285="","",IF(OR($M1285=TRUE(),$M1285="TRUE"),1,0))</f>
        <v/>
      </c>
      <c r="AI1285">
        <f>IF($B1285="","",IF($V1285="Yes",1,0))</f>
        <v/>
      </c>
      <c r="AJ1285">
        <f>IF($AF1285=1,IFERROR(IF(VALUE($B1285)&lt;100000000,VALUE($B1285),1000000000),IFERROR(IF(VALUE(MID($B1285,2,20))&lt;100000000,VALUE(MID($B1285,2,20)),1000000000),1000000000))+ROW()/100000,"")</f>
        <v/>
      </c>
    </row>
    <row r="1286">
      <c r="C1286" s="11" t="n"/>
      <c r="J1286" s="7">
        <f>IF($B1286="","",I1286*Q1286/100)</f>
        <v/>
      </c>
      <c r="P1286" s="7" t="n"/>
      <c r="Q1286" s="7" t="n"/>
      <c r="R1286" s="7">
        <f>IF($B1286="","",Q1286*W1286/100)</f>
        <v/>
      </c>
      <c r="S1286" s="7">
        <f>IF($B1286="","",Q1286-R1286)</f>
        <v/>
      </c>
      <c r="T1286" s="7">
        <f>IF($B1286="","",S1286-J1286)</f>
        <v/>
      </c>
      <c r="W1286">
        <f>IF($B1286="","",IF($AI1286=1,0,IF($AH1286=1,Settings!$C$6,Settings!$C$7))*100)</f>
        <v/>
      </c>
      <c r="AA1286" s="7" t="n"/>
      <c r="AD1286" s="11" t="n"/>
      <c r="AF1286">
        <f>IF($B1286="","",IF(COUNTIF($B$2:$B1286,$B1286)=1,1,0))</f>
        <v/>
      </c>
      <c r="AG1286">
        <f>IF($AF1286=1,SUMPRODUCT(--($AJ$2:$AJ$1501&lt;$AJ1286))+1,"")</f>
        <v/>
      </c>
      <c r="AH1286">
        <f>IF($B1286="","",IF(OR($M1286=TRUE(),$M1286="TRUE"),1,0))</f>
        <v/>
      </c>
      <c r="AI1286">
        <f>IF($B1286="","",IF($V1286="Yes",1,0))</f>
        <v/>
      </c>
      <c r="AJ1286">
        <f>IF($AF1286=1,IFERROR(IF(VALUE($B1286)&lt;100000000,VALUE($B1286),1000000000),IFERROR(IF(VALUE(MID($B1286,2,20))&lt;100000000,VALUE(MID($B1286,2,20)),1000000000),1000000000))+ROW()/100000,"")</f>
        <v/>
      </c>
    </row>
    <row r="1287">
      <c r="C1287" s="11" t="n"/>
      <c r="J1287" s="7">
        <f>IF($B1287="","",I1287*Q1287/100)</f>
        <v/>
      </c>
      <c r="P1287" s="7" t="n"/>
      <c r="Q1287" s="7" t="n"/>
      <c r="R1287" s="7">
        <f>IF($B1287="","",Q1287*W1287/100)</f>
        <v/>
      </c>
      <c r="S1287" s="7">
        <f>IF($B1287="","",Q1287-R1287)</f>
        <v/>
      </c>
      <c r="T1287" s="7">
        <f>IF($B1287="","",S1287-J1287)</f>
        <v/>
      </c>
      <c r="W1287">
        <f>IF($B1287="","",IF($AI1287=1,0,IF($AH1287=1,Settings!$C$6,Settings!$C$7))*100)</f>
        <v/>
      </c>
      <c r="AA1287" s="7" t="n"/>
      <c r="AD1287" s="11" t="n"/>
      <c r="AF1287">
        <f>IF($B1287="","",IF(COUNTIF($B$2:$B1287,$B1287)=1,1,0))</f>
        <v/>
      </c>
      <c r="AG1287">
        <f>IF($AF1287=1,SUMPRODUCT(--($AJ$2:$AJ$1501&lt;$AJ1287))+1,"")</f>
        <v/>
      </c>
      <c r="AH1287">
        <f>IF($B1287="","",IF(OR($M1287=TRUE(),$M1287="TRUE"),1,0))</f>
        <v/>
      </c>
      <c r="AI1287">
        <f>IF($B1287="","",IF($V1287="Yes",1,0))</f>
        <v/>
      </c>
      <c r="AJ1287">
        <f>IF($AF1287=1,IFERROR(IF(VALUE($B1287)&lt;100000000,VALUE($B1287),1000000000),IFERROR(IF(VALUE(MID($B1287,2,20))&lt;100000000,VALUE(MID($B1287,2,20)),1000000000),1000000000))+ROW()/100000,"")</f>
        <v/>
      </c>
    </row>
    <row r="1288">
      <c r="C1288" s="11" t="n"/>
      <c r="J1288" s="7">
        <f>IF($B1288="","",I1288*Q1288/100)</f>
        <v/>
      </c>
      <c r="P1288" s="7" t="n"/>
      <c r="Q1288" s="7" t="n"/>
      <c r="R1288" s="7">
        <f>IF($B1288="","",Q1288*W1288/100)</f>
        <v/>
      </c>
      <c r="S1288" s="7">
        <f>IF($B1288="","",Q1288-R1288)</f>
        <v/>
      </c>
      <c r="T1288" s="7">
        <f>IF($B1288="","",S1288-J1288)</f>
        <v/>
      </c>
      <c r="W1288">
        <f>IF($B1288="","",IF($AI1288=1,0,IF($AH1288=1,Settings!$C$6,Settings!$C$7))*100)</f>
        <v/>
      </c>
      <c r="AA1288" s="7" t="n"/>
      <c r="AD1288" s="11" t="n"/>
      <c r="AF1288">
        <f>IF($B1288="","",IF(COUNTIF($B$2:$B1288,$B1288)=1,1,0))</f>
        <v/>
      </c>
      <c r="AG1288">
        <f>IF($AF1288=1,SUMPRODUCT(--($AJ$2:$AJ$1501&lt;$AJ1288))+1,"")</f>
        <v/>
      </c>
      <c r="AH1288">
        <f>IF($B1288="","",IF(OR($M1288=TRUE(),$M1288="TRUE"),1,0))</f>
        <v/>
      </c>
      <c r="AI1288">
        <f>IF($B1288="","",IF($V1288="Yes",1,0))</f>
        <v/>
      </c>
      <c r="AJ1288">
        <f>IF($AF1288=1,IFERROR(IF(VALUE($B1288)&lt;100000000,VALUE($B1288),1000000000),IFERROR(IF(VALUE(MID($B1288,2,20))&lt;100000000,VALUE(MID($B1288,2,20)),1000000000),1000000000))+ROW()/100000,"")</f>
        <v/>
      </c>
    </row>
    <row r="1289">
      <c r="C1289" s="11" t="n"/>
      <c r="J1289" s="7">
        <f>IF($B1289="","",I1289*Q1289/100)</f>
        <v/>
      </c>
      <c r="P1289" s="7" t="n"/>
      <c r="Q1289" s="7" t="n"/>
      <c r="R1289" s="7">
        <f>IF($B1289="","",Q1289*W1289/100)</f>
        <v/>
      </c>
      <c r="S1289" s="7">
        <f>IF($B1289="","",Q1289-R1289)</f>
        <v/>
      </c>
      <c r="T1289" s="7">
        <f>IF($B1289="","",S1289-J1289)</f>
        <v/>
      </c>
      <c r="W1289">
        <f>IF($B1289="","",IF($AI1289=1,0,IF($AH1289=1,Settings!$C$6,Settings!$C$7))*100)</f>
        <v/>
      </c>
      <c r="AA1289" s="7" t="n"/>
      <c r="AD1289" s="11" t="n"/>
      <c r="AF1289">
        <f>IF($B1289="","",IF(COUNTIF($B$2:$B1289,$B1289)=1,1,0))</f>
        <v/>
      </c>
      <c r="AG1289">
        <f>IF($AF1289=1,SUMPRODUCT(--($AJ$2:$AJ$1501&lt;$AJ1289))+1,"")</f>
        <v/>
      </c>
      <c r="AH1289">
        <f>IF($B1289="","",IF(OR($M1289=TRUE(),$M1289="TRUE"),1,0))</f>
        <v/>
      </c>
      <c r="AI1289">
        <f>IF($B1289="","",IF($V1289="Yes",1,0))</f>
        <v/>
      </c>
      <c r="AJ1289">
        <f>IF($AF1289=1,IFERROR(IF(VALUE($B1289)&lt;100000000,VALUE($B1289),1000000000),IFERROR(IF(VALUE(MID($B1289,2,20))&lt;100000000,VALUE(MID($B1289,2,20)),1000000000),1000000000))+ROW()/100000,"")</f>
        <v/>
      </c>
    </row>
    <row r="1290">
      <c r="C1290" s="11" t="n"/>
      <c r="J1290" s="7">
        <f>IF($B1290="","",I1290*Q1290/100)</f>
        <v/>
      </c>
      <c r="P1290" s="7" t="n"/>
      <c r="Q1290" s="7" t="n"/>
      <c r="R1290" s="7">
        <f>IF($B1290="","",Q1290*W1290/100)</f>
        <v/>
      </c>
      <c r="S1290" s="7">
        <f>IF($B1290="","",Q1290-R1290)</f>
        <v/>
      </c>
      <c r="T1290" s="7">
        <f>IF($B1290="","",S1290-J1290)</f>
        <v/>
      </c>
      <c r="W1290">
        <f>IF($B1290="","",IF($AI1290=1,0,IF($AH1290=1,Settings!$C$6,Settings!$C$7))*100)</f>
        <v/>
      </c>
      <c r="AA1290" s="7" t="n"/>
      <c r="AD1290" s="11" t="n"/>
      <c r="AF1290">
        <f>IF($B1290="","",IF(COUNTIF($B$2:$B1290,$B1290)=1,1,0))</f>
        <v/>
      </c>
      <c r="AG1290">
        <f>IF($AF1290=1,SUMPRODUCT(--($AJ$2:$AJ$1501&lt;$AJ1290))+1,"")</f>
        <v/>
      </c>
      <c r="AH1290">
        <f>IF($B1290="","",IF(OR($M1290=TRUE(),$M1290="TRUE"),1,0))</f>
        <v/>
      </c>
      <c r="AI1290">
        <f>IF($B1290="","",IF($V1290="Yes",1,0))</f>
        <v/>
      </c>
      <c r="AJ1290">
        <f>IF($AF1290=1,IFERROR(IF(VALUE($B1290)&lt;100000000,VALUE($B1290),1000000000),IFERROR(IF(VALUE(MID($B1290,2,20))&lt;100000000,VALUE(MID($B1290,2,20)),1000000000),1000000000))+ROW()/100000,"")</f>
        <v/>
      </c>
    </row>
    <row r="1291">
      <c r="C1291" s="11" t="n"/>
      <c r="J1291" s="7">
        <f>IF($B1291="","",I1291*Q1291/100)</f>
        <v/>
      </c>
      <c r="P1291" s="7" t="n"/>
      <c r="Q1291" s="7" t="n"/>
      <c r="R1291" s="7">
        <f>IF($B1291="","",Q1291*W1291/100)</f>
        <v/>
      </c>
      <c r="S1291" s="7">
        <f>IF($B1291="","",Q1291-R1291)</f>
        <v/>
      </c>
      <c r="T1291" s="7">
        <f>IF($B1291="","",S1291-J1291)</f>
        <v/>
      </c>
      <c r="W1291">
        <f>IF($B1291="","",IF($AI1291=1,0,IF($AH1291=1,Settings!$C$6,Settings!$C$7))*100)</f>
        <v/>
      </c>
      <c r="AA1291" s="7" t="n"/>
      <c r="AD1291" s="11" t="n"/>
      <c r="AF1291">
        <f>IF($B1291="","",IF(COUNTIF($B$2:$B1291,$B1291)=1,1,0))</f>
        <v/>
      </c>
      <c r="AG1291">
        <f>IF($AF1291=1,SUMPRODUCT(--($AJ$2:$AJ$1501&lt;$AJ1291))+1,"")</f>
        <v/>
      </c>
      <c r="AH1291">
        <f>IF($B1291="","",IF(OR($M1291=TRUE(),$M1291="TRUE"),1,0))</f>
        <v/>
      </c>
      <c r="AI1291">
        <f>IF($B1291="","",IF($V1291="Yes",1,0))</f>
        <v/>
      </c>
      <c r="AJ1291">
        <f>IF($AF1291=1,IFERROR(IF(VALUE($B1291)&lt;100000000,VALUE($B1291),1000000000),IFERROR(IF(VALUE(MID($B1291,2,20))&lt;100000000,VALUE(MID($B1291,2,20)),1000000000),1000000000))+ROW()/100000,"")</f>
        <v/>
      </c>
    </row>
    <row r="1292">
      <c r="C1292" s="11" t="n"/>
      <c r="J1292" s="7">
        <f>IF($B1292="","",I1292*Q1292/100)</f>
        <v/>
      </c>
      <c r="P1292" s="7" t="n"/>
      <c r="Q1292" s="7" t="n"/>
      <c r="R1292" s="7">
        <f>IF($B1292="","",Q1292*W1292/100)</f>
        <v/>
      </c>
      <c r="S1292" s="7">
        <f>IF($B1292="","",Q1292-R1292)</f>
        <v/>
      </c>
      <c r="T1292" s="7">
        <f>IF($B1292="","",S1292-J1292)</f>
        <v/>
      </c>
      <c r="W1292">
        <f>IF($B1292="","",IF($AI1292=1,0,IF($AH1292=1,Settings!$C$6,Settings!$C$7))*100)</f>
        <v/>
      </c>
      <c r="AA1292" s="7" t="n"/>
      <c r="AD1292" s="11" t="n"/>
      <c r="AF1292">
        <f>IF($B1292="","",IF(COUNTIF($B$2:$B1292,$B1292)=1,1,0))</f>
        <v/>
      </c>
      <c r="AG1292">
        <f>IF($AF1292=1,SUMPRODUCT(--($AJ$2:$AJ$1501&lt;$AJ1292))+1,"")</f>
        <v/>
      </c>
      <c r="AH1292">
        <f>IF($B1292="","",IF(OR($M1292=TRUE(),$M1292="TRUE"),1,0))</f>
        <v/>
      </c>
      <c r="AI1292">
        <f>IF($B1292="","",IF($V1292="Yes",1,0))</f>
        <v/>
      </c>
      <c r="AJ1292">
        <f>IF($AF1292=1,IFERROR(IF(VALUE($B1292)&lt;100000000,VALUE($B1292),1000000000),IFERROR(IF(VALUE(MID($B1292,2,20))&lt;100000000,VALUE(MID($B1292,2,20)),1000000000),1000000000))+ROW()/100000,"")</f>
        <v/>
      </c>
    </row>
    <row r="1293">
      <c r="C1293" s="11" t="n"/>
      <c r="J1293" s="7">
        <f>IF($B1293="","",I1293*Q1293/100)</f>
        <v/>
      </c>
      <c r="P1293" s="7" t="n"/>
      <c r="Q1293" s="7" t="n"/>
      <c r="R1293" s="7">
        <f>IF($B1293="","",Q1293*W1293/100)</f>
        <v/>
      </c>
      <c r="S1293" s="7">
        <f>IF($B1293="","",Q1293-R1293)</f>
        <v/>
      </c>
      <c r="T1293" s="7">
        <f>IF($B1293="","",S1293-J1293)</f>
        <v/>
      </c>
      <c r="W1293">
        <f>IF($B1293="","",IF($AI1293=1,0,IF($AH1293=1,Settings!$C$6,Settings!$C$7))*100)</f>
        <v/>
      </c>
      <c r="AA1293" s="7" t="n"/>
      <c r="AD1293" s="11" t="n"/>
      <c r="AF1293">
        <f>IF($B1293="","",IF(COUNTIF($B$2:$B1293,$B1293)=1,1,0))</f>
        <v/>
      </c>
      <c r="AG1293">
        <f>IF($AF1293=1,SUMPRODUCT(--($AJ$2:$AJ$1501&lt;$AJ1293))+1,"")</f>
        <v/>
      </c>
      <c r="AH1293">
        <f>IF($B1293="","",IF(OR($M1293=TRUE(),$M1293="TRUE"),1,0))</f>
        <v/>
      </c>
      <c r="AI1293">
        <f>IF($B1293="","",IF($V1293="Yes",1,0))</f>
        <v/>
      </c>
      <c r="AJ1293">
        <f>IF($AF1293=1,IFERROR(IF(VALUE($B1293)&lt;100000000,VALUE($B1293),1000000000),IFERROR(IF(VALUE(MID($B1293,2,20))&lt;100000000,VALUE(MID($B1293,2,20)),1000000000),1000000000))+ROW()/100000,"")</f>
        <v/>
      </c>
    </row>
    <row r="1294">
      <c r="C1294" s="11" t="n"/>
      <c r="J1294" s="7">
        <f>IF($B1294="","",I1294*Q1294/100)</f>
        <v/>
      </c>
      <c r="P1294" s="7" t="n"/>
      <c r="Q1294" s="7" t="n"/>
      <c r="R1294" s="7">
        <f>IF($B1294="","",Q1294*W1294/100)</f>
        <v/>
      </c>
      <c r="S1294" s="7">
        <f>IF($B1294="","",Q1294-R1294)</f>
        <v/>
      </c>
      <c r="T1294" s="7">
        <f>IF($B1294="","",S1294-J1294)</f>
        <v/>
      </c>
      <c r="W1294">
        <f>IF($B1294="","",IF($AI1294=1,0,IF($AH1294=1,Settings!$C$6,Settings!$C$7))*100)</f>
        <v/>
      </c>
      <c r="AA1294" s="7" t="n"/>
      <c r="AD1294" s="11" t="n"/>
      <c r="AF1294">
        <f>IF($B1294="","",IF(COUNTIF($B$2:$B1294,$B1294)=1,1,0))</f>
        <v/>
      </c>
      <c r="AG1294">
        <f>IF($AF1294=1,SUMPRODUCT(--($AJ$2:$AJ$1501&lt;$AJ1294))+1,"")</f>
        <v/>
      </c>
      <c r="AH1294">
        <f>IF($B1294="","",IF(OR($M1294=TRUE(),$M1294="TRUE"),1,0))</f>
        <v/>
      </c>
      <c r="AI1294">
        <f>IF($B1294="","",IF($V1294="Yes",1,0))</f>
        <v/>
      </c>
      <c r="AJ1294">
        <f>IF($AF1294=1,IFERROR(IF(VALUE($B1294)&lt;100000000,VALUE($B1294),1000000000),IFERROR(IF(VALUE(MID($B1294,2,20))&lt;100000000,VALUE(MID($B1294,2,20)),1000000000),1000000000))+ROW()/100000,"")</f>
        <v/>
      </c>
    </row>
    <row r="1295">
      <c r="C1295" s="11" t="n"/>
      <c r="J1295" s="7">
        <f>IF($B1295="","",I1295*Q1295/100)</f>
        <v/>
      </c>
      <c r="P1295" s="7" t="n"/>
      <c r="Q1295" s="7" t="n"/>
      <c r="R1295" s="7">
        <f>IF($B1295="","",Q1295*W1295/100)</f>
        <v/>
      </c>
      <c r="S1295" s="7">
        <f>IF($B1295="","",Q1295-R1295)</f>
        <v/>
      </c>
      <c r="T1295" s="7">
        <f>IF($B1295="","",S1295-J1295)</f>
        <v/>
      </c>
      <c r="W1295">
        <f>IF($B1295="","",IF($AI1295=1,0,IF($AH1295=1,Settings!$C$6,Settings!$C$7))*100)</f>
        <v/>
      </c>
      <c r="AA1295" s="7" t="n"/>
      <c r="AD1295" s="11" t="n"/>
      <c r="AF1295">
        <f>IF($B1295="","",IF(COUNTIF($B$2:$B1295,$B1295)=1,1,0))</f>
        <v/>
      </c>
      <c r="AG1295">
        <f>IF($AF1295=1,SUMPRODUCT(--($AJ$2:$AJ$1501&lt;$AJ1295))+1,"")</f>
        <v/>
      </c>
      <c r="AH1295">
        <f>IF($B1295="","",IF(OR($M1295=TRUE(),$M1295="TRUE"),1,0))</f>
        <v/>
      </c>
      <c r="AI1295">
        <f>IF($B1295="","",IF($V1295="Yes",1,0))</f>
        <v/>
      </c>
      <c r="AJ1295">
        <f>IF($AF1295=1,IFERROR(IF(VALUE($B1295)&lt;100000000,VALUE($B1295),1000000000),IFERROR(IF(VALUE(MID($B1295,2,20))&lt;100000000,VALUE(MID($B1295,2,20)),1000000000),1000000000))+ROW()/100000,"")</f>
        <v/>
      </c>
    </row>
    <row r="1296">
      <c r="C1296" s="11" t="n"/>
      <c r="J1296" s="7">
        <f>IF($B1296="","",I1296*Q1296/100)</f>
        <v/>
      </c>
      <c r="P1296" s="7" t="n"/>
      <c r="Q1296" s="7" t="n"/>
      <c r="R1296" s="7">
        <f>IF($B1296="","",Q1296*W1296/100)</f>
        <v/>
      </c>
      <c r="S1296" s="7">
        <f>IF($B1296="","",Q1296-R1296)</f>
        <v/>
      </c>
      <c r="T1296" s="7">
        <f>IF($B1296="","",S1296-J1296)</f>
        <v/>
      </c>
      <c r="W1296">
        <f>IF($B1296="","",IF($AI1296=1,0,IF($AH1296=1,Settings!$C$6,Settings!$C$7))*100)</f>
        <v/>
      </c>
      <c r="AA1296" s="7" t="n"/>
      <c r="AD1296" s="11" t="n"/>
      <c r="AF1296">
        <f>IF($B1296="","",IF(COUNTIF($B$2:$B1296,$B1296)=1,1,0))</f>
        <v/>
      </c>
      <c r="AG1296">
        <f>IF($AF1296=1,SUMPRODUCT(--($AJ$2:$AJ$1501&lt;$AJ1296))+1,"")</f>
        <v/>
      </c>
      <c r="AH1296">
        <f>IF($B1296="","",IF(OR($M1296=TRUE(),$M1296="TRUE"),1,0))</f>
        <v/>
      </c>
      <c r="AI1296">
        <f>IF($B1296="","",IF($V1296="Yes",1,0))</f>
        <v/>
      </c>
      <c r="AJ1296">
        <f>IF($AF1296=1,IFERROR(IF(VALUE($B1296)&lt;100000000,VALUE($B1296),1000000000),IFERROR(IF(VALUE(MID($B1296,2,20))&lt;100000000,VALUE(MID($B1296,2,20)),1000000000),1000000000))+ROW()/100000,"")</f>
        <v/>
      </c>
    </row>
    <row r="1297">
      <c r="C1297" s="11" t="n"/>
      <c r="J1297" s="7">
        <f>IF($B1297="","",I1297*Q1297/100)</f>
        <v/>
      </c>
      <c r="P1297" s="7" t="n"/>
      <c r="Q1297" s="7" t="n"/>
      <c r="R1297" s="7">
        <f>IF($B1297="","",Q1297*W1297/100)</f>
        <v/>
      </c>
      <c r="S1297" s="7">
        <f>IF($B1297="","",Q1297-R1297)</f>
        <v/>
      </c>
      <c r="T1297" s="7">
        <f>IF($B1297="","",S1297-J1297)</f>
        <v/>
      </c>
      <c r="W1297">
        <f>IF($B1297="","",IF($AI1297=1,0,IF($AH1297=1,Settings!$C$6,Settings!$C$7))*100)</f>
        <v/>
      </c>
      <c r="AA1297" s="7" t="n"/>
      <c r="AD1297" s="11" t="n"/>
      <c r="AF1297">
        <f>IF($B1297="","",IF(COUNTIF($B$2:$B1297,$B1297)=1,1,0))</f>
        <v/>
      </c>
      <c r="AG1297">
        <f>IF($AF1297=1,SUMPRODUCT(--($AJ$2:$AJ$1501&lt;$AJ1297))+1,"")</f>
        <v/>
      </c>
      <c r="AH1297">
        <f>IF($B1297="","",IF(OR($M1297=TRUE(),$M1297="TRUE"),1,0))</f>
        <v/>
      </c>
      <c r="AI1297">
        <f>IF($B1297="","",IF($V1297="Yes",1,0))</f>
        <v/>
      </c>
      <c r="AJ1297">
        <f>IF($AF1297=1,IFERROR(IF(VALUE($B1297)&lt;100000000,VALUE($B1297),1000000000),IFERROR(IF(VALUE(MID($B1297,2,20))&lt;100000000,VALUE(MID($B1297,2,20)),1000000000),1000000000))+ROW()/100000,"")</f>
        <v/>
      </c>
    </row>
    <row r="1298">
      <c r="C1298" s="11" t="n"/>
      <c r="J1298" s="7">
        <f>IF($B1298="","",I1298*Q1298/100)</f>
        <v/>
      </c>
      <c r="P1298" s="7" t="n"/>
      <c r="Q1298" s="7" t="n"/>
      <c r="R1298" s="7">
        <f>IF($B1298="","",Q1298*W1298/100)</f>
        <v/>
      </c>
      <c r="S1298" s="7">
        <f>IF($B1298="","",Q1298-R1298)</f>
        <v/>
      </c>
      <c r="T1298" s="7">
        <f>IF($B1298="","",S1298-J1298)</f>
        <v/>
      </c>
      <c r="W1298">
        <f>IF($B1298="","",IF($AI1298=1,0,IF($AH1298=1,Settings!$C$6,Settings!$C$7))*100)</f>
        <v/>
      </c>
      <c r="AA1298" s="7" t="n"/>
      <c r="AD1298" s="11" t="n"/>
      <c r="AF1298">
        <f>IF($B1298="","",IF(COUNTIF($B$2:$B1298,$B1298)=1,1,0))</f>
        <v/>
      </c>
      <c r="AG1298">
        <f>IF($AF1298=1,SUMPRODUCT(--($AJ$2:$AJ$1501&lt;$AJ1298))+1,"")</f>
        <v/>
      </c>
      <c r="AH1298">
        <f>IF($B1298="","",IF(OR($M1298=TRUE(),$M1298="TRUE"),1,0))</f>
        <v/>
      </c>
      <c r="AI1298">
        <f>IF($B1298="","",IF($V1298="Yes",1,0))</f>
        <v/>
      </c>
      <c r="AJ1298">
        <f>IF($AF1298=1,IFERROR(IF(VALUE($B1298)&lt;100000000,VALUE($B1298),1000000000),IFERROR(IF(VALUE(MID($B1298,2,20))&lt;100000000,VALUE(MID($B1298,2,20)),1000000000),1000000000))+ROW()/100000,"")</f>
        <v/>
      </c>
    </row>
    <row r="1299">
      <c r="C1299" s="11" t="n"/>
      <c r="J1299" s="7">
        <f>IF($B1299="","",I1299*Q1299/100)</f>
        <v/>
      </c>
      <c r="P1299" s="7" t="n"/>
      <c r="Q1299" s="7" t="n"/>
      <c r="R1299" s="7">
        <f>IF($B1299="","",Q1299*W1299/100)</f>
        <v/>
      </c>
      <c r="S1299" s="7">
        <f>IF($B1299="","",Q1299-R1299)</f>
        <v/>
      </c>
      <c r="T1299" s="7">
        <f>IF($B1299="","",S1299-J1299)</f>
        <v/>
      </c>
      <c r="W1299">
        <f>IF($B1299="","",IF($AI1299=1,0,IF($AH1299=1,Settings!$C$6,Settings!$C$7))*100)</f>
        <v/>
      </c>
      <c r="AA1299" s="7" t="n"/>
      <c r="AD1299" s="11" t="n"/>
      <c r="AF1299">
        <f>IF($B1299="","",IF(COUNTIF($B$2:$B1299,$B1299)=1,1,0))</f>
        <v/>
      </c>
      <c r="AG1299">
        <f>IF($AF1299=1,SUMPRODUCT(--($AJ$2:$AJ$1501&lt;$AJ1299))+1,"")</f>
        <v/>
      </c>
      <c r="AH1299">
        <f>IF($B1299="","",IF(OR($M1299=TRUE(),$M1299="TRUE"),1,0))</f>
        <v/>
      </c>
      <c r="AI1299">
        <f>IF($B1299="","",IF($V1299="Yes",1,0))</f>
        <v/>
      </c>
      <c r="AJ1299">
        <f>IF($AF1299=1,IFERROR(IF(VALUE($B1299)&lt;100000000,VALUE($B1299),1000000000),IFERROR(IF(VALUE(MID($B1299,2,20))&lt;100000000,VALUE(MID($B1299,2,20)),1000000000),1000000000))+ROW()/100000,"")</f>
        <v/>
      </c>
    </row>
    <row r="1300">
      <c r="C1300" s="11" t="n"/>
      <c r="J1300" s="7">
        <f>IF($B1300="","",I1300*Q1300/100)</f>
        <v/>
      </c>
      <c r="P1300" s="7" t="n"/>
      <c r="Q1300" s="7" t="n"/>
      <c r="R1300" s="7">
        <f>IF($B1300="","",Q1300*W1300/100)</f>
        <v/>
      </c>
      <c r="S1300" s="7">
        <f>IF($B1300="","",Q1300-R1300)</f>
        <v/>
      </c>
      <c r="T1300" s="7">
        <f>IF($B1300="","",S1300-J1300)</f>
        <v/>
      </c>
      <c r="W1300">
        <f>IF($B1300="","",IF($AI1300=1,0,IF($AH1300=1,Settings!$C$6,Settings!$C$7))*100)</f>
        <v/>
      </c>
      <c r="AA1300" s="7" t="n"/>
      <c r="AD1300" s="11" t="n"/>
      <c r="AF1300">
        <f>IF($B1300="","",IF(COUNTIF($B$2:$B1300,$B1300)=1,1,0))</f>
        <v/>
      </c>
      <c r="AG1300">
        <f>IF($AF1300=1,SUMPRODUCT(--($AJ$2:$AJ$1501&lt;$AJ1300))+1,"")</f>
        <v/>
      </c>
      <c r="AH1300">
        <f>IF($B1300="","",IF(OR($M1300=TRUE(),$M1300="TRUE"),1,0))</f>
        <v/>
      </c>
      <c r="AI1300">
        <f>IF($B1300="","",IF($V1300="Yes",1,0))</f>
        <v/>
      </c>
      <c r="AJ1300">
        <f>IF($AF1300=1,IFERROR(IF(VALUE($B1300)&lt;100000000,VALUE($B1300),1000000000),IFERROR(IF(VALUE(MID($B1300,2,20))&lt;100000000,VALUE(MID($B1300,2,20)),1000000000),1000000000))+ROW()/100000,"")</f>
        <v/>
      </c>
    </row>
    <row r="1301">
      <c r="C1301" s="11" t="n"/>
      <c r="J1301" s="7">
        <f>IF($B1301="","",I1301*Q1301/100)</f>
        <v/>
      </c>
      <c r="P1301" s="7" t="n"/>
      <c r="Q1301" s="7" t="n"/>
      <c r="R1301" s="7">
        <f>IF($B1301="","",Q1301*W1301/100)</f>
        <v/>
      </c>
      <c r="S1301" s="7">
        <f>IF($B1301="","",Q1301-R1301)</f>
        <v/>
      </c>
      <c r="T1301" s="7">
        <f>IF($B1301="","",S1301-J1301)</f>
        <v/>
      </c>
      <c r="W1301">
        <f>IF($B1301="","",IF($AI1301=1,0,IF($AH1301=1,Settings!$C$6,Settings!$C$7))*100)</f>
        <v/>
      </c>
      <c r="AA1301" s="7" t="n"/>
      <c r="AD1301" s="11" t="n"/>
      <c r="AF1301">
        <f>IF($B1301="","",IF(COUNTIF($B$2:$B1301,$B1301)=1,1,0))</f>
        <v/>
      </c>
      <c r="AG1301">
        <f>IF($AF1301=1,SUMPRODUCT(--($AJ$2:$AJ$1501&lt;$AJ1301))+1,"")</f>
        <v/>
      </c>
      <c r="AH1301">
        <f>IF($B1301="","",IF(OR($M1301=TRUE(),$M1301="TRUE"),1,0))</f>
        <v/>
      </c>
      <c r="AI1301">
        <f>IF($B1301="","",IF($V1301="Yes",1,0))</f>
        <v/>
      </c>
      <c r="AJ1301">
        <f>IF($AF1301=1,IFERROR(IF(VALUE($B1301)&lt;100000000,VALUE($B1301),1000000000),IFERROR(IF(VALUE(MID($B1301,2,20))&lt;100000000,VALUE(MID($B1301,2,20)),1000000000),1000000000))+ROW()/100000,"")</f>
        <v/>
      </c>
    </row>
    <row r="1302">
      <c r="C1302" s="11" t="n"/>
      <c r="J1302" s="7">
        <f>IF($B1302="","",I1302*Q1302/100)</f>
        <v/>
      </c>
      <c r="P1302" s="7" t="n"/>
      <c r="Q1302" s="7" t="n"/>
      <c r="R1302" s="7">
        <f>IF($B1302="","",Q1302*W1302/100)</f>
        <v/>
      </c>
      <c r="S1302" s="7">
        <f>IF($B1302="","",Q1302-R1302)</f>
        <v/>
      </c>
      <c r="T1302" s="7">
        <f>IF($B1302="","",S1302-J1302)</f>
        <v/>
      </c>
      <c r="W1302">
        <f>IF($B1302="","",IF($AI1302=1,0,IF($AH1302=1,Settings!$C$6,Settings!$C$7))*100)</f>
        <v/>
      </c>
      <c r="AA1302" s="7" t="n"/>
      <c r="AD1302" s="11" t="n"/>
      <c r="AF1302">
        <f>IF($B1302="","",IF(COUNTIF($B$2:$B1302,$B1302)=1,1,0))</f>
        <v/>
      </c>
      <c r="AG1302">
        <f>IF($AF1302=1,SUMPRODUCT(--($AJ$2:$AJ$1501&lt;$AJ1302))+1,"")</f>
        <v/>
      </c>
      <c r="AH1302">
        <f>IF($B1302="","",IF(OR($M1302=TRUE(),$M1302="TRUE"),1,0))</f>
        <v/>
      </c>
      <c r="AI1302">
        <f>IF($B1302="","",IF($V1302="Yes",1,0))</f>
        <v/>
      </c>
      <c r="AJ1302">
        <f>IF($AF1302=1,IFERROR(IF(VALUE($B1302)&lt;100000000,VALUE($B1302),1000000000),IFERROR(IF(VALUE(MID($B1302,2,20))&lt;100000000,VALUE(MID($B1302,2,20)),1000000000),1000000000))+ROW()/100000,"")</f>
        <v/>
      </c>
    </row>
    <row r="1303">
      <c r="C1303" s="11" t="n"/>
      <c r="J1303" s="7">
        <f>IF($B1303="","",I1303*Q1303/100)</f>
        <v/>
      </c>
      <c r="P1303" s="7" t="n"/>
      <c r="Q1303" s="7" t="n"/>
      <c r="R1303" s="7">
        <f>IF($B1303="","",Q1303*W1303/100)</f>
        <v/>
      </c>
      <c r="S1303" s="7">
        <f>IF($B1303="","",Q1303-R1303)</f>
        <v/>
      </c>
      <c r="T1303" s="7">
        <f>IF($B1303="","",S1303-J1303)</f>
        <v/>
      </c>
      <c r="W1303">
        <f>IF($B1303="","",IF($AI1303=1,0,IF($AH1303=1,Settings!$C$6,Settings!$C$7))*100)</f>
        <v/>
      </c>
      <c r="AA1303" s="7" t="n"/>
      <c r="AD1303" s="11" t="n"/>
      <c r="AF1303">
        <f>IF($B1303="","",IF(COUNTIF($B$2:$B1303,$B1303)=1,1,0))</f>
        <v/>
      </c>
      <c r="AG1303">
        <f>IF($AF1303=1,SUMPRODUCT(--($AJ$2:$AJ$1501&lt;$AJ1303))+1,"")</f>
        <v/>
      </c>
      <c r="AH1303">
        <f>IF($B1303="","",IF(OR($M1303=TRUE(),$M1303="TRUE"),1,0))</f>
        <v/>
      </c>
      <c r="AI1303">
        <f>IF($B1303="","",IF($V1303="Yes",1,0))</f>
        <v/>
      </c>
      <c r="AJ1303">
        <f>IF($AF1303=1,IFERROR(IF(VALUE($B1303)&lt;100000000,VALUE($B1303),1000000000),IFERROR(IF(VALUE(MID($B1303,2,20))&lt;100000000,VALUE(MID($B1303,2,20)),1000000000),1000000000))+ROW()/100000,"")</f>
        <v/>
      </c>
    </row>
    <row r="1304">
      <c r="C1304" s="11" t="n"/>
      <c r="J1304" s="7">
        <f>IF($B1304="","",I1304*Q1304/100)</f>
        <v/>
      </c>
      <c r="P1304" s="7" t="n"/>
      <c r="Q1304" s="7" t="n"/>
      <c r="R1304" s="7">
        <f>IF($B1304="","",Q1304*W1304/100)</f>
        <v/>
      </c>
      <c r="S1304" s="7">
        <f>IF($B1304="","",Q1304-R1304)</f>
        <v/>
      </c>
      <c r="T1304" s="7">
        <f>IF($B1304="","",S1304-J1304)</f>
        <v/>
      </c>
      <c r="W1304">
        <f>IF($B1304="","",IF($AI1304=1,0,IF($AH1304=1,Settings!$C$6,Settings!$C$7))*100)</f>
        <v/>
      </c>
      <c r="AA1304" s="7" t="n"/>
      <c r="AD1304" s="11" t="n"/>
      <c r="AF1304">
        <f>IF($B1304="","",IF(COUNTIF($B$2:$B1304,$B1304)=1,1,0))</f>
        <v/>
      </c>
      <c r="AG1304">
        <f>IF($AF1304=1,SUMPRODUCT(--($AJ$2:$AJ$1501&lt;$AJ1304))+1,"")</f>
        <v/>
      </c>
      <c r="AH1304">
        <f>IF($B1304="","",IF(OR($M1304=TRUE(),$M1304="TRUE"),1,0))</f>
        <v/>
      </c>
      <c r="AI1304">
        <f>IF($B1304="","",IF($V1304="Yes",1,0))</f>
        <v/>
      </c>
      <c r="AJ1304">
        <f>IF($AF1304=1,IFERROR(IF(VALUE($B1304)&lt;100000000,VALUE($B1304),1000000000),IFERROR(IF(VALUE(MID($B1304,2,20))&lt;100000000,VALUE(MID($B1304,2,20)),1000000000),1000000000))+ROW()/100000,"")</f>
        <v/>
      </c>
    </row>
    <row r="1305">
      <c r="C1305" s="11" t="n"/>
      <c r="J1305" s="7">
        <f>IF($B1305="","",I1305*Q1305/100)</f>
        <v/>
      </c>
      <c r="P1305" s="7" t="n"/>
      <c r="Q1305" s="7" t="n"/>
      <c r="R1305" s="7">
        <f>IF($B1305="","",Q1305*W1305/100)</f>
        <v/>
      </c>
      <c r="S1305" s="7">
        <f>IF($B1305="","",Q1305-R1305)</f>
        <v/>
      </c>
      <c r="T1305" s="7">
        <f>IF($B1305="","",S1305-J1305)</f>
        <v/>
      </c>
      <c r="W1305">
        <f>IF($B1305="","",IF($AI1305=1,0,IF($AH1305=1,Settings!$C$6,Settings!$C$7))*100)</f>
        <v/>
      </c>
      <c r="AA1305" s="7" t="n"/>
      <c r="AD1305" s="11" t="n"/>
      <c r="AF1305">
        <f>IF($B1305="","",IF(COUNTIF($B$2:$B1305,$B1305)=1,1,0))</f>
        <v/>
      </c>
      <c r="AG1305">
        <f>IF($AF1305=1,SUMPRODUCT(--($AJ$2:$AJ$1501&lt;$AJ1305))+1,"")</f>
        <v/>
      </c>
      <c r="AH1305">
        <f>IF($B1305="","",IF(OR($M1305=TRUE(),$M1305="TRUE"),1,0))</f>
        <v/>
      </c>
      <c r="AI1305">
        <f>IF($B1305="","",IF($V1305="Yes",1,0))</f>
        <v/>
      </c>
      <c r="AJ1305">
        <f>IF($AF1305=1,IFERROR(IF(VALUE($B1305)&lt;100000000,VALUE($B1305),1000000000),IFERROR(IF(VALUE(MID($B1305,2,20))&lt;100000000,VALUE(MID($B1305,2,20)),1000000000),1000000000))+ROW()/100000,"")</f>
        <v/>
      </c>
    </row>
    <row r="1306">
      <c r="C1306" s="11" t="n"/>
      <c r="J1306" s="7">
        <f>IF($B1306="","",I1306*Q1306/100)</f>
        <v/>
      </c>
      <c r="P1306" s="7" t="n"/>
      <c r="Q1306" s="7" t="n"/>
      <c r="R1306" s="7">
        <f>IF($B1306="","",Q1306*W1306/100)</f>
        <v/>
      </c>
      <c r="S1306" s="7">
        <f>IF($B1306="","",Q1306-R1306)</f>
        <v/>
      </c>
      <c r="T1306" s="7">
        <f>IF($B1306="","",S1306-J1306)</f>
        <v/>
      </c>
      <c r="W1306">
        <f>IF($B1306="","",IF($AI1306=1,0,IF($AH1306=1,Settings!$C$6,Settings!$C$7))*100)</f>
        <v/>
      </c>
      <c r="AA1306" s="7" t="n"/>
      <c r="AD1306" s="11" t="n"/>
      <c r="AF1306">
        <f>IF($B1306="","",IF(COUNTIF($B$2:$B1306,$B1306)=1,1,0))</f>
        <v/>
      </c>
      <c r="AG1306">
        <f>IF($AF1306=1,SUMPRODUCT(--($AJ$2:$AJ$1501&lt;$AJ1306))+1,"")</f>
        <v/>
      </c>
      <c r="AH1306">
        <f>IF($B1306="","",IF(OR($M1306=TRUE(),$M1306="TRUE"),1,0))</f>
        <v/>
      </c>
      <c r="AI1306">
        <f>IF($B1306="","",IF($V1306="Yes",1,0))</f>
        <v/>
      </c>
      <c r="AJ1306">
        <f>IF($AF1306=1,IFERROR(IF(VALUE($B1306)&lt;100000000,VALUE($B1306),1000000000),IFERROR(IF(VALUE(MID($B1306,2,20))&lt;100000000,VALUE(MID($B1306,2,20)),1000000000),1000000000))+ROW()/100000,"")</f>
        <v/>
      </c>
    </row>
    <row r="1307">
      <c r="C1307" s="11" t="n"/>
      <c r="J1307" s="7">
        <f>IF($B1307="","",I1307*Q1307/100)</f>
        <v/>
      </c>
      <c r="P1307" s="7" t="n"/>
      <c r="Q1307" s="7" t="n"/>
      <c r="R1307" s="7">
        <f>IF($B1307="","",Q1307*W1307/100)</f>
        <v/>
      </c>
      <c r="S1307" s="7">
        <f>IF($B1307="","",Q1307-R1307)</f>
        <v/>
      </c>
      <c r="T1307" s="7">
        <f>IF($B1307="","",S1307-J1307)</f>
        <v/>
      </c>
      <c r="W1307">
        <f>IF($B1307="","",IF($AI1307=1,0,IF($AH1307=1,Settings!$C$6,Settings!$C$7))*100)</f>
        <v/>
      </c>
      <c r="AA1307" s="7" t="n"/>
      <c r="AD1307" s="11" t="n"/>
      <c r="AF1307">
        <f>IF($B1307="","",IF(COUNTIF($B$2:$B1307,$B1307)=1,1,0))</f>
        <v/>
      </c>
      <c r="AG1307">
        <f>IF($AF1307=1,SUMPRODUCT(--($AJ$2:$AJ$1501&lt;$AJ1307))+1,"")</f>
        <v/>
      </c>
      <c r="AH1307">
        <f>IF($B1307="","",IF(OR($M1307=TRUE(),$M1307="TRUE"),1,0))</f>
        <v/>
      </c>
      <c r="AI1307">
        <f>IF($B1307="","",IF($V1307="Yes",1,0))</f>
        <v/>
      </c>
      <c r="AJ1307">
        <f>IF($AF1307=1,IFERROR(IF(VALUE($B1307)&lt;100000000,VALUE($B1307),1000000000),IFERROR(IF(VALUE(MID($B1307,2,20))&lt;100000000,VALUE(MID($B1307,2,20)),1000000000),1000000000))+ROW()/100000,"")</f>
        <v/>
      </c>
    </row>
    <row r="1308">
      <c r="C1308" s="11" t="n"/>
      <c r="J1308" s="7">
        <f>IF($B1308="","",I1308*Q1308/100)</f>
        <v/>
      </c>
      <c r="P1308" s="7" t="n"/>
      <c r="Q1308" s="7" t="n"/>
      <c r="R1308" s="7">
        <f>IF($B1308="","",Q1308*W1308/100)</f>
        <v/>
      </c>
      <c r="S1308" s="7">
        <f>IF($B1308="","",Q1308-R1308)</f>
        <v/>
      </c>
      <c r="T1308" s="7">
        <f>IF($B1308="","",S1308-J1308)</f>
        <v/>
      </c>
      <c r="W1308">
        <f>IF($B1308="","",IF($AI1308=1,0,IF($AH1308=1,Settings!$C$6,Settings!$C$7))*100)</f>
        <v/>
      </c>
      <c r="AA1308" s="7" t="n"/>
      <c r="AD1308" s="11" t="n"/>
      <c r="AF1308">
        <f>IF($B1308="","",IF(COUNTIF($B$2:$B1308,$B1308)=1,1,0))</f>
        <v/>
      </c>
      <c r="AG1308">
        <f>IF($AF1308=1,SUMPRODUCT(--($AJ$2:$AJ$1501&lt;$AJ1308))+1,"")</f>
        <v/>
      </c>
      <c r="AH1308">
        <f>IF($B1308="","",IF(OR($M1308=TRUE(),$M1308="TRUE"),1,0))</f>
        <v/>
      </c>
      <c r="AI1308">
        <f>IF($B1308="","",IF($V1308="Yes",1,0))</f>
        <v/>
      </c>
      <c r="AJ1308">
        <f>IF($AF1308=1,IFERROR(IF(VALUE($B1308)&lt;100000000,VALUE($B1308),1000000000),IFERROR(IF(VALUE(MID($B1308,2,20))&lt;100000000,VALUE(MID($B1308,2,20)),1000000000),1000000000))+ROW()/100000,"")</f>
        <v/>
      </c>
    </row>
    <row r="1309">
      <c r="C1309" s="11" t="n"/>
      <c r="J1309" s="7">
        <f>IF($B1309="","",I1309*Q1309/100)</f>
        <v/>
      </c>
      <c r="P1309" s="7" t="n"/>
      <c r="Q1309" s="7" t="n"/>
      <c r="R1309" s="7">
        <f>IF($B1309="","",Q1309*W1309/100)</f>
        <v/>
      </c>
      <c r="S1309" s="7">
        <f>IF($B1309="","",Q1309-R1309)</f>
        <v/>
      </c>
      <c r="T1309" s="7">
        <f>IF($B1309="","",S1309-J1309)</f>
        <v/>
      </c>
      <c r="W1309">
        <f>IF($B1309="","",IF($AI1309=1,0,IF($AH1309=1,Settings!$C$6,Settings!$C$7))*100)</f>
        <v/>
      </c>
      <c r="AA1309" s="7" t="n"/>
      <c r="AD1309" s="11" t="n"/>
      <c r="AF1309">
        <f>IF($B1309="","",IF(COUNTIF($B$2:$B1309,$B1309)=1,1,0))</f>
        <v/>
      </c>
      <c r="AG1309">
        <f>IF($AF1309=1,SUMPRODUCT(--($AJ$2:$AJ$1501&lt;$AJ1309))+1,"")</f>
        <v/>
      </c>
      <c r="AH1309">
        <f>IF($B1309="","",IF(OR($M1309=TRUE(),$M1309="TRUE"),1,0))</f>
        <v/>
      </c>
      <c r="AI1309">
        <f>IF($B1309="","",IF($V1309="Yes",1,0))</f>
        <v/>
      </c>
      <c r="AJ1309">
        <f>IF($AF1309=1,IFERROR(IF(VALUE($B1309)&lt;100000000,VALUE($B1309),1000000000),IFERROR(IF(VALUE(MID($B1309,2,20))&lt;100000000,VALUE(MID($B1309,2,20)),1000000000),1000000000))+ROW()/100000,"")</f>
        <v/>
      </c>
    </row>
    <row r="1310">
      <c r="C1310" s="11" t="n"/>
      <c r="J1310" s="7">
        <f>IF($B1310="","",I1310*Q1310/100)</f>
        <v/>
      </c>
      <c r="P1310" s="7" t="n"/>
      <c r="Q1310" s="7" t="n"/>
      <c r="R1310" s="7">
        <f>IF($B1310="","",Q1310*W1310/100)</f>
        <v/>
      </c>
      <c r="S1310" s="7">
        <f>IF($B1310="","",Q1310-R1310)</f>
        <v/>
      </c>
      <c r="T1310" s="7">
        <f>IF($B1310="","",S1310-J1310)</f>
        <v/>
      </c>
      <c r="W1310">
        <f>IF($B1310="","",IF($AI1310=1,0,IF($AH1310=1,Settings!$C$6,Settings!$C$7))*100)</f>
        <v/>
      </c>
      <c r="AA1310" s="7" t="n"/>
      <c r="AD1310" s="11" t="n"/>
      <c r="AF1310">
        <f>IF($B1310="","",IF(COUNTIF($B$2:$B1310,$B1310)=1,1,0))</f>
        <v/>
      </c>
      <c r="AG1310">
        <f>IF($AF1310=1,SUMPRODUCT(--($AJ$2:$AJ$1501&lt;$AJ1310))+1,"")</f>
        <v/>
      </c>
      <c r="AH1310">
        <f>IF($B1310="","",IF(OR($M1310=TRUE(),$M1310="TRUE"),1,0))</f>
        <v/>
      </c>
      <c r="AI1310">
        <f>IF($B1310="","",IF($V1310="Yes",1,0))</f>
        <v/>
      </c>
      <c r="AJ1310">
        <f>IF($AF1310=1,IFERROR(IF(VALUE($B1310)&lt;100000000,VALUE($B1310),1000000000),IFERROR(IF(VALUE(MID($B1310,2,20))&lt;100000000,VALUE(MID($B1310,2,20)),1000000000),1000000000))+ROW()/100000,"")</f>
        <v/>
      </c>
    </row>
    <row r="1311">
      <c r="C1311" s="11" t="n"/>
      <c r="J1311" s="7">
        <f>IF($B1311="","",I1311*Q1311/100)</f>
        <v/>
      </c>
      <c r="P1311" s="7" t="n"/>
      <c r="Q1311" s="7" t="n"/>
      <c r="R1311" s="7">
        <f>IF($B1311="","",Q1311*W1311/100)</f>
        <v/>
      </c>
      <c r="S1311" s="7">
        <f>IF($B1311="","",Q1311-R1311)</f>
        <v/>
      </c>
      <c r="T1311" s="7">
        <f>IF($B1311="","",S1311-J1311)</f>
        <v/>
      </c>
      <c r="W1311">
        <f>IF($B1311="","",IF($AI1311=1,0,IF($AH1311=1,Settings!$C$6,Settings!$C$7))*100)</f>
        <v/>
      </c>
      <c r="AA1311" s="7" t="n"/>
      <c r="AD1311" s="11" t="n"/>
      <c r="AF1311">
        <f>IF($B1311="","",IF(COUNTIF($B$2:$B1311,$B1311)=1,1,0))</f>
        <v/>
      </c>
      <c r="AG1311">
        <f>IF($AF1311=1,SUMPRODUCT(--($AJ$2:$AJ$1501&lt;$AJ1311))+1,"")</f>
        <v/>
      </c>
      <c r="AH1311">
        <f>IF($B1311="","",IF(OR($M1311=TRUE(),$M1311="TRUE"),1,0))</f>
        <v/>
      </c>
      <c r="AI1311">
        <f>IF($B1311="","",IF($V1311="Yes",1,0))</f>
        <v/>
      </c>
      <c r="AJ1311">
        <f>IF($AF1311=1,IFERROR(IF(VALUE($B1311)&lt;100000000,VALUE($B1311),1000000000),IFERROR(IF(VALUE(MID($B1311,2,20))&lt;100000000,VALUE(MID($B1311,2,20)),1000000000),1000000000))+ROW()/100000,"")</f>
        <v/>
      </c>
    </row>
    <row r="1312">
      <c r="C1312" s="11" t="n"/>
      <c r="J1312" s="7">
        <f>IF($B1312="","",I1312*Q1312/100)</f>
        <v/>
      </c>
      <c r="P1312" s="7" t="n"/>
      <c r="Q1312" s="7" t="n"/>
      <c r="R1312" s="7">
        <f>IF($B1312="","",Q1312*W1312/100)</f>
        <v/>
      </c>
      <c r="S1312" s="7">
        <f>IF($B1312="","",Q1312-R1312)</f>
        <v/>
      </c>
      <c r="T1312" s="7">
        <f>IF($B1312="","",S1312-J1312)</f>
        <v/>
      </c>
      <c r="W1312">
        <f>IF($B1312="","",IF($AI1312=1,0,IF($AH1312=1,Settings!$C$6,Settings!$C$7))*100)</f>
        <v/>
      </c>
      <c r="AA1312" s="7" t="n"/>
      <c r="AD1312" s="11" t="n"/>
      <c r="AF1312">
        <f>IF($B1312="","",IF(COUNTIF($B$2:$B1312,$B1312)=1,1,0))</f>
        <v/>
      </c>
      <c r="AG1312">
        <f>IF($AF1312=1,SUMPRODUCT(--($AJ$2:$AJ$1501&lt;$AJ1312))+1,"")</f>
        <v/>
      </c>
      <c r="AH1312">
        <f>IF($B1312="","",IF(OR($M1312=TRUE(),$M1312="TRUE"),1,0))</f>
        <v/>
      </c>
      <c r="AI1312">
        <f>IF($B1312="","",IF($V1312="Yes",1,0))</f>
        <v/>
      </c>
      <c r="AJ1312">
        <f>IF($AF1312=1,IFERROR(IF(VALUE($B1312)&lt;100000000,VALUE($B1312),1000000000),IFERROR(IF(VALUE(MID($B1312,2,20))&lt;100000000,VALUE(MID($B1312,2,20)),1000000000),1000000000))+ROW()/100000,"")</f>
        <v/>
      </c>
    </row>
    <row r="1313">
      <c r="C1313" s="11" t="n"/>
      <c r="J1313" s="7">
        <f>IF($B1313="","",I1313*Q1313/100)</f>
        <v/>
      </c>
      <c r="P1313" s="7" t="n"/>
      <c r="Q1313" s="7" t="n"/>
      <c r="R1313" s="7">
        <f>IF($B1313="","",Q1313*W1313/100)</f>
        <v/>
      </c>
      <c r="S1313" s="7">
        <f>IF($B1313="","",Q1313-R1313)</f>
        <v/>
      </c>
      <c r="T1313" s="7">
        <f>IF($B1313="","",S1313-J1313)</f>
        <v/>
      </c>
      <c r="W1313">
        <f>IF($B1313="","",IF($AI1313=1,0,IF($AH1313=1,Settings!$C$6,Settings!$C$7))*100)</f>
        <v/>
      </c>
      <c r="AA1313" s="7" t="n"/>
      <c r="AD1313" s="11" t="n"/>
      <c r="AF1313">
        <f>IF($B1313="","",IF(COUNTIF($B$2:$B1313,$B1313)=1,1,0))</f>
        <v/>
      </c>
      <c r="AG1313">
        <f>IF($AF1313=1,SUMPRODUCT(--($AJ$2:$AJ$1501&lt;$AJ1313))+1,"")</f>
        <v/>
      </c>
      <c r="AH1313">
        <f>IF($B1313="","",IF(OR($M1313=TRUE(),$M1313="TRUE"),1,0))</f>
        <v/>
      </c>
      <c r="AI1313">
        <f>IF($B1313="","",IF($V1313="Yes",1,0))</f>
        <v/>
      </c>
      <c r="AJ1313">
        <f>IF($AF1313=1,IFERROR(IF(VALUE($B1313)&lt;100000000,VALUE($B1313),1000000000),IFERROR(IF(VALUE(MID($B1313,2,20))&lt;100000000,VALUE(MID($B1313,2,20)),1000000000),1000000000))+ROW()/100000,"")</f>
        <v/>
      </c>
    </row>
    <row r="1314">
      <c r="C1314" s="11" t="n"/>
      <c r="J1314" s="7">
        <f>IF($B1314="","",I1314*Q1314/100)</f>
        <v/>
      </c>
      <c r="P1314" s="7" t="n"/>
      <c r="Q1314" s="7" t="n"/>
      <c r="R1314" s="7">
        <f>IF($B1314="","",Q1314*W1314/100)</f>
        <v/>
      </c>
      <c r="S1314" s="7">
        <f>IF($B1314="","",Q1314-R1314)</f>
        <v/>
      </c>
      <c r="T1314" s="7">
        <f>IF($B1314="","",S1314-J1314)</f>
        <v/>
      </c>
      <c r="W1314">
        <f>IF($B1314="","",IF($AI1314=1,0,IF($AH1314=1,Settings!$C$6,Settings!$C$7))*100)</f>
        <v/>
      </c>
      <c r="AA1314" s="7" t="n"/>
      <c r="AD1314" s="11" t="n"/>
      <c r="AF1314">
        <f>IF($B1314="","",IF(COUNTIF($B$2:$B1314,$B1314)=1,1,0))</f>
        <v/>
      </c>
      <c r="AG1314">
        <f>IF($AF1314=1,SUMPRODUCT(--($AJ$2:$AJ$1501&lt;$AJ1314))+1,"")</f>
        <v/>
      </c>
      <c r="AH1314">
        <f>IF($B1314="","",IF(OR($M1314=TRUE(),$M1314="TRUE"),1,0))</f>
        <v/>
      </c>
      <c r="AI1314">
        <f>IF($B1314="","",IF($V1314="Yes",1,0))</f>
        <v/>
      </c>
      <c r="AJ1314">
        <f>IF($AF1314=1,IFERROR(IF(VALUE($B1314)&lt;100000000,VALUE($B1314),1000000000),IFERROR(IF(VALUE(MID($B1314,2,20))&lt;100000000,VALUE(MID($B1314,2,20)),1000000000),1000000000))+ROW()/100000,"")</f>
        <v/>
      </c>
    </row>
    <row r="1315">
      <c r="C1315" s="11" t="n"/>
      <c r="J1315" s="7">
        <f>IF($B1315="","",I1315*Q1315/100)</f>
        <v/>
      </c>
      <c r="P1315" s="7" t="n"/>
      <c r="Q1315" s="7" t="n"/>
      <c r="R1315" s="7">
        <f>IF($B1315="","",Q1315*W1315/100)</f>
        <v/>
      </c>
      <c r="S1315" s="7">
        <f>IF($B1315="","",Q1315-R1315)</f>
        <v/>
      </c>
      <c r="T1315" s="7">
        <f>IF($B1315="","",S1315-J1315)</f>
        <v/>
      </c>
      <c r="W1315">
        <f>IF($B1315="","",IF($AI1315=1,0,IF($AH1315=1,Settings!$C$6,Settings!$C$7))*100)</f>
        <v/>
      </c>
      <c r="AA1315" s="7" t="n"/>
      <c r="AD1315" s="11" t="n"/>
      <c r="AF1315">
        <f>IF($B1315="","",IF(COUNTIF($B$2:$B1315,$B1315)=1,1,0))</f>
        <v/>
      </c>
      <c r="AG1315">
        <f>IF($AF1315=1,SUMPRODUCT(--($AJ$2:$AJ$1501&lt;$AJ1315))+1,"")</f>
        <v/>
      </c>
      <c r="AH1315">
        <f>IF($B1315="","",IF(OR($M1315=TRUE(),$M1315="TRUE"),1,0))</f>
        <v/>
      </c>
      <c r="AI1315">
        <f>IF($B1315="","",IF($V1315="Yes",1,0))</f>
        <v/>
      </c>
      <c r="AJ1315">
        <f>IF($AF1315=1,IFERROR(IF(VALUE($B1315)&lt;100000000,VALUE($B1315),1000000000),IFERROR(IF(VALUE(MID($B1315,2,20))&lt;100000000,VALUE(MID($B1315,2,20)),1000000000),1000000000))+ROW()/100000,"")</f>
        <v/>
      </c>
    </row>
    <row r="1316">
      <c r="C1316" s="11" t="n"/>
      <c r="J1316" s="7">
        <f>IF($B1316="","",I1316*Q1316/100)</f>
        <v/>
      </c>
      <c r="P1316" s="7" t="n"/>
      <c r="Q1316" s="7" t="n"/>
      <c r="R1316" s="7">
        <f>IF($B1316="","",Q1316*W1316/100)</f>
        <v/>
      </c>
      <c r="S1316" s="7">
        <f>IF($B1316="","",Q1316-R1316)</f>
        <v/>
      </c>
      <c r="T1316" s="7">
        <f>IF($B1316="","",S1316-J1316)</f>
        <v/>
      </c>
      <c r="W1316">
        <f>IF($B1316="","",IF($AI1316=1,0,IF($AH1316=1,Settings!$C$6,Settings!$C$7))*100)</f>
        <v/>
      </c>
      <c r="AA1316" s="7" t="n"/>
      <c r="AD1316" s="11" t="n"/>
      <c r="AF1316">
        <f>IF($B1316="","",IF(COUNTIF($B$2:$B1316,$B1316)=1,1,0))</f>
        <v/>
      </c>
      <c r="AG1316">
        <f>IF($AF1316=1,SUMPRODUCT(--($AJ$2:$AJ$1501&lt;$AJ1316))+1,"")</f>
        <v/>
      </c>
      <c r="AH1316">
        <f>IF($B1316="","",IF(OR($M1316=TRUE(),$M1316="TRUE"),1,0))</f>
        <v/>
      </c>
      <c r="AI1316">
        <f>IF($B1316="","",IF($V1316="Yes",1,0))</f>
        <v/>
      </c>
      <c r="AJ1316">
        <f>IF($AF1316=1,IFERROR(IF(VALUE($B1316)&lt;100000000,VALUE($B1316),1000000000),IFERROR(IF(VALUE(MID($B1316,2,20))&lt;100000000,VALUE(MID($B1316,2,20)),1000000000),1000000000))+ROW()/100000,"")</f>
        <v/>
      </c>
    </row>
    <row r="1317">
      <c r="C1317" s="11" t="n"/>
      <c r="J1317" s="7">
        <f>IF($B1317="","",I1317*Q1317/100)</f>
        <v/>
      </c>
      <c r="P1317" s="7" t="n"/>
      <c r="Q1317" s="7" t="n"/>
      <c r="R1317" s="7">
        <f>IF($B1317="","",Q1317*W1317/100)</f>
        <v/>
      </c>
      <c r="S1317" s="7">
        <f>IF($B1317="","",Q1317-R1317)</f>
        <v/>
      </c>
      <c r="T1317" s="7">
        <f>IF($B1317="","",S1317-J1317)</f>
        <v/>
      </c>
      <c r="W1317">
        <f>IF($B1317="","",IF($AI1317=1,0,IF($AH1317=1,Settings!$C$6,Settings!$C$7))*100)</f>
        <v/>
      </c>
      <c r="AA1317" s="7" t="n"/>
      <c r="AD1317" s="11" t="n"/>
      <c r="AF1317">
        <f>IF($B1317="","",IF(COUNTIF($B$2:$B1317,$B1317)=1,1,0))</f>
        <v/>
      </c>
      <c r="AG1317">
        <f>IF($AF1317=1,SUMPRODUCT(--($AJ$2:$AJ$1501&lt;$AJ1317))+1,"")</f>
        <v/>
      </c>
      <c r="AH1317">
        <f>IF($B1317="","",IF(OR($M1317=TRUE(),$M1317="TRUE"),1,0))</f>
        <v/>
      </c>
      <c r="AI1317">
        <f>IF($B1317="","",IF($V1317="Yes",1,0))</f>
        <v/>
      </c>
      <c r="AJ1317">
        <f>IF($AF1317=1,IFERROR(IF(VALUE($B1317)&lt;100000000,VALUE($B1317),1000000000),IFERROR(IF(VALUE(MID($B1317,2,20))&lt;100000000,VALUE(MID($B1317,2,20)),1000000000),1000000000))+ROW()/100000,"")</f>
        <v/>
      </c>
    </row>
    <row r="1318">
      <c r="C1318" s="11" t="n"/>
      <c r="J1318" s="7">
        <f>IF($B1318="","",I1318*Q1318/100)</f>
        <v/>
      </c>
      <c r="P1318" s="7" t="n"/>
      <c r="Q1318" s="7" t="n"/>
      <c r="R1318" s="7">
        <f>IF($B1318="","",Q1318*W1318/100)</f>
        <v/>
      </c>
      <c r="S1318" s="7">
        <f>IF($B1318="","",Q1318-R1318)</f>
        <v/>
      </c>
      <c r="T1318" s="7">
        <f>IF($B1318="","",S1318-J1318)</f>
        <v/>
      </c>
      <c r="W1318">
        <f>IF($B1318="","",IF($AI1318=1,0,IF($AH1318=1,Settings!$C$6,Settings!$C$7))*100)</f>
        <v/>
      </c>
      <c r="AA1318" s="7" t="n"/>
      <c r="AD1318" s="11" t="n"/>
      <c r="AF1318">
        <f>IF($B1318="","",IF(COUNTIF($B$2:$B1318,$B1318)=1,1,0))</f>
        <v/>
      </c>
      <c r="AG1318">
        <f>IF($AF1318=1,SUMPRODUCT(--($AJ$2:$AJ$1501&lt;$AJ1318))+1,"")</f>
        <v/>
      </c>
      <c r="AH1318">
        <f>IF($B1318="","",IF(OR($M1318=TRUE(),$M1318="TRUE"),1,0))</f>
        <v/>
      </c>
      <c r="AI1318">
        <f>IF($B1318="","",IF($V1318="Yes",1,0))</f>
        <v/>
      </c>
      <c r="AJ1318">
        <f>IF($AF1318=1,IFERROR(IF(VALUE($B1318)&lt;100000000,VALUE($B1318),1000000000),IFERROR(IF(VALUE(MID($B1318,2,20))&lt;100000000,VALUE(MID($B1318,2,20)),1000000000),1000000000))+ROW()/100000,"")</f>
        <v/>
      </c>
    </row>
    <row r="1319">
      <c r="C1319" s="11" t="n"/>
      <c r="J1319" s="7">
        <f>IF($B1319="","",I1319*Q1319/100)</f>
        <v/>
      </c>
      <c r="P1319" s="7" t="n"/>
      <c r="Q1319" s="7" t="n"/>
      <c r="R1319" s="7">
        <f>IF($B1319="","",Q1319*W1319/100)</f>
        <v/>
      </c>
      <c r="S1319" s="7">
        <f>IF($B1319="","",Q1319-R1319)</f>
        <v/>
      </c>
      <c r="T1319" s="7">
        <f>IF($B1319="","",S1319-J1319)</f>
        <v/>
      </c>
      <c r="W1319">
        <f>IF($B1319="","",IF($AI1319=1,0,IF($AH1319=1,Settings!$C$6,Settings!$C$7))*100)</f>
        <v/>
      </c>
      <c r="AA1319" s="7" t="n"/>
      <c r="AD1319" s="11" t="n"/>
      <c r="AF1319">
        <f>IF($B1319="","",IF(COUNTIF($B$2:$B1319,$B1319)=1,1,0))</f>
        <v/>
      </c>
      <c r="AG1319">
        <f>IF($AF1319=1,SUMPRODUCT(--($AJ$2:$AJ$1501&lt;$AJ1319))+1,"")</f>
        <v/>
      </c>
      <c r="AH1319">
        <f>IF($B1319="","",IF(OR($M1319=TRUE(),$M1319="TRUE"),1,0))</f>
        <v/>
      </c>
      <c r="AI1319">
        <f>IF($B1319="","",IF($V1319="Yes",1,0))</f>
        <v/>
      </c>
      <c r="AJ1319">
        <f>IF($AF1319=1,IFERROR(IF(VALUE($B1319)&lt;100000000,VALUE($B1319),1000000000),IFERROR(IF(VALUE(MID($B1319,2,20))&lt;100000000,VALUE(MID($B1319,2,20)),1000000000),1000000000))+ROW()/100000,"")</f>
        <v/>
      </c>
    </row>
    <row r="1320">
      <c r="C1320" s="11" t="n"/>
      <c r="J1320" s="7">
        <f>IF($B1320="","",I1320*Q1320/100)</f>
        <v/>
      </c>
      <c r="P1320" s="7" t="n"/>
      <c r="Q1320" s="7" t="n"/>
      <c r="R1320" s="7">
        <f>IF($B1320="","",Q1320*W1320/100)</f>
        <v/>
      </c>
      <c r="S1320" s="7">
        <f>IF($B1320="","",Q1320-R1320)</f>
        <v/>
      </c>
      <c r="T1320" s="7">
        <f>IF($B1320="","",S1320-J1320)</f>
        <v/>
      </c>
      <c r="W1320">
        <f>IF($B1320="","",IF($AI1320=1,0,IF($AH1320=1,Settings!$C$6,Settings!$C$7))*100)</f>
        <v/>
      </c>
      <c r="AA1320" s="7" t="n"/>
      <c r="AD1320" s="11" t="n"/>
      <c r="AF1320">
        <f>IF($B1320="","",IF(COUNTIF($B$2:$B1320,$B1320)=1,1,0))</f>
        <v/>
      </c>
      <c r="AG1320">
        <f>IF($AF1320=1,SUMPRODUCT(--($AJ$2:$AJ$1501&lt;$AJ1320))+1,"")</f>
        <v/>
      </c>
      <c r="AH1320">
        <f>IF($B1320="","",IF(OR($M1320=TRUE(),$M1320="TRUE"),1,0))</f>
        <v/>
      </c>
      <c r="AI1320">
        <f>IF($B1320="","",IF($V1320="Yes",1,0))</f>
        <v/>
      </c>
      <c r="AJ1320">
        <f>IF($AF1320=1,IFERROR(IF(VALUE($B1320)&lt;100000000,VALUE($B1320),1000000000),IFERROR(IF(VALUE(MID($B1320,2,20))&lt;100000000,VALUE(MID($B1320,2,20)),1000000000),1000000000))+ROW()/100000,"")</f>
        <v/>
      </c>
    </row>
    <row r="1321">
      <c r="C1321" s="11" t="n"/>
      <c r="J1321" s="7">
        <f>IF($B1321="","",I1321*Q1321/100)</f>
        <v/>
      </c>
      <c r="P1321" s="7" t="n"/>
      <c r="Q1321" s="7" t="n"/>
      <c r="R1321" s="7">
        <f>IF($B1321="","",Q1321*W1321/100)</f>
        <v/>
      </c>
      <c r="S1321" s="7">
        <f>IF($B1321="","",Q1321-R1321)</f>
        <v/>
      </c>
      <c r="T1321" s="7">
        <f>IF($B1321="","",S1321-J1321)</f>
        <v/>
      </c>
      <c r="W1321">
        <f>IF($B1321="","",IF($AI1321=1,0,IF($AH1321=1,Settings!$C$6,Settings!$C$7))*100)</f>
        <v/>
      </c>
      <c r="AA1321" s="7" t="n"/>
      <c r="AD1321" s="11" t="n"/>
      <c r="AF1321">
        <f>IF($B1321="","",IF(COUNTIF($B$2:$B1321,$B1321)=1,1,0))</f>
        <v/>
      </c>
      <c r="AG1321">
        <f>IF($AF1321=1,SUMPRODUCT(--($AJ$2:$AJ$1501&lt;$AJ1321))+1,"")</f>
        <v/>
      </c>
      <c r="AH1321">
        <f>IF($B1321="","",IF(OR($M1321=TRUE(),$M1321="TRUE"),1,0))</f>
        <v/>
      </c>
      <c r="AI1321">
        <f>IF($B1321="","",IF($V1321="Yes",1,0))</f>
        <v/>
      </c>
      <c r="AJ1321">
        <f>IF($AF1321=1,IFERROR(IF(VALUE($B1321)&lt;100000000,VALUE($B1321),1000000000),IFERROR(IF(VALUE(MID($B1321,2,20))&lt;100000000,VALUE(MID($B1321,2,20)),1000000000),1000000000))+ROW()/100000,"")</f>
        <v/>
      </c>
    </row>
    <row r="1322">
      <c r="C1322" s="11" t="n"/>
      <c r="J1322" s="7">
        <f>IF($B1322="","",I1322*Q1322/100)</f>
        <v/>
      </c>
      <c r="P1322" s="7" t="n"/>
      <c r="Q1322" s="7" t="n"/>
      <c r="R1322" s="7">
        <f>IF($B1322="","",Q1322*W1322/100)</f>
        <v/>
      </c>
      <c r="S1322" s="7">
        <f>IF($B1322="","",Q1322-R1322)</f>
        <v/>
      </c>
      <c r="T1322" s="7">
        <f>IF($B1322="","",S1322-J1322)</f>
        <v/>
      </c>
      <c r="W1322">
        <f>IF($B1322="","",IF($AI1322=1,0,IF($AH1322=1,Settings!$C$6,Settings!$C$7))*100)</f>
        <v/>
      </c>
      <c r="AA1322" s="7" t="n"/>
      <c r="AD1322" s="11" t="n"/>
      <c r="AF1322">
        <f>IF($B1322="","",IF(COUNTIF($B$2:$B1322,$B1322)=1,1,0))</f>
        <v/>
      </c>
      <c r="AG1322">
        <f>IF($AF1322=1,SUMPRODUCT(--($AJ$2:$AJ$1501&lt;$AJ1322))+1,"")</f>
        <v/>
      </c>
      <c r="AH1322">
        <f>IF($B1322="","",IF(OR($M1322=TRUE(),$M1322="TRUE"),1,0))</f>
        <v/>
      </c>
      <c r="AI1322">
        <f>IF($B1322="","",IF($V1322="Yes",1,0))</f>
        <v/>
      </c>
      <c r="AJ1322">
        <f>IF($AF1322=1,IFERROR(IF(VALUE($B1322)&lt;100000000,VALUE($B1322),1000000000),IFERROR(IF(VALUE(MID($B1322,2,20))&lt;100000000,VALUE(MID($B1322,2,20)),1000000000),1000000000))+ROW()/100000,"")</f>
        <v/>
      </c>
    </row>
    <row r="1323">
      <c r="C1323" s="11" t="n"/>
      <c r="J1323" s="7">
        <f>IF($B1323="","",I1323*Q1323/100)</f>
        <v/>
      </c>
      <c r="P1323" s="7" t="n"/>
      <c r="Q1323" s="7" t="n"/>
      <c r="R1323" s="7">
        <f>IF($B1323="","",Q1323*W1323/100)</f>
        <v/>
      </c>
      <c r="S1323" s="7">
        <f>IF($B1323="","",Q1323-R1323)</f>
        <v/>
      </c>
      <c r="T1323" s="7">
        <f>IF($B1323="","",S1323-J1323)</f>
        <v/>
      </c>
      <c r="W1323">
        <f>IF($B1323="","",IF($AI1323=1,0,IF($AH1323=1,Settings!$C$6,Settings!$C$7))*100)</f>
        <v/>
      </c>
      <c r="AA1323" s="7" t="n"/>
      <c r="AD1323" s="11" t="n"/>
      <c r="AF1323">
        <f>IF($B1323="","",IF(COUNTIF($B$2:$B1323,$B1323)=1,1,0))</f>
        <v/>
      </c>
      <c r="AG1323">
        <f>IF($AF1323=1,SUMPRODUCT(--($AJ$2:$AJ$1501&lt;$AJ1323))+1,"")</f>
        <v/>
      </c>
      <c r="AH1323">
        <f>IF($B1323="","",IF(OR($M1323=TRUE(),$M1323="TRUE"),1,0))</f>
        <v/>
      </c>
      <c r="AI1323">
        <f>IF($B1323="","",IF($V1323="Yes",1,0))</f>
        <v/>
      </c>
      <c r="AJ1323">
        <f>IF($AF1323=1,IFERROR(IF(VALUE($B1323)&lt;100000000,VALUE($B1323),1000000000),IFERROR(IF(VALUE(MID($B1323,2,20))&lt;100000000,VALUE(MID($B1323,2,20)),1000000000),1000000000))+ROW()/100000,"")</f>
        <v/>
      </c>
    </row>
    <row r="1324">
      <c r="C1324" s="11" t="n"/>
      <c r="J1324" s="7">
        <f>IF($B1324="","",I1324*Q1324/100)</f>
        <v/>
      </c>
      <c r="P1324" s="7" t="n"/>
      <c r="Q1324" s="7" t="n"/>
      <c r="R1324" s="7">
        <f>IF($B1324="","",Q1324*W1324/100)</f>
        <v/>
      </c>
      <c r="S1324" s="7">
        <f>IF($B1324="","",Q1324-R1324)</f>
        <v/>
      </c>
      <c r="T1324" s="7">
        <f>IF($B1324="","",S1324-J1324)</f>
        <v/>
      </c>
      <c r="W1324">
        <f>IF($B1324="","",IF($AI1324=1,0,IF($AH1324=1,Settings!$C$6,Settings!$C$7))*100)</f>
        <v/>
      </c>
      <c r="AA1324" s="7" t="n"/>
      <c r="AD1324" s="11" t="n"/>
      <c r="AF1324">
        <f>IF($B1324="","",IF(COUNTIF($B$2:$B1324,$B1324)=1,1,0))</f>
        <v/>
      </c>
      <c r="AG1324">
        <f>IF($AF1324=1,SUMPRODUCT(--($AJ$2:$AJ$1501&lt;$AJ1324))+1,"")</f>
        <v/>
      </c>
      <c r="AH1324">
        <f>IF($B1324="","",IF(OR($M1324=TRUE(),$M1324="TRUE"),1,0))</f>
        <v/>
      </c>
      <c r="AI1324">
        <f>IF($B1324="","",IF($V1324="Yes",1,0))</f>
        <v/>
      </c>
      <c r="AJ1324">
        <f>IF($AF1324=1,IFERROR(IF(VALUE($B1324)&lt;100000000,VALUE($B1324),1000000000),IFERROR(IF(VALUE(MID($B1324,2,20))&lt;100000000,VALUE(MID($B1324,2,20)),1000000000),1000000000))+ROW()/100000,"")</f>
        <v/>
      </c>
    </row>
    <row r="1325">
      <c r="C1325" s="11" t="n"/>
      <c r="J1325" s="7">
        <f>IF($B1325="","",I1325*Q1325/100)</f>
        <v/>
      </c>
      <c r="P1325" s="7" t="n"/>
      <c r="Q1325" s="7" t="n"/>
      <c r="R1325" s="7">
        <f>IF($B1325="","",Q1325*W1325/100)</f>
        <v/>
      </c>
      <c r="S1325" s="7">
        <f>IF($B1325="","",Q1325-R1325)</f>
        <v/>
      </c>
      <c r="T1325" s="7">
        <f>IF($B1325="","",S1325-J1325)</f>
        <v/>
      </c>
      <c r="W1325">
        <f>IF($B1325="","",IF($AI1325=1,0,IF($AH1325=1,Settings!$C$6,Settings!$C$7))*100)</f>
        <v/>
      </c>
      <c r="AA1325" s="7" t="n"/>
      <c r="AD1325" s="11" t="n"/>
      <c r="AF1325">
        <f>IF($B1325="","",IF(COUNTIF($B$2:$B1325,$B1325)=1,1,0))</f>
        <v/>
      </c>
      <c r="AG1325">
        <f>IF($AF1325=1,SUMPRODUCT(--($AJ$2:$AJ$1501&lt;$AJ1325))+1,"")</f>
        <v/>
      </c>
      <c r="AH1325">
        <f>IF($B1325="","",IF(OR($M1325=TRUE(),$M1325="TRUE"),1,0))</f>
        <v/>
      </c>
      <c r="AI1325">
        <f>IF($B1325="","",IF($V1325="Yes",1,0))</f>
        <v/>
      </c>
      <c r="AJ1325">
        <f>IF($AF1325=1,IFERROR(IF(VALUE($B1325)&lt;100000000,VALUE($B1325),1000000000),IFERROR(IF(VALUE(MID($B1325,2,20))&lt;100000000,VALUE(MID($B1325,2,20)),1000000000),1000000000))+ROW()/100000,"")</f>
        <v/>
      </c>
    </row>
    <row r="1326">
      <c r="C1326" s="11" t="n"/>
      <c r="J1326" s="7">
        <f>IF($B1326="","",I1326*Q1326/100)</f>
        <v/>
      </c>
      <c r="P1326" s="7" t="n"/>
      <c r="Q1326" s="7" t="n"/>
      <c r="R1326" s="7">
        <f>IF($B1326="","",Q1326*W1326/100)</f>
        <v/>
      </c>
      <c r="S1326" s="7">
        <f>IF($B1326="","",Q1326-R1326)</f>
        <v/>
      </c>
      <c r="T1326" s="7">
        <f>IF($B1326="","",S1326-J1326)</f>
        <v/>
      </c>
      <c r="W1326">
        <f>IF($B1326="","",IF($AI1326=1,0,IF($AH1326=1,Settings!$C$6,Settings!$C$7))*100)</f>
        <v/>
      </c>
      <c r="AA1326" s="7" t="n"/>
      <c r="AD1326" s="11" t="n"/>
      <c r="AF1326">
        <f>IF($B1326="","",IF(COUNTIF($B$2:$B1326,$B1326)=1,1,0))</f>
        <v/>
      </c>
      <c r="AG1326">
        <f>IF($AF1326=1,SUMPRODUCT(--($AJ$2:$AJ$1501&lt;$AJ1326))+1,"")</f>
        <v/>
      </c>
      <c r="AH1326">
        <f>IF($B1326="","",IF(OR($M1326=TRUE(),$M1326="TRUE"),1,0))</f>
        <v/>
      </c>
      <c r="AI1326">
        <f>IF($B1326="","",IF($V1326="Yes",1,0))</f>
        <v/>
      </c>
      <c r="AJ1326">
        <f>IF($AF1326=1,IFERROR(IF(VALUE($B1326)&lt;100000000,VALUE($B1326),1000000000),IFERROR(IF(VALUE(MID($B1326,2,20))&lt;100000000,VALUE(MID($B1326,2,20)),1000000000),1000000000))+ROW()/100000,"")</f>
        <v/>
      </c>
    </row>
    <row r="1327">
      <c r="C1327" s="11" t="n"/>
      <c r="J1327" s="7">
        <f>IF($B1327="","",I1327*Q1327/100)</f>
        <v/>
      </c>
      <c r="P1327" s="7" t="n"/>
      <c r="Q1327" s="7" t="n"/>
      <c r="R1327" s="7">
        <f>IF($B1327="","",Q1327*W1327/100)</f>
        <v/>
      </c>
      <c r="S1327" s="7">
        <f>IF($B1327="","",Q1327-R1327)</f>
        <v/>
      </c>
      <c r="T1327" s="7">
        <f>IF($B1327="","",S1327-J1327)</f>
        <v/>
      </c>
      <c r="W1327">
        <f>IF($B1327="","",IF($AI1327=1,0,IF($AH1327=1,Settings!$C$6,Settings!$C$7))*100)</f>
        <v/>
      </c>
      <c r="AA1327" s="7" t="n"/>
      <c r="AD1327" s="11" t="n"/>
      <c r="AF1327">
        <f>IF($B1327="","",IF(COUNTIF($B$2:$B1327,$B1327)=1,1,0))</f>
        <v/>
      </c>
      <c r="AG1327">
        <f>IF($AF1327=1,SUMPRODUCT(--($AJ$2:$AJ$1501&lt;$AJ1327))+1,"")</f>
        <v/>
      </c>
      <c r="AH1327">
        <f>IF($B1327="","",IF(OR($M1327=TRUE(),$M1327="TRUE"),1,0))</f>
        <v/>
      </c>
      <c r="AI1327">
        <f>IF($B1327="","",IF($V1327="Yes",1,0))</f>
        <v/>
      </c>
      <c r="AJ1327">
        <f>IF($AF1327=1,IFERROR(IF(VALUE($B1327)&lt;100000000,VALUE($B1327),1000000000),IFERROR(IF(VALUE(MID($B1327,2,20))&lt;100000000,VALUE(MID($B1327,2,20)),1000000000),1000000000))+ROW()/100000,"")</f>
        <v/>
      </c>
    </row>
    <row r="1328">
      <c r="C1328" s="11" t="n"/>
      <c r="J1328" s="7">
        <f>IF($B1328="","",I1328*Q1328/100)</f>
        <v/>
      </c>
      <c r="P1328" s="7" t="n"/>
      <c r="Q1328" s="7" t="n"/>
      <c r="R1328" s="7">
        <f>IF($B1328="","",Q1328*W1328/100)</f>
        <v/>
      </c>
      <c r="S1328" s="7">
        <f>IF($B1328="","",Q1328-R1328)</f>
        <v/>
      </c>
      <c r="T1328" s="7">
        <f>IF($B1328="","",S1328-J1328)</f>
        <v/>
      </c>
      <c r="W1328">
        <f>IF($B1328="","",IF($AI1328=1,0,IF($AH1328=1,Settings!$C$6,Settings!$C$7))*100)</f>
        <v/>
      </c>
      <c r="AA1328" s="7" t="n"/>
      <c r="AD1328" s="11" t="n"/>
      <c r="AF1328">
        <f>IF($B1328="","",IF(COUNTIF($B$2:$B1328,$B1328)=1,1,0))</f>
        <v/>
      </c>
      <c r="AG1328">
        <f>IF($AF1328=1,SUMPRODUCT(--($AJ$2:$AJ$1501&lt;$AJ1328))+1,"")</f>
        <v/>
      </c>
      <c r="AH1328">
        <f>IF($B1328="","",IF(OR($M1328=TRUE(),$M1328="TRUE"),1,0))</f>
        <v/>
      </c>
      <c r="AI1328">
        <f>IF($B1328="","",IF($V1328="Yes",1,0))</f>
        <v/>
      </c>
      <c r="AJ1328">
        <f>IF($AF1328=1,IFERROR(IF(VALUE($B1328)&lt;100000000,VALUE($B1328),1000000000),IFERROR(IF(VALUE(MID($B1328,2,20))&lt;100000000,VALUE(MID($B1328,2,20)),1000000000),1000000000))+ROW()/100000,"")</f>
        <v/>
      </c>
    </row>
    <row r="1329">
      <c r="C1329" s="11" t="n"/>
      <c r="J1329" s="7">
        <f>IF($B1329="","",I1329*Q1329/100)</f>
        <v/>
      </c>
      <c r="P1329" s="7" t="n"/>
      <c r="Q1329" s="7" t="n"/>
      <c r="R1329" s="7">
        <f>IF($B1329="","",Q1329*W1329/100)</f>
        <v/>
      </c>
      <c r="S1329" s="7">
        <f>IF($B1329="","",Q1329-R1329)</f>
        <v/>
      </c>
      <c r="T1329" s="7">
        <f>IF($B1329="","",S1329-J1329)</f>
        <v/>
      </c>
      <c r="W1329">
        <f>IF($B1329="","",IF($AI1329=1,0,IF($AH1329=1,Settings!$C$6,Settings!$C$7))*100)</f>
        <v/>
      </c>
      <c r="AA1329" s="7" t="n"/>
      <c r="AD1329" s="11" t="n"/>
      <c r="AF1329">
        <f>IF($B1329="","",IF(COUNTIF($B$2:$B1329,$B1329)=1,1,0))</f>
        <v/>
      </c>
      <c r="AG1329">
        <f>IF($AF1329=1,SUMPRODUCT(--($AJ$2:$AJ$1501&lt;$AJ1329))+1,"")</f>
        <v/>
      </c>
      <c r="AH1329">
        <f>IF($B1329="","",IF(OR($M1329=TRUE(),$M1329="TRUE"),1,0))</f>
        <v/>
      </c>
      <c r="AI1329">
        <f>IF($B1329="","",IF($V1329="Yes",1,0))</f>
        <v/>
      </c>
      <c r="AJ1329">
        <f>IF($AF1329=1,IFERROR(IF(VALUE($B1329)&lt;100000000,VALUE($B1329),1000000000),IFERROR(IF(VALUE(MID($B1329,2,20))&lt;100000000,VALUE(MID($B1329,2,20)),1000000000),1000000000))+ROW()/100000,"")</f>
        <v/>
      </c>
    </row>
    <row r="1330">
      <c r="C1330" s="11" t="n"/>
      <c r="J1330" s="7">
        <f>IF($B1330="","",I1330*Q1330/100)</f>
        <v/>
      </c>
      <c r="P1330" s="7" t="n"/>
      <c r="Q1330" s="7" t="n"/>
      <c r="R1330" s="7">
        <f>IF($B1330="","",Q1330*W1330/100)</f>
        <v/>
      </c>
      <c r="S1330" s="7">
        <f>IF($B1330="","",Q1330-R1330)</f>
        <v/>
      </c>
      <c r="T1330" s="7">
        <f>IF($B1330="","",S1330-J1330)</f>
        <v/>
      </c>
      <c r="W1330">
        <f>IF($B1330="","",IF($AI1330=1,0,IF($AH1330=1,Settings!$C$6,Settings!$C$7))*100)</f>
        <v/>
      </c>
      <c r="AA1330" s="7" t="n"/>
      <c r="AD1330" s="11" t="n"/>
      <c r="AF1330">
        <f>IF($B1330="","",IF(COUNTIF($B$2:$B1330,$B1330)=1,1,0))</f>
        <v/>
      </c>
      <c r="AG1330">
        <f>IF($AF1330=1,SUMPRODUCT(--($AJ$2:$AJ$1501&lt;$AJ1330))+1,"")</f>
        <v/>
      </c>
      <c r="AH1330">
        <f>IF($B1330="","",IF(OR($M1330=TRUE(),$M1330="TRUE"),1,0))</f>
        <v/>
      </c>
      <c r="AI1330">
        <f>IF($B1330="","",IF($V1330="Yes",1,0))</f>
        <v/>
      </c>
      <c r="AJ1330">
        <f>IF($AF1330=1,IFERROR(IF(VALUE($B1330)&lt;100000000,VALUE($B1330),1000000000),IFERROR(IF(VALUE(MID($B1330,2,20))&lt;100000000,VALUE(MID($B1330,2,20)),1000000000),1000000000))+ROW()/100000,"")</f>
        <v/>
      </c>
    </row>
    <row r="1331">
      <c r="C1331" s="11" t="n"/>
      <c r="J1331" s="7">
        <f>IF($B1331="","",I1331*Q1331/100)</f>
        <v/>
      </c>
      <c r="P1331" s="7" t="n"/>
      <c r="Q1331" s="7" t="n"/>
      <c r="R1331" s="7">
        <f>IF($B1331="","",Q1331*W1331/100)</f>
        <v/>
      </c>
      <c r="S1331" s="7">
        <f>IF($B1331="","",Q1331-R1331)</f>
        <v/>
      </c>
      <c r="T1331" s="7">
        <f>IF($B1331="","",S1331-J1331)</f>
        <v/>
      </c>
      <c r="W1331">
        <f>IF($B1331="","",IF($AI1331=1,0,IF($AH1331=1,Settings!$C$6,Settings!$C$7))*100)</f>
        <v/>
      </c>
      <c r="AA1331" s="7" t="n"/>
      <c r="AD1331" s="11" t="n"/>
      <c r="AF1331">
        <f>IF($B1331="","",IF(COUNTIF($B$2:$B1331,$B1331)=1,1,0))</f>
        <v/>
      </c>
      <c r="AG1331">
        <f>IF($AF1331=1,SUMPRODUCT(--($AJ$2:$AJ$1501&lt;$AJ1331))+1,"")</f>
        <v/>
      </c>
      <c r="AH1331">
        <f>IF($B1331="","",IF(OR($M1331=TRUE(),$M1331="TRUE"),1,0))</f>
        <v/>
      </c>
      <c r="AI1331">
        <f>IF($B1331="","",IF($V1331="Yes",1,0))</f>
        <v/>
      </c>
      <c r="AJ1331">
        <f>IF($AF1331=1,IFERROR(IF(VALUE($B1331)&lt;100000000,VALUE($B1331),1000000000),IFERROR(IF(VALUE(MID($B1331,2,20))&lt;100000000,VALUE(MID($B1331,2,20)),1000000000),1000000000))+ROW()/100000,"")</f>
        <v/>
      </c>
    </row>
    <row r="1332">
      <c r="C1332" s="11" t="n"/>
      <c r="J1332" s="7">
        <f>IF($B1332="","",I1332*Q1332/100)</f>
        <v/>
      </c>
      <c r="P1332" s="7" t="n"/>
      <c r="Q1332" s="7" t="n"/>
      <c r="R1332" s="7">
        <f>IF($B1332="","",Q1332*W1332/100)</f>
        <v/>
      </c>
      <c r="S1332" s="7">
        <f>IF($B1332="","",Q1332-R1332)</f>
        <v/>
      </c>
      <c r="T1332" s="7">
        <f>IF($B1332="","",S1332-J1332)</f>
        <v/>
      </c>
      <c r="W1332">
        <f>IF($B1332="","",IF($AI1332=1,0,IF($AH1332=1,Settings!$C$6,Settings!$C$7))*100)</f>
        <v/>
      </c>
      <c r="AA1332" s="7" t="n"/>
      <c r="AD1332" s="11" t="n"/>
      <c r="AF1332">
        <f>IF($B1332="","",IF(COUNTIF($B$2:$B1332,$B1332)=1,1,0))</f>
        <v/>
      </c>
      <c r="AG1332">
        <f>IF($AF1332=1,SUMPRODUCT(--($AJ$2:$AJ$1501&lt;$AJ1332))+1,"")</f>
        <v/>
      </c>
      <c r="AH1332">
        <f>IF($B1332="","",IF(OR($M1332=TRUE(),$M1332="TRUE"),1,0))</f>
        <v/>
      </c>
      <c r="AI1332">
        <f>IF($B1332="","",IF($V1332="Yes",1,0))</f>
        <v/>
      </c>
      <c r="AJ1332">
        <f>IF($AF1332=1,IFERROR(IF(VALUE($B1332)&lt;100000000,VALUE($B1332),1000000000),IFERROR(IF(VALUE(MID($B1332,2,20))&lt;100000000,VALUE(MID($B1332,2,20)),1000000000),1000000000))+ROW()/100000,"")</f>
        <v/>
      </c>
    </row>
    <row r="1333">
      <c r="C1333" s="11" t="n"/>
      <c r="J1333" s="7">
        <f>IF($B1333="","",I1333*Q1333/100)</f>
        <v/>
      </c>
      <c r="P1333" s="7" t="n"/>
      <c r="Q1333" s="7" t="n"/>
      <c r="R1333" s="7">
        <f>IF($B1333="","",Q1333*W1333/100)</f>
        <v/>
      </c>
      <c r="S1333" s="7">
        <f>IF($B1333="","",Q1333-R1333)</f>
        <v/>
      </c>
      <c r="T1333" s="7">
        <f>IF($B1333="","",S1333-J1333)</f>
        <v/>
      </c>
      <c r="W1333">
        <f>IF($B1333="","",IF($AI1333=1,0,IF($AH1333=1,Settings!$C$6,Settings!$C$7))*100)</f>
        <v/>
      </c>
      <c r="AA1333" s="7" t="n"/>
      <c r="AD1333" s="11" t="n"/>
      <c r="AF1333">
        <f>IF($B1333="","",IF(COUNTIF($B$2:$B1333,$B1333)=1,1,0))</f>
        <v/>
      </c>
      <c r="AG1333">
        <f>IF($AF1333=1,SUMPRODUCT(--($AJ$2:$AJ$1501&lt;$AJ1333))+1,"")</f>
        <v/>
      </c>
      <c r="AH1333">
        <f>IF($B1333="","",IF(OR($M1333=TRUE(),$M1333="TRUE"),1,0))</f>
        <v/>
      </c>
      <c r="AI1333">
        <f>IF($B1333="","",IF($V1333="Yes",1,0))</f>
        <v/>
      </c>
      <c r="AJ1333">
        <f>IF($AF1333=1,IFERROR(IF(VALUE($B1333)&lt;100000000,VALUE($B1333),1000000000),IFERROR(IF(VALUE(MID($B1333,2,20))&lt;100000000,VALUE(MID($B1333,2,20)),1000000000),1000000000))+ROW()/100000,"")</f>
        <v/>
      </c>
    </row>
    <row r="1334">
      <c r="C1334" s="11" t="n"/>
      <c r="J1334" s="7">
        <f>IF($B1334="","",I1334*Q1334/100)</f>
        <v/>
      </c>
      <c r="P1334" s="7" t="n"/>
      <c r="Q1334" s="7" t="n"/>
      <c r="R1334" s="7">
        <f>IF($B1334="","",Q1334*W1334/100)</f>
        <v/>
      </c>
      <c r="S1334" s="7">
        <f>IF($B1334="","",Q1334-R1334)</f>
        <v/>
      </c>
      <c r="T1334" s="7">
        <f>IF($B1334="","",S1334-J1334)</f>
        <v/>
      </c>
      <c r="W1334">
        <f>IF($B1334="","",IF($AI1334=1,0,IF($AH1334=1,Settings!$C$6,Settings!$C$7))*100)</f>
        <v/>
      </c>
      <c r="AA1334" s="7" t="n"/>
      <c r="AD1334" s="11" t="n"/>
      <c r="AF1334">
        <f>IF($B1334="","",IF(COUNTIF($B$2:$B1334,$B1334)=1,1,0))</f>
        <v/>
      </c>
      <c r="AG1334">
        <f>IF($AF1334=1,SUMPRODUCT(--($AJ$2:$AJ$1501&lt;$AJ1334))+1,"")</f>
        <v/>
      </c>
      <c r="AH1334">
        <f>IF($B1334="","",IF(OR($M1334=TRUE(),$M1334="TRUE"),1,0))</f>
        <v/>
      </c>
      <c r="AI1334">
        <f>IF($B1334="","",IF($V1334="Yes",1,0))</f>
        <v/>
      </c>
      <c r="AJ1334">
        <f>IF($AF1334=1,IFERROR(IF(VALUE($B1334)&lt;100000000,VALUE($B1334),1000000000),IFERROR(IF(VALUE(MID($B1334,2,20))&lt;100000000,VALUE(MID($B1334,2,20)),1000000000),1000000000))+ROW()/100000,"")</f>
        <v/>
      </c>
    </row>
    <row r="1335">
      <c r="C1335" s="11" t="n"/>
      <c r="J1335" s="7">
        <f>IF($B1335="","",I1335*Q1335/100)</f>
        <v/>
      </c>
      <c r="P1335" s="7" t="n"/>
      <c r="Q1335" s="7" t="n"/>
      <c r="R1335" s="7">
        <f>IF($B1335="","",Q1335*W1335/100)</f>
        <v/>
      </c>
      <c r="S1335" s="7">
        <f>IF($B1335="","",Q1335-R1335)</f>
        <v/>
      </c>
      <c r="T1335" s="7">
        <f>IF($B1335="","",S1335-J1335)</f>
        <v/>
      </c>
      <c r="W1335">
        <f>IF($B1335="","",IF($AI1335=1,0,IF($AH1335=1,Settings!$C$6,Settings!$C$7))*100)</f>
        <v/>
      </c>
      <c r="AA1335" s="7" t="n"/>
      <c r="AD1335" s="11" t="n"/>
      <c r="AF1335">
        <f>IF($B1335="","",IF(COUNTIF($B$2:$B1335,$B1335)=1,1,0))</f>
        <v/>
      </c>
      <c r="AG1335">
        <f>IF($AF1335=1,SUMPRODUCT(--($AJ$2:$AJ$1501&lt;$AJ1335))+1,"")</f>
        <v/>
      </c>
      <c r="AH1335">
        <f>IF($B1335="","",IF(OR($M1335=TRUE(),$M1335="TRUE"),1,0))</f>
        <v/>
      </c>
      <c r="AI1335">
        <f>IF($B1335="","",IF($V1335="Yes",1,0))</f>
        <v/>
      </c>
      <c r="AJ1335">
        <f>IF($AF1335=1,IFERROR(IF(VALUE($B1335)&lt;100000000,VALUE($B1335),1000000000),IFERROR(IF(VALUE(MID($B1335,2,20))&lt;100000000,VALUE(MID($B1335,2,20)),1000000000),1000000000))+ROW()/100000,"")</f>
        <v/>
      </c>
    </row>
    <row r="1336">
      <c r="C1336" s="11" t="n"/>
      <c r="J1336" s="7">
        <f>IF($B1336="","",I1336*Q1336/100)</f>
        <v/>
      </c>
      <c r="P1336" s="7" t="n"/>
      <c r="Q1336" s="7" t="n"/>
      <c r="R1336" s="7">
        <f>IF($B1336="","",Q1336*W1336/100)</f>
        <v/>
      </c>
      <c r="S1336" s="7">
        <f>IF($B1336="","",Q1336-R1336)</f>
        <v/>
      </c>
      <c r="T1336" s="7">
        <f>IF($B1336="","",S1336-J1336)</f>
        <v/>
      </c>
      <c r="W1336">
        <f>IF($B1336="","",IF($AI1336=1,0,IF($AH1336=1,Settings!$C$6,Settings!$C$7))*100)</f>
        <v/>
      </c>
      <c r="AA1336" s="7" t="n"/>
      <c r="AD1336" s="11" t="n"/>
      <c r="AF1336">
        <f>IF($B1336="","",IF(COUNTIF($B$2:$B1336,$B1336)=1,1,0))</f>
        <v/>
      </c>
      <c r="AG1336">
        <f>IF($AF1336=1,SUMPRODUCT(--($AJ$2:$AJ$1501&lt;$AJ1336))+1,"")</f>
        <v/>
      </c>
      <c r="AH1336">
        <f>IF($B1336="","",IF(OR($M1336=TRUE(),$M1336="TRUE"),1,0))</f>
        <v/>
      </c>
      <c r="AI1336">
        <f>IF($B1336="","",IF($V1336="Yes",1,0))</f>
        <v/>
      </c>
      <c r="AJ1336">
        <f>IF($AF1336=1,IFERROR(IF(VALUE($B1336)&lt;100000000,VALUE($B1336),1000000000),IFERROR(IF(VALUE(MID($B1336,2,20))&lt;100000000,VALUE(MID($B1336,2,20)),1000000000),1000000000))+ROW()/100000,"")</f>
        <v/>
      </c>
    </row>
    <row r="1337">
      <c r="C1337" s="11" t="n"/>
      <c r="J1337" s="7">
        <f>IF($B1337="","",I1337*Q1337/100)</f>
        <v/>
      </c>
      <c r="P1337" s="7" t="n"/>
      <c r="Q1337" s="7" t="n"/>
      <c r="R1337" s="7">
        <f>IF($B1337="","",Q1337*W1337/100)</f>
        <v/>
      </c>
      <c r="S1337" s="7">
        <f>IF($B1337="","",Q1337-R1337)</f>
        <v/>
      </c>
      <c r="T1337" s="7">
        <f>IF($B1337="","",S1337-J1337)</f>
        <v/>
      </c>
      <c r="W1337">
        <f>IF($B1337="","",IF($AI1337=1,0,IF($AH1337=1,Settings!$C$6,Settings!$C$7))*100)</f>
        <v/>
      </c>
      <c r="AA1337" s="7" t="n"/>
      <c r="AD1337" s="11" t="n"/>
      <c r="AF1337">
        <f>IF($B1337="","",IF(COUNTIF($B$2:$B1337,$B1337)=1,1,0))</f>
        <v/>
      </c>
      <c r="AG1337">
        <f>IF($AF1337=1,SUMPRODUCT(--($AJ$2:$AJ$1501&lt;$AJ1337))+1,"")</f>
        <v/>
      </c>
      <c r="AH1337">
        <f>IF($B1337="","",IF(OR($M1337=TRUE(),$M1337="TRUE"),1,0))</f>
        <v/>
      </c>
      <c r="AI1337">
        <f>IF($B1337="","",IF($V1337="Yes",1,0))</f>
        <v/>
      </c>
      <c r="AJ1337">
        <f>IF($AF1337=1,IFERROR(IF(VALUE($B1337)&lt;100000000,VALUE($B1337),1000000000),IFERROR(IF(VALUE(MID($B1337,2,20))&lt;100000000,VALUE(MID($B1337,2,20)),1000000000),1000000000))+ROW()/100000,"")</f>
        <v/>
      </c>
    </row>
    <row r="1338">
      <c r="C1338" s="11" t="n"/>
      <c r="J1338" s="7">
        <f>IF($B1338="","",I1338*Q1338/100)</f>
        <v/>
      </c>
      <c r="P1338" s="7" t="n"/>
      <c r="Q1338" s="7" t="n"/>
      <c r="R1338" s="7">
        <f>IF($B1338="","",Q1338*W1338/100)</f>
        <v/>
      </c>
      <c r="S1338" s="7">
        <f>IF($B1338="","",Q1338-R1338)</f>
        <v/>
      </c>
      <c r="T1338" s="7">
        <f>IF($B1338="","",S1338-J1338)</f>
        <v/>
      </c>
      <c r="W1338">
        <f>IF($B1338="","",IF($AI1338=1,0,IF($AH1338=1,Settings!$C$6,Settings!$C$7))*100)</f>
        <v/>
      </c>
      <c r="AA1338" s="7" t="n"/>
      <c r="AD1338" s="11" t="n"/>
      <c r="AF1338">
        <f>IF($B1338="","",IF(COUNTIF($B$2:$B1338,$B1338)=1,1,0))</f>
        <v/>
      </c>
      <c r="AG1338">
        <f>IF($AF1338=1,SUMPRODUCT(--($AJ$2:$AJ$1501&lt;$AJ1338))+1,"")</f>
        <v/>
      </c>
      <c r="AH1338">
        <f>IF($B1338="","",IF(OR($M1338=TRUE(),$M1338="TRUE"),1,0))</f>
        <v/>
      </c>
      <c r="AI1338">
        <f>IF($B1338="","",IF($V1338="Yes",1,0))</f>
        <v/>
      </c>
      <c r="AJ1338">
        <f>IF($AF1338=1,IFERROR(IF(VALUE($B1338)&lt;100000000,VALUE($B1338),1000000000),IFERROR(IF(VALUE(MID($B1338,2,20))&lt;100000000,VALUE(MID($B1338,2,20)),1000000000),1000000000))+ROW()/100000,"")</f>
        <v/>
      </c>
    </row>
    <row r="1339">
      <c r="C1339" s="11" t="n"/>
      <c r="J1339" s="7">
        <f>IF($B1339="","",I1339*Q1339/100)</f>
        <v/>
      </c>
      <c r="P1339" s="7" t="n"/>
      <c r="Q1339" s="7" t="n"/>
      <c r="R1339" s="7">
        <f>IF($B1339="","",Q1339*W1339/100)</f>
        <v/>
      </c>
      <c r="S1339" s="7">
        <f>IF($B1339="","",Q1339-R1339)</f>
        <v/>
      </c>
      <c r="T1339" s="7">
        <f>IF($B1339="","",S1339-J1339)</f>
        <v/>
      </c>
      <c r="W1339">
        <f>IF($B1339="","",IF($AI1339=1,0,IF($AH1339=1,Settings!$C$6,Settings!$C$7))*100)</f>
        <v/>
      </c>
      <c r="AA1339" s="7" t="n"/>
      <c r="AD1339" s="11" t="n"/>
      <c r="AF1339">
        <f>IF($B1339="","",IF(COUNTIF($B$2:$B1339,$B1339)=1,1,0))</f>
        <v/>
      </c>
      <c r="AG1339">
        <f>IF($AF1339=1,SUMPRODUCT(--($AJ$2:$AJ$1501&lt;$AJ1339))+1,"")</f>
        <v/>
      </c>
      <c r="AH1339">
        <f>IF($B1339="","",IF(OR($M1339=TRUE(),$M1339="TRUE"),1,0))</f>
        <v/>
      </c>
      <c r="AI1339">
        <f>IF($B1339="","",IF($V1339="Yes",1,0))</f>
        <v/>
      </c>
      <c r="AJ1339">
        <f>IF($AF1339=1,IFERROR(IF(VALUE($B1339)&lt;100000000,VALUE($B1339),1000000000),IFERROR(IF(VALUE(MID($B1339,2,20))&lt;100000000,VALUE(MID($B1339,2,20)),1000000000),1000000000))+ROW()/100000,"")</f>
        <v/>
      </c>
    </row>
    <row r="1340">
      <c r="C1340" s="11" t="n"/>
      <c r="J1340" s="7">
        <f>IF($B1340="","",I1340*Q1340/100)</f>
        <v/>
      </c>
      <c r="P1340" s="7" t="n"/>
      <c r="Q1340" s="7" t="n"/>
      <c r="R1340" s="7">
        <f>IF($B1340="","",Q1340*W1340/100)</f>
        <v/>
      </c>
      <c r="S1340" s="7">
        <f>IF($B1340="","",Q1340-R1340)</f>
        <v/>
      </c>
      <c r="T1340" s="7">
        <f>IF($B1340="","",S1340-J1340)</f>
        <v/>
      </c>
      <c r="W1340">
        <f>IF($B1340="","",IF($AI1340=1,0,IF($AH1340=1,Settings!$C$6,Settings!$C$7))*100)</f>
        <v/>
      </c>
      <c r="AA1340" s="7" t="n"/>
      <c r="AD1340" s="11" t="n"/>
      <c r="AF1340">
        <f>IF($B1340="","",IF(COUNTIF($B$2:$B1340,$B1340)=1,1,0))</f>
        <v/>
      </c>
      <c r="AG1340">
        <f>IF($AF1340=1,SUMPRODUCT(--($AJ$2:$AJ$1501&lt;$AJ1340))+1,"")</f>
        <v/>
      </c>
      <c r="AH1340">
        <f>IF($B1340="","",IF(OR($M1340=TRUE(),$M1340="TRUE"),1,0))</f>
        <v/>
      </c>
      <c r="AI1340">
        <f>IF($B1340="","",IF($V1340="Yes",1,0))</f>
        <v/>
      </c>
      <c r="AJ1340">
        <f>IF($AF1340=1,IFERROR(IF(VALUE($B1340)&lt;100000000,VALUE($B1340),1000000000),IFERROR(IF(VALUE(MID($B1340,2,20))&lt;100000000,VALUE(MID($B1340,2,20)),1000000000),1000000000))+ROW()/100000,"")</f>
        <v/>
      </c>
    </row>
    <row r="1341">
      <c r="C1341" s="11" t="n"/>
      <c r="J1341" s="7">
        <f>IF($B1341="","",I1341*Q1341/100)</f>
        <v/>
      </c>
      <c r="P1341" s="7" t="n"/>
      <c r="Q1341" s="7" t="n"/>
      <c r="R1341" s="7">
        <f>IF($B1341="","",Q1341*W1341/100)</f>
        <v/>
      </c>
      <c r="S1341" s="7">
        <f>IF($B1341="","",Q1341-R1341)</f>
        <v/>
      </c>
      <c r="T1341" s="7">
        <f>IF($B1341="","",S1341-J1341)</f>
        <v/>
      </c>
      <c r="W1341">
        <f>IF($B1341="","",IF($AI1341=1,0,IF($AH1341=1,Settings!$C$6,Settings!$C$7))*100)</f>
        <v/>
      </c>
      <c r="AA1341" s="7" t="n"/>
      <c r="AD1341" s="11" t="n"/>
      <c r="AF1341">
        <f>IF($B1341="","",IF(COUNTIF($B$2:$B1341,$B1341)=1,1,0))</f>
        <v/>
      </c>
      <c r="AG1341">
        <f>IF($AF1341=1,SUMPRODUCT(--($AJ$2:$AJ$1501&lt;$AJ1341))+1,"")</f>
        <v/>
      </c>
      <c r="AH1341">
        <f>IF($B1341="","",IF(OR($M1341=TRUE(),$M1341="TRUE"),1,0))</f>
        <v/>
      </c>
      <c r="AI1341">
        <f>IF($B1341="","",IF($V1341="Yes",1,0))</f>
        <v/>
      </c>
      <c r="AJ1341">
        <f>IF($AF1341=1,IFERROR(IF(VALUE($B1341)&lt;100000000,VALUE($B1341),1000000000),IFERROR(IF(VALUE(MID($B1341,2,20))&lt;100000000,VALUE(MID($B1341,2,20)),1000000000),1000000000))+ROW()/100000,"")</f>
        <v/>
      </c>
    </row>
    <row r="1342">
      <c r="C1342" s="11" t="n"/>
      <c r="J1342" s="7">
        <f>IF($B1342="","",I1342*Q1342/100)</f>
        <v/>
      </c>
      <c r="P1342" s="7" t="n"/>
      <c r="Q1342" s="7" t="n"/>
      <c r="R1342" s="7">
        <f>IF($B1342="","",Q1342*W1342/100)</f>
        <v/>
      </c>
      <c r="S1342" s="7">
        <f>IF($B1342="","",Q1342-R1342)</f>
        <v/>
      </c>
      <c r="T1342" s="7">
        <f>IF($B1342="","",S1342-J1342)</f>
        <v/>
      </c>
      <c r="W1342">
        <f>IF($B1342="","",IF($AI1342=1,0,IF($AH1342=1,Settings!$C$6,Settings!$C$7))*100)</f>
        <v/>
      </c>
      <c r="AA1342" s="7" t="n"/>
      <c r="AD1342" s="11" t="n"/>
      <c r="AF1342">
        <f>IF($B1342="","",IF(COUNTIF($B$2:$B1342,$B1342)=1,1,0))</f>
        <v/>
      </c>
      <c r="AG1342">
        <f>IF($AF1342=1,SUMPRODUCT(--($AJ$2:$AJ$1501&lt;$AJ1342))+1,"")</f>
        <v/>
      </c>
      <c r="AH1342">
        <f>IF($B1342="","",IF(OR($M1342=TRUE(),$M1342="TRUE"),1,0))</f>
        <v/>
      </c>
      <c r="AI1342">
        <f>IF($B1342="","",IF($V1342="Yes",1,0))</f>
        <v/>
      </c>
      <c r="AJ1342">
        <f>IF($AF1342=1,IFERROR(IF(VALUE($B1342)&lt;100000000,VALUE($B1342),1000000000),IFERROR(IF(VALUE(MID($B1342,2,20))&lt;100000000,VALUE(MID($B1342,2,20)),1000000000),1000000000))+ROW()/100000,"")</f>
        <v/>
      </c>
    </row>
    <row r="1343">
      <c r="C1343" s="11" t="n"/>
      <c r="J1343" s="7">
        <f>IF($B1343="","",I1343*Q1343/100)</f>
        <v/>
      </c>
      <c r="P1343" s="7" t="n"/>
      <c r="Q1343" s="7" t="n"/>
      <c r="R1343" s="7">
        <f>IF($B1343="","",Q1343*W1343/100)</f>
        <v/>
      </c>
      <c r="S1343" s="7">
        <f>IF($B1343="","",Q1343-R1343)</f>
        <v/>
      </c>
      <c r="T1343" s="7">
        <f>IF($B1343="","",S1343-J1343)</f>
        <v/>
      </c>
      <c r="W1343">
        <f>IF($B1343="","",IF($AI1343=1,0,IF($AH1343=1,Settings!$C$6,Settings!$C$7))*100)</f>
        <v/>
      </c>
      <c r="AA1343" s="7" t="n"/>
      <c r="AD1343" s="11" t="n"/>
      <c r="AF1343">
        <f>IF($B1343="","",IF(COUNTIF($B$2:$B1343,$B1343)=1,1,0))</f>
        <v/>
      </c>
      <c r="AG1343">
        <f>IF($AF1343=1,SUMPRODUCT(--($AJ$2:$AJ$1501&lt;$AJ1343))+1,"")</f>
        <v/>
      </c>
      <c r="AH1343">
        <f>IF($B1343="","",IF(OR($M1343=TRUE(),$M1343="TRUE"),1,0))</f>
        <v/>
      </c>
      <c r="AI1343">
        <f>IF($B1343="","",IF($V1343="Yes",1,0))</f>
        <v/>
      </c>
      <c r="AJ1343">
        <f>IF($AF1343=1,IFERROR(IF(VALUE($B1343)&lt;100000000,VALUE($B1343),1000000000),IFERROR(IF(VALUE(MID($B1343,2,20))&lt;100000000,VALUE(MID($B1343,2,20)),1000000000),1000000000))+ROW()/100000,"")</f>
        <v/>
      </c>
    </row>
    <row r="1344">
      <c r="C1344" s="11" t="n"/>
      <c r="J1344" s="7">
        <f>IF($B1344="","",I1344*Q1344/100)</f>
        <v/>
      </c>
      <c r="P1344" s="7" t="n"/>
      <c r="Q1344" s="7" t="n"/>
      <c r="R1344" s="7">
        <f>IF($B1344="","",Q1344*W1344/100)</f>
        <v/>
      </c>
      <c r="S1344" s="7">
        <f>IF($B1344="","",Q1344-R1344)</f>
        <v/>
      </c>
      <c r="T1344" s="7">
        <f>IF($B1344="","",S1344-J1344)</f>
        <v/>
      </c>
      <c r="W1344">
        <f>IF($B1344="","",IF($AI1344=1,0,IF($AH1344=1,Settings!$C$6,Settings!$C$7))*100)</f>
        <v/>
      </c>
      <c r="AA1344" s="7" t="n"/>
      <c r="AD1344" s="11" t="n"/>
      <c r="AF1344">
        <f>IF($B1344="","",IF(COUNTIF($B$2:$B1344,$B1344)=1,1,0))</f>
        <v/>
      </c>
      <c r="AG1344">
        <f>IF($AF1344=1,SUMPRODUCT(--($AJ$2:$AJ$1501&lt;$AJ1344))+1,"")</f>
        <v/>
      </c>
      <c r="AH1344">
        <f>IF($B1344="","",IF(OR($M1344=TRUE(),$M1344="TRUE"),1,0))</f>
        <v/>
      </c>
      <c r="AI1344">
        <f>IF($B1344="","",IF($V1344="Yes",1,0))</f>
        <v/>
      </c>
      <c r="AJ1344">
        <f>IF($AF1344=1,IFERROR(IF(VALUE($B1344)&lt;100000000,VALUE($B1344),1000000000),IFERROR(IF(VALUE(MID($B1344,2,20))&lt;100000000,VALUE(MID($B1344,2,20)),1000000000),1000000000))+ROW()/100000,"")</f>
        <v/>
      </c>
    </row>
    <row r="1345">
      <c r="C1345" s="11" t="n"/>
      <c r="J1345" s="7">
        <f>IF($B1345="","",I1345*Q1345/100)</f>
        <v/>
      </c>
      <c r="P1345" s="7" t="n"/>
      <c r="Q1345" s="7" t="n"/>
      <c r="R1345" s="7">
        <f>IF($B1345="","",Q1345*W1345/100)</f>
        <v/>
      </c>
      <c r="S1345" s="7">
        <f>IF($B1345="","",Q1345-R1345)</f>
        <v/>
      </c>
      <c r="T1345" s="7">
        <f>IF($B1345="","",S1345-J1345)</f>
        <v/>
      </c>
      <c r="W1345">
        <f>IF($B1345="","",IF($AI1345=1,0,IF($AH1345=1,Settings!$C$6,Settings!$C$7))*100)</f>
        <v/>
      </c>
      <c r="AA1345" s="7" t="n"/>
      <c r="AD1345" s="11" t="n"/>
      <c r="AF1345">
        <f>IF($B1345="","",IF(COUNTIF($B$2:$B1345,$B1345)=1,1,0))</f>
        <v/>
      </c>
      <c r="AG1345">
        <f>IF($AF1345=1,SUMPRODUCT(--($AJ$2:$AJ$1501&lt;$AJ1345))+1,"")</f>
        <v/>
      </c>
      <c r="AH1345">
        <f>IF($B1345="","",IF(OR($M1345=TRUE(),$M1345="TRUE"),1,0))</f>
        <v/>
      </c>
      <c r="AI1345">
        <f>IF($B1345="","",IF($V1345="Yes",1,0))</f>
        <v/>
      </c>
      <c r="AJ1345">
        <f>IF($AF1345=1,IFERROR(IF(VALUE($B1345)&lt;100000000,VALUE($B1345),1000000000),IFERROR(IF(VALUE(MID($B1345,2,20))&lt;100000000,VALUE(MID($B1345,2,20)),1000000000),1000000000))+ROW()/100000,"")</f>
        <v/>
      </c>
    </row>
    <row r="1346">
      <c r="C1346" s="11" t="n"/>
      <c r="J1346" s="7">
        <f>IF($B1346="","",I1346*Q1346/100)</f>
        <v/>
      </c>
      <c r="P1346" s="7" t="n"/>
      <c r="Q1346" s="7" t="n"/>
      <c r="R1346" s="7">
        <f>IF($B1346="","",Q1346*W1346/100)</f>
        <v/>
      </c>
      <c r="S1346" s="7">
        <f>IF($B1346="","",Q1346-R1346)</f>
        <v/>
      </c>
      <c r="T1346" s="7">
        <f>IF($B1346="","",S1346-J1346)</f>
        <v/>
      </c>
      <c r="W1346">
        <f>IF($B1346="","",IF($AI1346=1,0,IF($AH1346=1,Settings!$C$6,Settings!$C$7))*100)</f>
        <v/>
      </c>
      <c r="AA1346" s="7" t="n"/>
      <c r="AD1346" s="11" t="n"/>
      <c r="AF1346">
        <f>IF($B1346="","",IF(COUNTIF($B$2:$B1346,$B1346)=1,1,0))</f>
        <v/>
      </c>
      <c r="AG1346">
        <f>IF($AF1346=1,SUMPRODUCT(--($AJ$2:$AJ$1501&lt;$AJ1346))+1,"")</f>
        <v/>
      </c>
      <c r="AH1346">
        <f>IF($B1346="","",IF(OR($M1346=TRUE(),$M1346="TRUE"),1,0))</f>
        <v/>
      </c>
      <c r="AI1346">
        <f>IF($B1346="","",IF($V1346="Yes",1,0))</f>
        <v/>
      </c>
      <c r="AJ1346">
        <f>IF($AF1346=1,IFERROR(IF(VALUE($B1346)&lt;100000000,VALUE($B1346),1000000000),IFERROR(IF(VALUE(MID($B1346,2,20))&lt;100000000,VALUE(MID($B1346,2,20)),1000000000),1000000000))+ROW()/100000,"")</f>
        <v/>
      </c>
    </row>
    <row r="1347">
      <c r="C1347" s="11" t="n"/>
      <c r="J1347" s="7">
        <f>IF($B1347="","",I1347*Q1347/100)</f>
        <v/>
      </c>
      <c r="P1347" s="7" t="n"/>
      <c r="Q1347" s="7" t="n"/>
      <c r="R1347" s="7">
        <f>IF($B1347="","",Q1347*W1347/100)</f>
        <v/>
      </c>
      <c r="S1347" s="7">
        <f>IF($B1347="","",Q1347-R1347)</f>
        <v/>
      </c>
      <c r="T1347" s="7">
        <f>IF($B1347="","",S1347-J1347)</f>
        <v/>
      </c>
      <c r="W1347">
        <f>IF($B1347="","",IF($AI1347=1,0,IF($AH1347=1,Settings!$C$6,Settings!$C$7))*100)</f>
        <v/>
      </c>
      <c r="AA1347" s="7" t="n"/>
      <c r="AD1347" s="11" t="n"/>
      <c r="AF1347">
        <f>IF($B1347="","",IF(COUNTIF($B$2:$B1347,$B1347)=1,1,0))</f>
        <v/>
      </c>
      <c r="AG1347">
        <f>IF($AF1347=1,SUMPRODUCT(--($AJ$2:$AJ$1501&lt;$AJ1347))+1,"")</f>
        <v/>
      </c>
      <c r="AH1347">
        <f>IF($B1347="","",IF(OR($M1347=TRUE(),$M1347="TRUE"),1,0))</f>
        <v/>
      </c>
      <c r="AI1347">
        <f>IF($B1347="","",IF($V1347="Yes",1,0))</f>
        <v/>
      </c>
      <c r="AJ1347">
        <f>IF($AF1347=1,IFERROR(IF(VALUE($B1347)&lt;100000000,VALUE($B1347),1000000000),IFERROR(IF(VALUE(MID($B1347,2,20))&lt;100000000,VALUE(MID($B1347,2,20)),1000000000),1000000000))+ROW()/100000,"")</f>
        <v/>
      </c>
    </row>
    <row r="1348">
      <c r="C1348" s="11" t="n"/>
      <c r="J1348" s="7">
        <f>IF($B1348="","",I1348*Q1348/100)</f>
        <v/>
      </c>
      <c r="P1348" s="7" t="n"/>
      <c r="Q1348" s="7" t="n"/>
      <c r="R1348" s="7">
        <f>IF($B1348="","",Q1348*W1348/100)</f>
        <v/>
      </c>
      <c r="S1348" s="7">
        <f>IF($B1348="","",Q1348-R1348)</f>
        <v/>
      </c>
      <c r="T1348" s="7">
        <f>IF($B1348="","",S1348-J1348)</f>
        <v/>
      </c>
      <c r="W1348">
        <f>IF($B1348="","",IF($AI1348=1,0,IF($AH1348=1,Settings!$C$6,Settings!$C$7))*100)</f>
        <v/>
      </c>
      <c r="AA1348" s="7" t="n"/>
      <c r="AD1348" s="11" t="n"/>
      <c r="AF1348">
        <f>IF($B1348="","",IF(COUNTIF($B$2:$B1348,$B1348)=1,1,0))</f>
        <v/>
      </c>
      <c r="AG1348">
        <f>IF($AF1348=1,SUMPRODUCT(--($AJ$2:$AJ$1501&lt;$AJ1348))+1,"")</f>
        <v/>
      </c>
      <c r="AH1348">
        <f>IF($B1348="","",IF(OR($M1348=TRUE(),$M1348="TRUE"),1,0))</f>
        <v/>
      </c>
      <c r="AI1348">
        <f>IF($B1348="","",IF($V1348="Yes",1,0))</f>
        <v/>
      </c>
      <c r="AJ1348">
        <f>IF($AF1348=1,IFERROR(IF(VALUE($B1348)&lt;100000000,VALUE($B1348),1000000000),IFERROR(IF(VALUE(MID($B1348,2,20))&lt;100000000,VALUE(MID($B1348,2,20)),1000000000),1000000000))+ROW()/100000,"")</f>
        <v/>
      </c>
    </row>
    <row r="1349">
      <c r="C1349" s="11" t="n"/>
      <c r="J1349" s="7">
        <f>IF($B1349="","",I1349*Q1349/100)</f>
        <v/>
      </c>
      <c r="P1349" s="7" t="n"/>
      <c r="Q1349" s="7" t="n"/>
      <c r="R1349" s="7">
        <f>IF($B1349="","",Q1349*W1349/100)</f>
        <v/>
      </c>
      <c r="S1349" s="7">
        <f>IF($B1349="","",Q1349-R1349)</f>
        <v/>
      </c>
      <c r="T1349" s="7">
        <f>IF($B1349="","",S1349-J1349)</f>
        <v/>
      </c>
      <c r="W1349">
        <f>IF($B1349="","",IF($AI1349=1,0,IF($AH1349=1,Settings!$C$6,Settings!$C$7))*100)</f>
        <v/>
      </c>
      <c r="AA1349" s="7" t="n"/>
      <c r="AD1349" s="11" t="n"/>
      <c r="AF1349">
        <f>IF($B1349="","",IF(COUNTIF($B$2:$B1349,$B1349)=1,1,0))</f>
        <v/>
      </c>
      <c r="AG1349">
        <f>IF($AF1349=1,SUMPRODUCT(--($AJ$2:$AJ$1501&lt;$AJ1349))+1,"")</f>
        <v/>
      </c>
      <c r="AH1349">
        <f>IF($B1349="","",IF(OR($M1349=TRUE(),$M1349="TRUE"),1,0))</f>
        <v/>
      </c>
      <c r="AI1349">
        <f>IF($B1349="","",IF($V1349="Yes",1,0))</f>
        <v/>
      </c>
      <c r="AJ1349">
        <f>IF($AF1349=1,IFERROR(IF(VALUE($B1349)&lt;100000000,VALUE($B1349),1000000000),IFERROR(IF(VALUE(MID($B1349,2,20))&lt;100000000,VALUE(MID($B1349,2,20)),1000000000),1000000000))+ROW()/100000,"")</f>
        <v/>
      </c>
    </row>
    <row r="1350">
      <c r="C1350" s="11" t="n"/>
      <c r="J1350" s="7">
        <f>IF($B1350="","",I1350*Q1350/100)</f>
        <v/>
      </c>
      <c r="P1350" s="7" t="n"/>
      <c r="Q1350" s="7" t="n"/>
      <c r="R1350" s="7">
        <f>IF($B1350="","",Q1350*W1350/100)</f>
        <v/>
      </c>
      <c r="S1350" s="7">
        <f>IF($B1350="","",Q1350-R1350)</f>
        <v/>
      </c>
      <c r="T1350" s="7">
        <f>IF($B1350="","",S1350-J1350)</f>
        <v/>
      </c>
      <c r="W1350">
        <f>IF($B1350="","",IF($AI1350=1,0,IF($AH1350=1,Settings!$C$6,Settings!$C$7))*100)</f>
        <v/>
      </c>
      <c r="AA1350" s="7" t="n"/>
      <c r="AD1350" s="11" t="n"/>
      <c r="AF1350">
        <f>IF($B1350="","",IF(COUNTIF($B$2:$B1350,$B1350)=1,1,0))</f>
        <v/>
      </c>
      <c r="AG1350">
        <f>IF($AF1350=1,SUMPRODUCT(--($AJ$2:$AJ$1501&lt;$AJ1350))+1,"")</f>
        <v/>
      </c>
      <c r="AH1350">
        <f>IF($B1350="","",IF(OR($M1350=TRUE(),$M1350="TRUE"),1,0))</f>
        <v/>
      </c>
      <c r="AI1350">
        <f>IF($B1350="","",IF($V1350="Yes",1,0))</f>
        <v/>
      </c>
      <c r="AJ1350">
        <f>IF($AF1350=1,IFERROR(IF(VALUE($B1350)&lt;100000000,VALUE($B1350),1000000000),IFERROR(IF(VALUE(MID($B1350,2,20))&lt;100000000,VALUE(MID($B1350,2,20)),1000000000),1000000000))+ROW()/100000,"")</f>
        <v/>
      </c>
    </row>
    <row r="1351">
      <c r="C1351" s="11" t="n"/>
      <c r="J1351" s="7">
        <f>IF($B1351="","",I1351*Q1351/100)</f>
        <v/>
      </c>
      <c r="P1351" s="7" t="n"/>
      <c r="Q1351" s="7" t="n"/>
      <c r="R1351" s="7">
        <f>IF($B1351="","",Q1351*W1351/100)</f>
        <v/>
      </c>
      <c r="S1351" s="7">
        <f>IF($B1351="","",Q1351-R1351)</f>
        <v/>
      </c>
      <c r="T1351" s="7">
        <f>IF($B1351="","",S1351-J1351)</f>
        <v/>
      </c>
      <c r="W1351">
        <f>IF($B1351="","",IF($AI1351=1,0,IF($AH1351=1,Settings!$C$6,Settings!$C$7))*100)</f>
        <v/>
      </c>
      <c r="AA1351" s="7" t="n"/>
      <c r="AD1351" s="11" t="n"/>
      <c r="AF1351">
        <f>IF($B1351="","",IF(COUNTIF($B$2:$B1351,$B1351)=1,1,0))</f>
        <v/>
      </c>
      <c r="AG1351">
        <f>IF($AF1351=1,SUMPRODUCT(--($AJ$2:$AJ$1501&lt;$AJ1351))+1,"")</f>
        <v/>
      </c>
      <c r="AH1351">
        <f>IF($B1351="","",IF(OR($M1351=TRUE(),$M1351="TRUE"),1,0))</f>
        <v/>
      </c>
      <c r="AI1351">
        <f>IF($B1351="","",IF($V1351="Yes",1,0))</f>
        <v/>
      </c>
      <c r="AJ1351">
        <f>IF($AF1351=1,IFERROR(IF(VALUE($B1351)&lt;100000000,VALUE($B1351),1000000000),IFERROR(IF(VALUE(MID($B1351,2,20))&lt;100000000,VALUE(MID($B1351,2,20)),1000000000),1000000000))+ROW()/100000,"")</f>
        <v/>
      </c>
    </row>
    <row r="1352">
      <c r="C1352" s="11" t="n"/>
      <c r="J1352" s="7">
        <f>IF($B1352="","",I1352*Q1352/100)</f>
        <v/>
      </c>
      <c r="P1352" s="7" t="n"/>
      <c r="Q1352" s="7" t="n"/>
      <c r="R1352" s="7">
        <f>IF($B1352="","",Q1352*W1352/100)</f>
        <v/>
      </c>
      <c r="S1352" s="7">
        <f>IF($B1352="","",Q1352-R1352)</f>
        <v/>
      </c>
      <c r="T1352" s="7">
        <f>IF($B1352="","",S1352-J1352)</f>
        <v/>
      </c>
      <c r="W1352">
        <f>IF($B1352="","",IF($AI1352=1,0,IF($AH1352=1,Settings!$C$6,Settings!$C$7))*100)</f>
        <v/>
      </c>
      <c r="AA1352" s="7" t="n"/>
      <c r="AD1352" s="11" t="n"/>
      <c r="AF1352">
        <f>IF($B1352="","",IF(COUNTIF($B$2:$B1352,$B1352)=1,1,0))</f>
        <v/>
      </c>
      <c r="AG1352">
        <f>IF($AF1352=1,SUMPRODUCT(--($AJ$2:$AJ$1501&lt;$AJ1352))+1,"")</f>
        <v/>
      </c>
      <c r="AH1352">
        <f>IF($B1352="","",IF(OR($M1352=TRUE(),$M1352="TRUE"),1,0))</f>
        <v/>
      </c>
      <c r="AI1352">
        <f>IF($B1352="","",IF($V1352="Yes",1,0))</f>
        <v/>
      </c>
      <c r="AJ1352">
        <f>IF($AF1352=1,IFERROR(IF(VALUE($B1352)&lt;100000000,VALUE($B1352),1000000000),IFERROR(IF(VALUE(MID($B1352,2,20))&lt;100000000,VALUE(MID($B1352,2,20)),1000000000),1000000000))+ROW()/100000,"")</f>
        <v/>
      </c>
    </row>
    <row r="1353">
      <c r="C1353" s="11" t="n"/>
      <c r="J1353" s="7">
        <f>IF($B1353="","",I1353*Q1353/100)</f>
        <v/>
      </c>
      <c r="P1353" s="7" t="n"/>
      <c r="Q1353" s="7" t="n"/>
      <c r="R1353" s="7">
        <f>IF($B1353="","",Q1353*W1353/100)</f>
        <v/>
      </c>
      <c r="S1353" s="7">
        <f>IF($B1353="","",Q1353-R1353)</f>
        <v/>
      </c>
      <c r="T1353" s="7">
        <f>IF($B1353="","",S1353-J1353)</f>
        <v/>
      </c>
      <c r="W1353">
        <f>IF($B1353="","",IF($AI1353=1,0,IF($AH1353=1,Settings!$C$6,Settings!$C$7))*100)</f>
        <v/>
      </c>
      <c r="AA1353" s="7" t="n"/>
      <c r="AD1353" s="11" t="n"/>
      <c r="AF1353">
        <f>IF($B1353="","",IF(COUNTIF($B$2:$B1353,$B1353)=1,1,0))</f>
        <v/>
      </c>
      <c r="AG1353">
        <f>IF($AF1353=1,SUMPRODUCT(--($AJ$2:$AJ$1501&lt;$AJ1353))+1,"")</f>
        <v/>
      </c>
      <c r="AH1353">
        <f>IF($B1353="","",IF(OR($M1353=TRUE(),$M1353="TRUE"),1,0))</f>
        <v/>
      </c>
      <c r="AI1353">
        <f>IF($B1353="","",IF($V1353="Yes",1,0))</f>
        <v/>
      </c>
      <c r="AJ1353">
        <f>IF($AF1353=1,IFERROR(IF(VALUE($B1353)&lt;100000000,VALUE($B1353),1000000000),IFERROR(IF(VALUE(MID($B1353,2,20))&lt;100000000,VALUE(MID($B1353,2,20)),1000000000),1000000000))+ROW()/100000,"")</f>
        <v/>
      </c>
    </row>
    <row r="1354">
      <c r="C1354" s="11" t="n"/>
      <c r="J1354" s="7">
        <f>IF($B1354="","",I1354*Q1354/100)</f>
        <v/>
      </c>
      <c r="P1354" s="7" t="n"/>
      <c r="Q1354" s="7" t="n"/>
      <c r="R1354" s="7">
        <f>IF($B1354="","",Q1354*W1354/100)</f>
        <v/>
      </c>
      <c r="S1354" s="7">
        <f>IF($B1354="","",Q1354-R1354)</f>
        <v/>
      </c>
      <c r="T1354" s="7">
        <f>IF($B1354="","",S1354-J1354)</f>
        <v/>
      </c>
      <c r="W1354">
        <f>IF($B1354="","",IF($AI1354=1,0,IF($AH1354=1,Settings!$C$6,Settings!$C$7))*100)</f>
        <v/>
      </c>
      <c r="AA1354" s="7" t="n"/>
      <c r="AD1354" s="11" t="n"/>
      <c r="AF1354">
        <f>IF($B1354="","",IF(COUNTIF($B$2:$B1354,$B1354)=1,1,0))</f>
        <v/>
      </c>
      <c r="AG1354">
        <f>IF($AF1354=1,SUMPRODUCT(--($AJ$2:$AJ$1501&lt;$AJ1354))+1,"")</f>
        <v/>
      </c>
      <c r="AH1354">
        <f>IF($B1354="","",IF(OR($M1354=TRUE(),$M1354="TRUE"),1,0))</f>
        <v/>
      </c>
      <c r="AI1354">
        <f>IF($B1354="","",IF($V1354="Yes",1,0))</f>
        <v/>
      </c>
      <c r="AJ1354">
        <f>IF($AF1354=1,IFERROR(IF(VALUE($B1354)&lt;100000000,VALUE($B1354),1000000000),IFERROR(IF(VALUE(MID($B1354,2,20))&lt;100000000,VALUE(MID($B1354,2,20)),1000000000),1000000000))+ROW()/100000,"")</f>
        <v/>
      </c>
    </row>
    <row r="1355">
      <c r="C1355" s="11" t="n"/>
      <c r="J1355" s="7">
        <f>IF($B1355="","",I1355*Q1355/100)</f>
        <v/>
      </c>
      <c r="P1355" s="7" t="n"/>
      <c r="Q1355" s="7" t="n"/>
      <c r="R1355" s="7">
        <f>IF($B1355="","",Q1355*W1355/100)</f>
        <v/>
      </c>
      <c r="S1355" s="7">
        <f>IF($B1355="","",Q1355-R1355)</f>
        <v/>
      </c>
      <c r="T1355" s="7">
        <f>IF($B1355="","",S1355-J1355)</f>
        <v/>
      </c>
      <c r="W1355">
        <f>IF($B1355="","",IF($AI1355=1,0,IF($AH1355=1,Settings!$C$6,Settings!$C$7))*100)</f>
        <v/>
      </c>
      <c r="AA1355" s="7" t="n"/>
      <c r="AD1355" s="11" t="n"/>
      <c r="AF1355">
        <f>IF($B1355="","",IF(COUNTIF($B$2:$B1355,$B1355)=1,1,0))</f>
        <v/>
      </c>
      <c r="AG1355">
        <f>IF($AF1355=1,SUMPRODUCT(--($AJ$2:$AJ$1501&lt;$AJ1355))+1,"")</f>
        <v/>
      </c>
      <c r="AH1355">
        <f>IF($B1355="","",IF(OR($M1355=TRUE(),$M1355="TRUE"),1,0))</f>
        <v/>
      </c>
      <c r="AI1355">
        <f>IF($B1355="","",IF($V1355="Yes",1,0))</f>
        <v/>
      </c>
      <c r="AJ1355">
        <f>IF($AF1355=1,IFERROR(IF(VALUE($B1355)&lt;100000000,VALUE($B1355),1000000000),IFERROR(IF(VALUE(MID($B1355,2,20))&lt;100000000,VALUE(MID($B1355,2,20)),1000000000),1000000000))+ROW()/100000,"")</f>
        <v/>
      </c>
    </row>
    <row r="1356">
      <c r="C1356" s="11" t="n"/>
      <c r="J1356" s="7">
        <f>IF($B1356="","",I1356*Q1356/100)</f>
        <v/>
      </c>
      <c r="P1356" s="7" t="n"/>
      <c r="Q1356" s="7" t="n"/>
      <c r="R1356" s="7">
        <f>IF($B1356="","",Q1356*W1356/100)</f>
        <v/>
      </c>
      <c r="S1356" s="7">
        <f>IF($B1356="","",Q1356-R1356)</f>
        <v/>
      </c>
      <c r="T1356" s="7">
        <f>IF($B1356="","",S1356-J1356)</f>
        <v/>
      </c>
      <c r="W1356">
        <f>IF($B1356="","",IF($AI1356=1,0,IF($AH1356=1,Settings!$C$6,Settings!$C$7))*100)</f>
        <v/>
      </c>
      <c r="AA1356" s="7" t="n"/>
      <c r="AD1356" s="11" t="n"/>
      <c r="AF1356">
        <f>IF($B1356="","",IF(COUNTIF($B$2:$B1356,$B1356)=1,1,0))</f>
        <v/>
      </c>
      <c r="AG1356">
        <f>IF($AF1356=1,SUMPRODUCT(--($AJ$2:$AJ$1501&lt;$AJ1356))+1,"")</f>
        <v/>
      </c>
      <c r="AH1356">
        <f>IF($B1356="","",IF(OR($M1356=TRUE(),$M1356="TRUE"),1,0))</f>
        <v/>
      </c>
      <c r="AI1356">
        <f>IF($B1356="","",IF($V1356="Yes",1,0))</f>
        <v/>
      </c>
      <c r="AJ1356">
        <f>IF($AF1356=1,IFERROR(IF(VALUE($B1356)&lt;100000000,VALUE($B1356),1000000000),IFERROR(IF(VALUE(MID($B1356,2,20))&lt;100000000,VALUE(MID($B1356,2,20)),1000000000),1000000000))+ROW()/100000,"")</f>
        <v/>
      </c>
    </row>
    <row r="1357">
      <c r="C1357" s="11" t="n"/>
      <c r="J1357" s="7">
        <f>IF($B1357="","",I1357*Q1357/100)</f>
        <v/>
      </c>
      <c r="P1357" s="7" t="n"/>
      <c r="Q1357" s="7" t="n"/>
      <c r="R1357" s="7">
        <f>IF($B1357="","",Q1357*W1357/100)</f>
        <v/>
      </c>
      <c r="S1357" s="7">
        <f>IF($B1357="","",Q1357-R1357)</f>
        <v/>
      </c>
      <c r="T1357" s="7">
        <f>IF($B1357="","",S1357-J1357)</f>
        <v/>
      </c>
      <c r="W1357">
        <f>IF($B1357="","",IF($AI1357=1,0,IF($AH1357=1,Settings!$C$6,Settings!$C$7))*100)</f>
        <v/>
      </c>
      <c r="AA1357" s="7" t="n"/>
      <c r="AD1357" s="11" t="n"/>
      <c r="AF1357">
        <f>IF($B1357="","",IF(COUNTIF($B$2:$B1357,$B1357)=1,1,0))</f>
        <v/>
      </c>
      <c r="AG1357">
        <f>IF($AF1357=1,SUMPRODUCT(--($AJ$2:$AJ$1501&lt;$AJ1357))+1,"")</f>
        <v/>
      </c>
      <c r="AH1357">
        <f>IF($B1357="","",IF(OR($M1357=TRUE(),$M1357="TRUE"),1,0))</f>
        <v/>
      </c>
      <c r="AI1357">
        <f>IF($B1357="","",IF($V1357="Yes",1,0))</f>
        <v/>
      </c>
      <c r="AJ1357">
        <f>IF($AF1357=1,IFERROR(IF(VALUE($B1357)&lt;100000000,VALUE($B1357),1000000000),IFERROR(IF(VALUE(MID($B1357,2,20))&lt;100000000,VALUE(MID($B1357,2,20)),1000000000),1000000000))+ROW()/100000,"")</f>
        <v/>
      </c>
    </row>
    <row r="1358">
      <c r="C1358" s="11" t="n"/>
      <c r="J1358" s="7">
        <f>IF($B1358="","",I1358*Q1358/100)</f>
        <v/>
      </c>
      <c r="P1358" s="7" t="n"/>
      <c r="Q1358" s="7" t="n"/>
      <c r="R1358" s="7">
        <f>IF($B1358="","",Q1358*W1358/100)</f>
        <v/>
      </c>
      <c r="S1358" s="7">
        <f>IF($B1358="","",Q1358-R1358)</f>
        <v/>
      </c>
      <c r="T1358" s="7">
        <f>IF($B1358="","",S1358-J1358)</f>
        <v/>
      </c>
      <c r="W1358">
        <f>IF($B1358="","",IF($AI1358=1,0,IF($AH1358=1,Settings!$C$6,Settings!$C$7))*100)</f>
        <v/>
      </c>
      <c r="AA1358" s="7" t="n"/>
      <c r="AD1358" s="11" t="n"/>
      <c r="AF1358">
        <f>IF($B1358="","",IF(COUNTIF($B$2:$B1358,$B1358)=1,1,0))</f>
        <v/>
      </c>
      <c r="AG1358">
        <f>IF($AF1358=1,SUMPRODUCT(--($AJ$2:$AJ$1501&lt;$AJ1358))+1,"")</f>
        <v/>
      </c>
      <c r="AH1358">
        <f>IF($B1358="","",IF(OR($M1358=TRUE(),$M1358="TRUE"),1,0))</f>
        <v/>
      </c>
      <c r="AI1358">
        <f>IF($B1358="","",IF($V1358="Yes",1,0))</f>
        <v/>
      </c>
      <c r="AJ1358">
        <f>IF($AF1358=1,IFERROR(IF(VALUE($B1358)&lt;100000000,VALUE($B1358),1000000000),IFERROR(IF(VALUE(MID($B1358,2,20))&lt;100000000,VALUE(MID($B1358,2,20)),1000000000),1000000000))+ROW()/100000,"")</f>
        <v/>
      </c>
    </row>
    <row r="1359">
      <c r="C1359" s="11" t="n"/>
      <c r="J1359" s="7">
        <f>IF($B1359="","",I1359*Q1359/100)</f>
        <v/>
      </c>
      <c r="P1359" s="7" t="n"/>
      <c r="Q1359" s="7" t="n"/>
      <c r="R1359" s="7">
        <f>IF($B1359="","",Q1359*W1359/100)</f>
        <v/>
      </c>
      <c r="S1359" s="7">
        <f>IF($B1359="","",Q1359-R1359)</f>
        <v/>
      </c>
      <c r="T1359" s="7">
        <f>IF($B1359="","",S1359-J1359)</f>
        <v/>
      </c>
      <c r="W1359">
        <f>IF($B1359="","",IF($AI1359=1,0,IF($AH1359=1,Settings!$C$6,Settings!$C$7))*100)</f>
        <v/>
      </c>
      <c r="AA1359" s="7" t="n"/>
      <c r="AD1359" s="11" t="n"/>
      <c r="AF1359">
        <f>IF($B1359="","",IF(COUNTIF($B$2:$B1359,$B1359)=1,1,0))</f>
        <v/>
      </c>
      <c r="AG1359">
        <f>IF($AF1359=1,SUMPRODUCT(--($AJ$2:$AJ$1501&lt;$AJ1359))+1,"")</f>
        <v/>
      </c>
      <c r="AH1359">
        <f>IF($B1359="","",IF(OR($M1359=TRUE(),$M1359="TRUE"),1,0))</f>
        <v/>
      </c>
      <c r="AI1359">
        <f>IF($B1359="","",IF($V1359="Yes",1,0))</f>
        <v/>
      </c>
      <c r="AJ1359">
        <f>IF($AF1359=1,IFERROR(IF(VALUE($B1359)&lt;100000000,VALUE($B1359),1000000000),IFERROR(IF(VALUE(MID($B1359,2,20))&lt;100000000,VALUE(MID($B1359,2,20)),1000000000),1000000000))+ROW()/100000,"")</f>
        <v/>
      </c>
    </row>
    <row r="1360">
      <c r="C1360" s="11" t="n"/>
      <c r="J1360" s="7">
        <f>IF($B1360="","",I1360*Q1360/100)</f>
        <v/>
      </c>
      <c r="P1360" s="7" t="n"/>
      <c r="Q1360" s="7" t="n"/>
      <c r="R1360" s="7">
        <f>IF($B1360="","",Q1360*W1360/100)</f>
        <v/>
      </c>
      <c r="S1360" s="7">
        <f>IF($B1360="","",Q1360-R1360)</f>
        <v/>
      </c>
      <c r="T1360" s="7">
        <f>IF($B1360="","",S1360-J1360)</f>
        <v/>
      </c>
      <c r="W1360">
        <f>IF($B1360="","",IF($AI1360=1,0,IF($AH1360=1,Settings!$C$6,Settings!$C$7))*100)</f>
        <v/>
      </c>
      <c r="AA1360" s="7" t="n"/>
      <c r="AD1360" s="11" t="n"/>
      <c r="AF1360">
        <f>IF($B1360="","",IF(COUNTIF($B$2:$B1360,$B1360)=1,1,0))</f>
        <v/>
      </c>
      <c r="AG1360">
        <f>IF($AF1360=1,SUMPRODUCT(--($AJ$2:$AJ$1501&lt;$AJ1360))+1,"")</f>
        <v/>
      </c>
      <c r="AH1360">
        <f>IF($B1360="","",IF(OR($M1360=TRUE(),$M1360="TRUE"),1,0))</f>
        <v/>
      </c>
      <c r="AI1360">
        <f>IF($B1360="","",IF($V1360="Yes",1,0))</f>
        <v/>
      </c>
      <c r="AJ1360">
        <f>IF($AF1360=1,IFERROR(IF(VALUE($B1360)&lt;100000000,VALUE($B1360),1000000000),IFERROR(IF(VALUE(MID($B1360,2,20))&lt;100000000,VALUE(MID($B1360,2,20)),1000000000),1000000000))+ROW()/100000,"")</f>
        <v/>
      </c>
    </row>
    <row r="1361">
      <c r="C1361" s="11" t="n"/>
      <c r="J1361" s="7">
        <f>IF($B1361="","",I1361*Q1361/100)</f>
        <v/>
      </c>
      <c r="P1361" s="7" t="n"/>
      <c r="Q1361" s="7" t="n"/>
      <c r="R1361" s="7">
        <f>IF($B1361="","",Q1361*W1361/100)</f>
        <v/>
      </c>
      <c r="S1361" s="7">
        <f>IF($B1361="","",Q1361-R1361)</f>
        <v/>
      </c>
      <c r="T1361" s="7">
        <f>IF($B1361="","",S1361-J1361)</f>
        <v/>
      </c>
      <c r="W1361">
        <f>IF($B1361="","",IF($AI1361=1,0,IF($AH1361=1,Settings!$C$6,Settings!$C$7))*100)</f>
        <v/>
      </c>
      <c r="AA1361" s="7" t="n"/>
      <c r="AD1361" s="11" t="n"/>
      <c r="AF1361">
        <f>IF($B1361="","",IF(COUNTIF($B$2:$B1361,$B1361)=1,1,0))</f>
        <v/>
      </c>
      <c r="AG1361">
        <f>IF($AF1361=1,SUMPRODUCT(--($AJ$2:$AJ$1501&lt;$AJ1361))+1,"")</f>
        <v/>
      </c>
      <c r="AH1361">
        <f>IF($B1361="","",IF(OR($M1361=TRUE(),$M1361="TRUE"),1,0))</f>
        <v/>
      </c>
      <c r="AI1361">
        <f>IF($B1361="","",IF($V1361="Yes",1,0))</f>
        <v/>
      </c>
      <c r="AJ1361">
        <f>IF($AF1361=1,IFERROR(IF(VALUE($B1361)&lt;100000000,VALUE($B1361),1000000000),IFERROR(IF(VALUE(MID($B1361,2,20))&lt;100000000,VALUE(MID($B1361,2,20)),1000000000),1000000000))+ROW()/100000,"")</f>
        <v/>
      </c>
    </row>
    <row r="1362">
      <c r="C1362" s="11" t="n"/>
      <c r="J1362" s="7">
        <f>IF($B1362="","",I1362*Q1362/100)</f>
        <v/>
      </c>
      <c r="P1362" s="7" t="n"/>
      <c r="Q1362" s="7" t="n"/>
      <c r="R1362" s="7">
        <f>IF($B1362="","",Q1362*W1362/100)</f>
        <v/>
      </c>
      <c r="S1362" s="7">
        <f>IF($B1362="","",Q1362-R1362)</f>
        <v/>
      </c>
      <c r="T1362" s="7">
        <f>IF($B1362="","",S1362-J1362)</f>
        <v/>
      </c>
      <c r="W1362">
        <f>IF($B1362="","",IF($AI1362=1,0,IF($AH1362=1,Settings!$C$6,Settings!$C$7))*100)</f>
        <v/>
      </c>
      <c r="AA1362" s="7" t="n"/>
      <c r="AD1362" s="11" t="n"/>
      <c r="AF1362">
        <f>IF($B1362="","",IF(COUNTIF($B$2:$B1362,$B1362)=1,1,0))</f>
        <v/>
      </c>
      <c r="AG1362">
        <f>IF($AF1362=1,SUMPRODUCT(--($AJ$2:$AJ$1501&lt;$AJ1362))+1,"")</f>
        <v/>
      </c>
      <c r="AH1362">
        <f>IF($B1362="","",IF(OR($M1362=TRUE(),$M1362="TRUE"),1,0))</f>
        <v/>
      </c>
      <c r="AI1362">
        <f>IF($B1362="","",IF($V1362="Yes",1,0))</f>
        <v/>
      </c>
      <c r="AJ1362">
        <f>IF($AF1362=1,IFERROR(IF(VALUE($B1362)&lt;100000000,VALUE($B1362),1000000000),IFERROR(IF(VALUE(MID($B1362,2,20))&lt;100000000,VALUE(MID($B1362,2,20)),1000000000),1000000000))+ROW()/100000,"")</f>
        <v/>
      </c>
    </row>
    <row r="1363">
      <c r="C1363" s="11" t="n"/>
      <c r="J1363" s="7">
        <f>IF($B1363="","",I1363*Q1363/100)</f>
        <v/>
      </c>
      <c r="P1363" s="7" t="n"/>
      <c r="Q1363" s="7" t="n"/>
      <c r="R1363" s="7">
        <f>IF($B1363="","",Q1363*W1363/100)</f>
        <v/>
      </c>
      <c r="S1363" s="7">
        <f>IF($B1363="","",Q1363-R1363)</f>
        <v/>
      </c>
      <c r="T1363" s="7">
        <f>IF($B1363="","",S1363-J1363)</f>
        <v/>
      </c>
      <c r="W1363">
        <f>IF($B1363="","",IF($AI1363=1,0,IF($AH1363=1,Settings!$C$6,Settings!$C$7))*100)</f>
        <v/>
      </c>
      <c r="AA1363" s="7" t="n"/>
      <c r="AD1363" s="11" t="n"/>
      <c r="AF1363">
        <f>IF($B1363="","",IF(COUNTIF($B$2:$B1363,$B1363)=1,1,0))</f>
        <v/>
      </c>
      <c r="AG1363">
        <f>IF($AF1363=1,SUMPRODUCT(--($AJ$2:$AJ$1501&lt;$AJ1363))+1,"")</f>
        <v/>
      </c>
      <c r="AH1363">
        <f>IF($B1363="","",IF(OR($M1363=TRUE(),$M1363="TRUE"),1,0))</f>
        <v/>
      </c>
      <c r="AI1363">
        <f>IF($B1363="","",IF($V1363="Yes",1,0))</f>
        <v/>
      </c>
      <c r="AJ1363">
        <f>IF($AF1363=1,IFERROR(IF(VALUE($B1363)&lt;100000000,VALUE($B1363),1000000000),IFERROR(IF(VALUE(MID($B1363,2,20))&lt;100000000,VALUE(MID($B1363,2,20)),1000000000),1000000000))+ROW()/100000,"")</f>
        <v/>
      </c>
    </row>
    <row r="1364">
      <c r="C1364" s="11" t="n"/>
      <c r="J1364" s="7">
        <f>IF($B1364="","",I1364*Q1364/100)</f>
        <v/>
      </c>
      <c r="P1364" s="7" t="n"/>
      <c r="Q1364" s="7" t="n"/>
      <c r="R1364" s="7">
        <f>IF($B1364="","",Q1364*W1364/100)</f>
        <v/>
      </c>
      <c r="S1364" s="7">
        <f>IF($B1364="","",Q1364-R1364)</f>
        <v/>
      </c>
      <c r="T1364" s="7">
        <f>IF($B1364="","",S1364-J1364)</f>
        <v/>
      </c>
      <c r="W1364">
        <f>IF($B1364="","",IF($AI1364=1,0,IF($AH1364=1,Settings!$C$6,Settings!$C$7))*100)</f>
        <v/>
      </c>
      <c r="AA1364" s="7" t="n"/>
      <c r="AD1364" s="11" t="n"/>
      <c r="AF1364">
        <f>IF($B1364="","",IF(COUNTIF($B$2:$B1364,$B1364)=1,1,0))</f>
        <v/>
      </c>
      <c r="AG1364">
        <f>IF($AF1364=1,SUMPRODUCT(--($AJ$2:$AJ$1501&lt;$AJ1364))+1,"")</f>
        <v/>
      </c>
      <c r="AH1364">
        <f>IF($B1364="","",IF(OR($M1364=TRUE(),$M1364="TRUE"),1,0))</f>
        <v/>
      </c>
      <c r="AI1364">
        <f>IF($B1364="","",IF($V1364="Yes",1,0))</f>
        <v/>
      </c>
      <c r="AJ1364">
        <f>IF($AF1364=1,IFERROR(IF(VALUE($B1364)&lt;100000000,VALUE($B1364),1000000000),IFERROR(IF(VALUE(MID($B1364,2,20))&lt;100000000,VALUE(MID($B1364,2,20)),1000000000),1000000000))+ROW()/100000,"")</f>
        <v/>
      </c>
    </row>
    <row r="1365">
      <c r="C1365" s="11" t="n"/>
      <c r="J1365" s="7">
        <f>IF($B1365="","",I1365*Q1365/100)</f>
        <v/>
      </c>
      <c r="P1365" s="7" t="n"/>
      <c r="Q1365" s="7" t="n"/>
      <c r="R1365" s="7">
        <f>IF($B1365="","",Q1365*W1365/100)</f>
        <v/>
      </c>
      <c r="S1365" s="7">
        <f>IF($B1365="","",Q1365-R1365)</f>
        <v/>
      </c>
      <c r="T1365" s="7">
        <f>IF($B1365="","",S1365-J1365)</f>
        <v/>
      </c>
      <c r="W1365">
        <f>IF($B1365="","",IF($AI1365=1,0,IF($AH1365=1,Settings!$C$6,Settings!$C$7))*100)</f>
        <v/>
      </c>
      <c r="AA1365" s="7" t="n"/>
      <c r="AD1365" s="11" t="n"/>
      <c r="AF1365">
        <f>IF($B1365="","",IF(COUNTIF($B$2:$B1365,$B1365)=1,1,0))</f>
        <v/>
      </c>
      <c r="AG1365">
        <f>IF($AF1365=1,SUMPRODUCT(--($AJ$2:$AJ$1501&lt;$AJ1365))+1,"")</f>
        <v/>
      </c>
      <c r="AH1365">
        <f>IF($B1365="","",IF(OR($M1365=TRUE(),$M1365="TRUE"),1,0))</f>
        <v/>
      </c>
      <c r="AI1365">
        <f>IF($B1365="","",IF($V1365="Yes",1,0))</f>
        <v/>
      </c>
      <c r="AJ1365">
        <f>IF($AF1365=1,IFERROR(IF(VALUE($B1365)&lt;100000000,VALUE($B1365),1000000000),IFERROR(IF(VALUE(MID($B1365,2,20))&lt;100000000,VALUE(MID($B1365,2,20)),1000000000),1000000000))+ROW()/100000,"")</f>
        <v/>
      </c>
    </row>
    <row r="1366">
      <c r="C1366" s="11" t="n"/>
      <c r="J1366" s="7">
        <f>IF($B1366="","",I1366*Q1366/100)</f>
        <v/>
      </c>
      <c r="P1366" s="7" t="n"/>
      <c r="Q1366" s="7" t="n"/>
      <c r="R1366" s="7">
        <f>IF($B1366="","",Q1366*W1366/100)</f>
        <v/>
      </c>
      <c r="S1366" s="7">
        <f>IF($B1366="","",Q1366-R1366)</f>
        <v/>
      </c>
      <c r="T1366" s="7">
        <f>IF($B1366="","",S1366-J1366)</f>
        <v/>
      </c>
      <c r="W1366">
        <f>IF($B1366="","",IF($AI1366=1,0,IF($AH1366=1,Settings!$C$6,Settings!$C$7))*100)</f>
        <v/>
      </c>
      <c r="AA1366" s="7" t="n"/>
      <c r="AD1366" s="11" t="n"/>
      <c r="AF1366">
        <f>IF($B1366="","",IF(COUNTIF($B$2:$B1366,$B1366)=1,1,0))</f>
        <v/>
      </c>
      <c r="AG1366">
        <f>IF($AF1366=1,SUMPRODUCT(--($AJ$2:$AJ$1501&lt;$AJ1366))+1,"")</f>
        <v/>
      </c>
      <c r="AH1366">
        <f>IF($B1366="","",IF(OR($M1366=TRUE(),$M1366="TRUE"),1,0))</f>
        <v/>
      </c>
      <c r="AI1366">
        <f>IF($B1366="","",IF($V1366="Yes",1,0))</f>
        <v/>
      </c>
      <c r="AJ1366">
        <f>IF($AF1366=1,IFERROR(IF(VALUE($B1366)&lt;100000000,VALUE($B1366),1000000000),IFERROR(IF(VALUE(MID($B1366,2,20))&lt;100000000,VALUE(MID($B1366,2,20)),1000000000),1000000000))+ROW()/100000,"")</f>
        <v/>
      </c>
    </row>
    <row r="1367">
      <c r="C1367" s="11" t="n"/>
      <c r="J1367" s="7">
        <f>IF($B1367="","",I1367*Q1367/100)</f>
        <v/>
      </c>
      <c r="P1367" s="7" t="n"/>
      <c r="Q1367" s="7" t="n"/>
      <c r="R1367" s="7">
        <f>IF($B1367="","",Q1367*W1367/100)</f>
        <v/>
      </c>
      <c r="S1367" s="7">
        <f>IF($B1367="","",Q1367-R1367)</f>
        <v/>
      </c>
      <c r="T1367" s="7">
        <f>IF($B1367="","",S1367-J1367)</f>
        <v/>
      </c>
      <c r="W1367">
        <f>IF($B1367="","",IF($AI1367=1,0,IF($AH1367=1,Settings!$C$6,Settings!$C$7))*100)</f>
        <v/>
      </c>
      <c r="AA1367" s="7" t="n"/>
      <c r="AD1367" s="11" t="n"/>
      <c r="AF1367">
        <f>IF($B1367="","",IF(COUNTIF($B$2:$B1367,$B1367)=1,1,0))</f>
        <v/>
      </c>
      <c r="AG1367">
        <f>IF($AF1367=1,SUMPRODUCT(--($AJ$2:$AJ$1501&lt;$AJ1367))+1,"")</f>
        <v/>
      </c>
      <c r="AH1367">
        <f>IF($B1367="","",IF(OR($M1367=TRUE(),$M1367="TRUE"),1,0))</f>
        <v/>
      </c>
      <c r="AI1367">
        <f>IF($B1367="","",IF($V1367="Yes",1,0))</f>
        <v/>
      </c>
      <c r="AJ1367">
        <f>IF($AF1367=1,IFERROR(IF(VALUE($B1367)&lt;100000000,VALUE($B1367),1000000000),IFERROR(IF(VALUE(MID($B1367,2,20))&lt;100000000,VALUE(MID($B1367,2,20)),1000000000),1000000000))+ROW()/100000,"")</f>
        <v/>
      </c>
    </row>
    <row r="1368">
      <c r="C1368" s="11" t="n"/>
      <c r="J1368" s="7">
        <f>IF($B1368="","",I1368*Q1368/100)</f>
        <v/>
      </c>
      <c r="P1368" s="7" t="n"/>
      <c r="Q1368" s="7" t="n"/>
      <c r="R1368" s="7">
        <f>IF($B1368="","",Q1368*W1368/100)</f>
        <v/>
      </c>
      <c r="S1368" s="7">
        <f>IF($B1368="","",Q1368-R1368)</f>
        <v/>
      </c>
      <c r="T1368" s="7">
        <f>IF($B1368="","",S1368-J1368)</f>
        <v/>
      </c>
      <c r="W1368">
        <f>IF($B1368="","",IF($AI1368=1,0,IF($AH1368=1,Settings!$C$6,Settings!$C$7))*100)</f>
        <v/>
      </c>
      <c r="AA1368" s="7" t="n"/>
      <c r="AD1368" s="11" t="n"/>
      <c r="AF1368">
        <f>IF($B1368="","",IF(COUNTIF($B$2:$B1368,$B1368)=1,1,0))</f>
        <v/>
      </c>
      <c r="AG1368">
        <f>IF($AF1368=1,SUMPRODUCT(--($AJ$2:$AJ$1501&lt;$AJ1368))+1,"")</f>
        <v/>
      </c>
      <c r="AH1368">
        <f>IF($B1368="","",IF(OR($M1368=TRUE(),$M1368="TRUE"),1,0))</f>
        <v/>
      </c>
      <c r="AI1368">
        <f>IF($B1368="","",IF($V1368="Yes",1,0))</f>
        <v/>
      </c>
      <c r="AJ1368">
        <f>IF($AF1368=1,IFERROR(IF(VALUE($B1368)&lt;100000000,VALUE($B1368),1000000000),IFERROR(IF(VALUE(MID($B1368,2,20))&lt;100000000,VALUE(MID($B1368,2,20)),1000000000),1000000000))+ROW()/100000,"")</f>
        <v/>
      </c>
    </row>
    <row r="1369">
      <c r="C1369" s="11" t="n"/>
      <c r="J1369" s="7">
        <f>IF($B1369="","",I1369*Q1369/100)</f>
        <v/>
      </c>
      <c r="P1369" s="7" t="n"/>
      <c r="Q1369" s="7" t="n"/>
      <c r="R1369" s="7">
        <f>IF($B1369="","",Q1369*W1369/100)</f>
        <v/>
      </c>
      <c r="S1369" s="7">
        <f>IF($B1369="","",Q1369-R1369)</f>
        <v/>
      </c>
      <c r="T1369" s="7">
        <f>IF($B1369="","",S1369-J1369)</f>
        <v/>
      </c>
      <c r="W1369">
        <f>IF($B1369="","",IF($AI1369=1,0,IF($AH1369=1,Settings!$C$6,Settings!$C$7))*100)</f>
        <v/>
      </c>
      <c r="AA1369" s="7" t="n"/>
      <c r="AD1369" s="11" t="n"/>
      <c r="AF1369">
        <f>IF($B1369="","",IF(COUNTIF($B$2:$B1369,$B1369)=1,1,0))</f>
        <v/>
      </c>
      <c r="AG1369">
        <f>IF($AF1369=1,SUMPRODUCT(--($AJ$2:$AJ$1501&lt;$AJ1369))+1,"")</f>
        <v/>
      </c>
      <c r="AH1369">
        <f>IF($B1369="","",IF(OR($M1369=TRUE(),$M1369="TRUE"),1,0))</f>
        <v/>
      </c>
      <c r="AI1369">
        <f>IF($B1369="","",IF($V1369="Yes",1,0))</f>
        <v/>
      </c>
      <c r="AJ1369">
        <f>IF($AF1369=1,IFERROR(IF(VALUE($B1369)&lt;100000000,VALUE($B1369),1000000000),IFERROR(IF(VALUE(MID($B1369,2,20))&lt;100000000,VALUE(MID($B1369,2,20)),1000000000),1000000000))+ROW()/100000,"")</f>
        <v/>
      </c>
    </row>
    <row r="1370">
      <c r="C1370" s="11" t="n"/>
      <c r="J1370" s="7">
        <f>IF($B1370="","",I1370*Q1370/100)</f>
        <v/>
      </c>
      <c r="P1370" s="7" t="n"/>
      <c r="Q1370" s="7" t="n"/>
      <c r="R1370" s="7">
        <f>IF($B1370="","",Q1370*W1370/100)</f>
        <v/>
      </c>
      <c r="S1370" s="7">
        <f>IF($B1370="","",Q1370-R1370)</f>
        <v/>
      </c>
      <c r="T1370" s="7">
        <f>IF($B1370="","",S1370-J1370)</f>
        <v/>
      </c>
      <c r="W1370">
        <f>IF($B1370="","",IF($AI1370=1,0,IF($AH1370=1,Settings!$C$6,Settings!$C$7))*100)</f>
        <v/>
      </c>
      <c r="AA1370" s="7" t="n"/>
      <c r="AD1370" s="11" t="n"/>
      <c r="AF1370">
        <f>IF($B1370="","",IF(COUNTIF($B$2:$B1370,$B1370)=1,1,0))</f>
        <v/>
      </c>
      <c r="AG1370">
        <f>IF($AF1370=1,SUMPRODUCT(--($AJ$2:$AJ$1501&lt;$AJ1370))+1,"")</f>
        <v/>
      </c>
      <c r="AH1370">
        <f>IF($B1370="","",IF(OR($M1370=TRUE(),$M1370="TRUE"),1,0))</f>
        <v/>
      </c>
      <c r="AI1370">
        <f>IF($B1370="","",IF($V1370="Yes",1,0))</f>
        <v/>
      </c>
      <c r="AJ1370">
        <f>IF($AF1370=1,IFERROR(IF(VALUE($B1370)&lt;100000000,VALUE($B1370),1000000000),IFERROR(IF(VALUE(MID($B1370,2,20))&lt;100000000,VALUE(MID($B1370,2,20)),1000000000),1000000000))+ROW()/100000,"")</f>
        <v/>
      </c>
    </row>
    <row r="1371">
      <c r="C1371" s="11" t="n"/>
      <c r="J1371" s="7">
        <f>IF($B1371="","",I1371*Q1371/100)</f>
        <v/>
      </c>
      <c r="P1371" s="7" t="n"/>
      <c r="Q1371" s="7" t="n"/>
      <c r="R1371" s="7">
        <f>IF($B1371="","",Q1371*W1371/100)</f>
        <v/>
      </c>
      <c r="S1371" s="7">
        <f>IF($B1371="","",Q1371-R1371)</f>
        <v/>
      </c>
      <c r="T1371" s="7">
        <f>IF($B1371="","",S1371-J1371)</f>
        <v/>
      </c>
      <c r="W1371">
        <f>IF($B1371="","",IF($AI1371=1,0,IF($AH1371=1,Settings!$C$6,Settings!$C$7))*100)</f>
        <v/>
      </c>
      <c r="AA1371" s="7" t="n"/>
      <c r="AD1371" s="11" t="n"/>
      <c r="AF1371">
        <f>IF($B1371="","",IF(COUNTIF($B$2:$B1371,$B1371)=1,1,0))</f>
        <v/>
      </c>
      <c r="AG1371">
        <f>IF($AF1371=1,SUMPRODUCT(--($AJ$2:$AJ$1501&lt;$AJ1371))+1,"")</f>
        <v/>
      </c>
      <c r="AH1371">
        <f>IF($B1371="","",IF(OR($M1371=TRUE(),$M1371="TRUE"),1,0))</f>
        <v/>
      </c>
      <c r="AI1371">
        <f>IF($B1371="","",IF($V1371="Yes",1,0))</f>
        <v/>
      </c>
      <c r="AJ1371">
        <f>IF($AF1371=1,IFERROR(IF(VALUE($B1371)&lt;100000000,VALUE($B1371),1000000000),IFERROR(IF(VALUE(MID($B1371,2,20))&lt;100000000,VALUE(MID($B1371,2,20)),1000000000),1000000000))+ROW()/100000,"")</f>
        <v/>
      </c>
    </row>
    <row r="1372">
      <c r="C1372" s="11" t="n"/>
      <c r="J1372" s="7">
        <f>IF($B1372="","",I1372*Q1372/100)</f>
        <v/>
      </c>
      <c r="P1372" s="7" t="n"/>
      <c r="Q1372" s="7" t="n"/>
      <c r="R1372" s="7">
        <f>IF($B1372="","",Q1372*W1372/100)</f>
        <v/>
      </c>
      <c r="S1372" s="7">
        <f>IF($B1372="","",Q1372-R1372)</f>
        <v/>
      </c>
      <c r="T1372" s="7">
        <f>IF($B1372="","",S1372-J1372)</f>
        <v/>
      </c>
      <c r="W1372">
        <f>IF($B1372="","",IF($AI1372=1,0,IF($AH1372=1,Settings!$C$6,Settings!$C$7))*100)</f>
        <v/>
      </c>
      <c r="AA1372" s="7" t="n"/>
      <c r="AD1372" s="11" t="n"/>
      <c r="AF1372">
        <f>IF($B1372="","",IF(COUNTIF($B$2:$B1372,$B1372)=1,1,0))</f>
        <v/>
      </c>
      <c r="AG1372">
        <f>IF($AF1372=1,SUMPRODUCT(--($AJ$2:$AJ$1501&lt;$AJ1372))+1,"")</f>
        <v/>
      </c>
      <c r="AH1372">
        <f>IF($B1372="","",IF(OR($M1372=TRUE(),$M1372="TRUE"),1,0))</f>
        <v/>
      </c>
      <c r="AI1372">
        <f>IF($B1372="","",IF($V1372="Yes",1,0))</f>
        <v/>
      </c>
      <c r="AJ1372">
        <f>IF($AF1372=1,IFERROR(IF(VALUE($B1372)&lt;100000000,VALUE($B1372),1000000000),IFERROR(IF(VALUE(MID($B1372,2,20))&lt;100000000,VALUE(MID($B1372,2,20)),1000000000),1000000000))+ROW()/100000,"")</f>
        <v/>
      </c>
    </row>
    <row r="1373">
      <c r="C1373" s="11" t="n"/>
      <c r="J1373" s="7">
        <f>IF($B1373="","",I1373*Q1373/100)</f>
        <v/>
      </c>
      <c r="P1373" s="7" t="n"/>
      <c r="Q1373" s="7" t="n"/>
      <c r="R1373" s="7">
        <f>IF($B1373="","",Q1373*W1373/100)</f>
        <v/>
      </c>
      <c r="S1373" s="7">
        <f>IF($B1373="","",Q1373-R1373)</f>
        <v/>
      </c>
      <c r="T1373" s="7">
        <f>IF($B1373="","",S1373-J1373)</f>
        <v/>
      </c>
      <c r="W1373">
        <f>IF($B1373="","",IF($AI1373=1,0,IF($AH1373=1,Settings!$C$6,Settings!$C$7))*100)</f>
        <v/>
      </c>
      <c r="AA1373" s="7" t="n"/>
      <c r="AD1373" s="11" t="n"/>
      <c r="AF1373">
        <f>IF($B1373="","",IF(COUNTIF($B$2:$B1373,$B1373)=1,1,0))</f>
        <v/>
      </c>
      <c r="AG1373">
        <f>IF($AF1373=1,SUMPRODUCT(--($AJ$2:$AJ$1501&lt;$AJ1373))+1,"")</f>
        <v/>
      </c>
      <c r="AH1373">
        <f>IF($B1373="","",IF(OR($M1373=TRUE(),$M1373="TRUE"),1,0))</f>
        <v/>
      </c>
      <c r="AI1373">
        <f>IF($B1373="","",IF($V1373="Yes",1,0))</f>
        <v/>
      </c>
      <c r="AJ1373">
        <f>IF($AF1373=1,IFERROR(IF(VALUE($B1373)&lt;100000000,VALUE($B1373),1000000000),IFERROR(IF(VALUE(MID($B1373,2,20))&lt;100000000,VALUE(MID($B1373,2,20)),1000000000),1000000000))+ROW()/100000,"")</f>
        <v/>
      </c>
    </row>
    <row r="1374">
      <c r="C1374" s="11" t="n"/>
      <c r="J1374" s="7">
        <f>IF($B1374="","",I1374*Q1374/100)</f>
        <v/>
      </c>
      <c r="P1374" s="7" t="n"/>
      <c r="Q1374" s="7" t="n"/>
      <c r="R1374" s="7">
        <f>IF($B1374="","",Q1374*W1374/100)</f>
        <v/>
      </c>
      <c r="S1374" s="7">
        <f>IF($B1374="","",Q1374-R1374)</f>
        <v/>
      </c>
      <c r="T1374" s="7">
        <f>IF($B1374="","",S1374-J1374)</f>
        <v/>
      </c>
      <c r="W1374">
        <f>IF($B1374="","",IF($AI1374=1,0,IF($AH1374=1,Settings!$C$6,Settings!$C$7))*100)</f>
        <v/>
      </c>
      <c r="AA1374" s="7" t="n"/>
      <c r="AD1374" s="11" t="n"/>
      <c r="AF1374">
        <f>IF($B1374="","",IF(COUNTIF($B$2:$B1374,$B1374)=1,1,0))</f>
        <v/>
      </c>
      <c r="AG1374">
        <f>IF($AF1374=1,SUMPRODUCT(--($AJ$2:$AJ$1501&lt;$AJ1374))+1,"")</f>
        <v/>
      </c>
      <c r="AH1374">
        <f>IF($B1374="","",IF(OR($M1374=TRUE(),$M1374="TRUE"),1,0))</f>
        <v/>
      </c>
      <c r="AI1374">
        <f>IF($B1374="","",IF($V1374="Yes",1,0))</f>
        <v/>
      </c>
      <c r="AJ1374">
        <f>IF($AF1374=1,IFERROR(IF(VALUE($B1374)&lt;100000000,VALUE($B1374),1000000000),IFERROR(IF(VALUE(MID($B1374,2,20))&lt;100000000,VALUE(MID($B1374,2,20)),1000000000),1000000000))+ROW()/100000,"")</f>
        <v/>
      </c>
    </row>
    <row r="1375">
      <c r="C1375" s="11" t="n"/>
      <c r="J1375" s="7">
        <f>IF($B1375="","",I1375*Q1375/100)</f>
        <v/>
      </c>
      <c r="P1375" s="7" t="n"/>
      <c r="Q1375" s="7" t="n"/>
      <c r="R1375" s="7">
        <f>IF($B1375="","",Q1375*W1375/100)</f>
        <v/>
      </c>
      <c r="S1375" s="7">
        <f>IF($B1375="","",Q1375-R1375)</f>
        <v/>
      </c>
      <c r="T1375" s="7">
        <f>IF($B1375="","",S1375-J1375)</f>
        <v/>
      </c>
      <c r="W1375">
        <f>IF($B1375="","",IF($AI1375=1,0,IF($AH1375=1,Settings!$C$6,Settings!$C$7))*100)</f>
        <v/>
      </c>
      <c r="AA1375" s="7" t="n"/>
      <c r="AD1375" s="11" t="n"/>
      <c r="AF1375">
        <f>IF($B1375="","",IF(COUNTIF($B$2:$B1375,$B1375)=1,1,0))</f>
        <v/>
      </c>
      <c r="AG1375">
        <f>IF($AF1375=1,SUMPRODUCT(--($AJ$2:$AJ$1501&lt;$AJ1375))+1,"")</f>
        <v/>
      </c>
      <c r="AH1375">
        <f>IF($B1375="","",IF(OR($M1375=TRUE(),$M1375="TRUE"),1,0))</f>
        <v/>
      </c>
      <c r="AI1375">
        <f>IF($B1375="","",IF($V1375="Yes",1,0))</f>
        <v/>
      </c>
      <c r="AJ1375">
        <f>IF($AF1375=1,IFERROR(IF(VALUE($B1375)&lt;100000000,VALUE($B1375),1000000000),IFERROR(IF(VALUE(MID($B1375,2,20))&lt;100000000,VALUE(MID($B1375,2,20)),1000000000),1000000000))+ROW()/100000,"")</f>
        <v/>
      </c>
    </row>
    <row r="1376">
      <c r="C1376" s="11" t="n"/>
      <c r="J1376" s="7">
        <f>IF($B1376="","",I1376*Q1376/100)</f>
        <v/>
      </c>
      <c r="P1376" s="7" t="n"/>
      <c r="Q1376" s="7" t="n"/>
      <c r="R1376" s="7">
        <f>IF($B1376="","",Q1376*W1376/100)</f>
        <v/>
      </c>
      <c r="S1376" s="7">
        <f>IF($B1376="","",Q1376-R1376)</f>
        <v/>
      </c>
      <c r="T1376" s="7">
        <f>IF($B1376="","",S1376-J1376)</f>
        <v/>
      </c>
      <c r="W1376">
        <f>IF($B1376="","",IF($AI1376=1,0,IF($AH1376=1,Settings!$C$6,Settings!$C$7))*100)</f>
        <v/>
      </c>
      <c r="AA1376" s="7" t="n"/>
      <c r="AD1376" s="11" t="n"/>
      <c r="AF1376">
        <f>IF($B1376="","",IF(COUNTIF($B$2:$B1376,$B1376)=1,1,0))</f>
        <v/>
      </c>
      <c r="AG1376">
        <f>IF($AF1376=1,SUMPRODUCT(--($AJ$2:$AJ$1501&lt;$AJ1376))+1,"")</f>
        <v/>
      </c>
      <c r="AH1376">
        <f>IF($B1376="","",IF(OR($M1376=TRUE(),$M1376="TRUE"),1,0))</f>
        <v/>
      </c>
      <c r="AI1376">
        <f>IF($B1376="","",IF($V1376="Yes",1,0))</f>
        <v/>
      </c>
      <c r="AJ1376">
        <f>IF($AF1376=1,IFERROR(IF(VALUE($B1376)&lt;100000000,VALUE($B1376),1000000000),IFERROR(IF(VALUE(MID($B1376,2,20))&lt;100000000,VALUE(MID($B1376,2,20)),1000000000),1000000000))+ROW()/100000,"")</f>
        <v/>
      </c>
    </row>
    <row r="1377">
      <c r="C1377" s="11" t="n"/>
      <c r="J1377" s="7">
        <f>IF($B1377="","",I1377*Q1377/100)</f>
        <v/>
      </c>
      <c r="P1377" s="7" t="n"/>
      <c r="Q1377" s="7" t="n"/>
      <c r="R1377" s="7">
        <f>IF($B1377="","",Q1377*W1377/100)</f>
        <v/>
      </c>
      <c r="S1377" s="7">
        <f>IF($B1377="","",Q1377-R1377)</f>
        <v/>
      </c>
      <c r="T1377" s="7">
        <f>IF($B1377="","",S1377-J1377)</f>
        <v/>
      </c>
      <c r="W1377">
        <f>IF($B1377="","",IF($AI1377=1,0,IF($AH1377=1,Settings!$C$6,Settings!$C$7))*100)</f>
        <v/>
      </c>
      <c r="AA1377" s="7" t="n"/>
      <c r="AD1377" s="11" t="n"/>
      <c r="AF1377">
        <f>IF($B1377="","",IF(COUNTIF($B$2:$B1377,$B1377)=1,1,0))</f>
        <v/>
      </c>
      <c r="AG1377">
        <f>IF($AF1377=1,SUMPRODUCT(--($AJ$2:$AJ$1501&lt;$AJ1377))+1,"")</f>
        <v/>
      </c>
      <c r="AH1377">
        <f>IF($B1377="","",IF(OR($M1377=TRUE(),$M1377="TRUE"),1,0))</f>
        <v/>
      </c>
      <c r="AI1377">
        <f>IF($B1377="","",IF($V1377="Yes",1,0))</f>
        <v/>
      </c>
      <c r="AJ1377">
        <f>IF($AF1377=1,IFERROR(IF(VALUE($B1377)&lt;100000000,VALUE($B1377),1000000000),IFERROR(IF(VALUE(MID($B1377,2,20))&lt;100000000,VALUE(MID($B1377,2,20)),1000000000),1000000000))+ROW()/100000,"")</f>
        <v/>
      </c>
    </row>
    <row r="1378">
      <c r="C1378" s="11" t="n"/>
      <c r="J1378" s="7">
        <f>IF($B1378="","",I1378*Q1378/100)</f>
        <v/>
      </c>
      <c r="P1378" s="7" t="n"/>
      <c r="Q1378" s="7" t="n"/>
      <c r="R1378" s="7">
        <f>IF($B1378="","",Q1378*W1378/100)</f>
        <v/>
      </c>
      <c r="S1378" s="7">
        <f>IF($B1378="","",Q1378-R1378)</f>
        <v/>
      </c>
      <c r="T1378" s="7">
        <f>IF($B1378="","",S1378-J1378)</f>
        <v/>
      </c>
      <c r="W1378">
        <f>IF($B1378="","",IF($AI1378=1,0,IF($AH1378=1,Settings!$C$6,Settings!$C$7))*100)</f>
        <v/>
      </c>
      <c r="AA1378" s="7" t="n"/>
      <c r="AD1378" s="11" t="n"/>
      <c r="AF1378">
        <f>IF($B1378="","",IF(COUNTIF($B$2:$B1378,$B1378)=1,1,0))</f>
        <v/>
      </c>
      <c r="AG1378">
        <f>IF($AF1378=1,SUMPRODUCT(--($AJ$2:$AJ$1501&lt;$AJ1378))+1,"")</f>
        <v/>
      </c>
      <c r="AH1378">
        <f>IF($B1378="","",IF(OR($M1378=TRUE(),$M1378="TRUE"),1,0))</f>
        <v/>
      </c>
      <c r="AI1378">
        <f>IF($B1378="","",IF($V1378="Yes",1,0))</f>
        <v/>
      </c>
      <c r="AJ1378">
        <f>IF($AF1378=1,IFERROR(IF(VALUE($B1378)&lt;100000000,VALUE($B1378),1000000000),IFERROR(IF(VALUE(MID($B1378,2,20))&lt;100000000,VALUE(MID($B1378,2,20)),1000000000),1000000000))+ROW()/100000,"")</f>
        <v/>
      </c>
    </row>
    <row r="1379">
      <c r="C1379" s="11" t="n"/>
      <c r="J1379" s="7">
        <f>IF($B1379="","",I1379*Q1379/100)</f>
        <v/>
      </c>
      <c r="P1379" s="7" t="n"/>
      <c r="Q1379" s="7" t="n"/>
      <c r="R1379" s="7">
        <f>IF($B1379="","",Q1379*W1379/100)</f>
        <v/>
      </c>
      <c r="S1379" s="7">
        <f>IF($B1379="","",Q1379-R1379)</f>
        <v/>
      </c>
      <c r="T1379" s="7">
        <f>IF($B1379="","",S1379-J1379)</f>
        <v/>
      </c>
      <c r="W1379">
        <f>IF($B1379="","",IF($AI1379=1,0,IF($AH1379=1,Settings!$C$6,Settings!$C$7))*100)</f>
        <v/>
      </c>
      <c r="AA1379" s="7" t="n"/>
      <c r="AD1379" s="11" t="n"/>
      <c r="AF1379">
        <f>IF($B1379="","",IF(COUNTIF($B$2:$B1379,$B1379)=1,1,0))</f>
        <v/>
      </c>
      <c r="AG1379">
        <f>IF($AF1379=1,SUMPRODUCT(--($AJ$2:$AJ$1501&lt;$AJ1379))+1,"")</f>
        <v/>
      </c>
      <c r="AH1379">
        <f>IF($B1379="","",IF(OR($M1379=TRUE(),$M1379="TRUE"),1,0))</f>
        <v/>
      </c>
      <c r="AI1379">
        <f>IF($B1379="","",IF($V1379="Yes",1,0))</f>
        <v/>
      </c>
      <c r="AJ1379">
        <f>IF($AF1379=1,IFERROR(IF(VALUE($B1379)&lt;100000000,VALUE($B1379),1000000000),IFERROR(IF(VALUE(MID($B1379,2,20))&lt;100000000,VALUE(MID($B1379,2,20)),1000000000),1000000000))+ROW()/100000,"")</f>
        <v/>
      </c>
    </row>
    <row r="1380">
      <c r="C1380" s="11" t="n"/>
      <c r="J1380" s="7">
        <f>IF($B1380="","",I1380*Q1380/100)</f>
        <v/>
      </c>
      <c r="P1380" s="7" t="n"/>
      <c r="Q1380" s="7" t="n"/>
      <c r="R1380" s="7">
        <f>IF($B1380="","",Q1380*W1380/100)</f>
        <v/>
      </c>
      <c r="S1380" s="7">
        <f>IF($B1380="","",Q1380-R1380)</f>
        <v/>
      </c>
      <c r="T1380" s="7">
        <f>IF($B1380="","",S1380-J1380)</f>
        <v/>
      </c>
      <c r="W1380">
        <f>IF($B1380="","",IF($AI1380=1,0,IF($AH1380=1,Settings!$C$6,Settings!$C$7))*100)</f>
        <v/>
      </c>
      <c r="AA1380" s="7" t="n"/>
      <c r="AD1380" s="11" t="n"/>
      <c r="AF1380">
        <f>IF($B1380="","",IF(COUNTIF($B$2:$B1380,$B1380)=1,1,0))</f>
        <v/>
      </c>
      <c r="AG1380">
        <f>IF($AF1380=1,SUMPRODUCT(--($AJ$2:$AJ$1501&lt;$AJ1380))+1,"")</f>
        <v/>
      </c>
      <c r="AH1380">
        <f>IF($B1380="","",IF(OR($M1380=TRUE(),$M1380="TRUE"),1,0))</f>
        <v/>
      </c>
      <c r="AI1380">
        <f>IF($B1380="","",IF($V1380="Yes",1,0))</f>
        <v/>
      </c>
      <c r="AJ1380">
        <f>IF($AF1380=1,IFERROR(IF(VALUE($B1380)&lt;100000000,VALUE($B1380),1000000000),IFERROR(IF(VALUE(MID($B1380,2,20))&lt;100000000,VALUE(MID($B1380,2,20)),1000000000),1000000000))+ROW()/100000,"")</f>
        <v/>
      </c>
    </row>
    <row r="1381">
      <c r="C1381" s="11" t="n"/>
      <c r="J1381" s="7">
        <f>IF($B1381="","",I1381*Q1381/100)</f>
        <v/>
      </c>
      <c r="P1381" s="7" t="n"/>
      <c r="Q1381" s="7" t="n"/>
      <c r="R1381" s="7">
        <f>IF($B1381="","",Q1381*W1381/100)</f>
        <v/>
      </c>
      <c r="S1381" s="7">
        <f>IF($B1381="","",Q1381-R1381)</f>
        <v/>
      </c>
      <c r="T1381" s="7">
        <f>IF($B1381="","",S1381-J1381)</f>
        <v/>
      </c>
      <c r="W1381">
        <f>IF($B1381="","",IF($AI1381=1,0,IF($AH1381=1,Settings!$C$6,Settings!$C$7))*100)</f>
        <v/>
      </c>
      <c r="AA1381" s="7" t="n"/>
      <c r="AD1381" s="11" t="n"/>
      <c r="AF1381">
        <f>IF($B1381="","",IF(COUNTIF($B$2:$B1381,$B1381)=1,1,0))</f>
        <v/>
      </c>
      <c r="AG1381">
        <f>IF($AF1381=1,SUMPRODUCT(--($AJ$2:$AJ$1501&lt;$AJ1381))+1,"")</f>
        <v/>
      </c>
      <c r="AH1381">
        <f>IF($B1381="","",IF(OR($M1381=TRUE(),$M1381="TRUE"),1,0))</f>
        <v/>
      </c>
      <c r="AI1381">
        <f>IF($B1381="","",IF($V1381="Yes",1,0))</f>
        <v/>
      </c>
      <c r="AJ1381">
        <f>IF($AF1381=1,IFERROR(IF(VALUE($B1381)&lt;100000000,VALUE($B1381),1000000000),IFERROR(IF(VALUE(MID($B1381,2,20))&lt;100000000,VALUE(MID($B1381,2,20)),1000000000),1000000000))+ROW()/100000,"")</f>
        <v/>
      </c>
    </row>
    <row r="1382">
      <c r="C1382" s="11" t="n"/>
      <c r="J1382" s="7">
        <f>IF($B1382="","",I1382*Q1382/100)</f>
        <v/>
      </c>
      <c r="P1382" s="7" t="n"/>
      <c r="Q1382" s="7" t="n"/>
      <c r="R1382" s="7">
        <f>IF($B1382="","",Q1382*W1382/100)</f>
        <v/>
      </c>
      <c r="S1382" s="7">
        <f>IF($B1382="","",Q1382-R1382)</f>
        <v/>
      </c>
      <c r="T1382" s="7">
        <f>IF($B1382="","",S1382-J1382)</f>
        <v/>
      </c>
      <c r="W1382">
        <f>IF($B1382="","",IF($AI1382=1,0,IF($AH1382=1,Settings!$C$6,Settings!$C$7))*100)</f>
        <v/>
      </c>
      <c r="AA1382" s="7" t="n"/>
      <c r="AD1382" s="11" t="n"/>
      <c r="AF1382">
        <f>IF($B1382="","",IF(COUNTIF($B$2:$B1382,$B1382)=1,1,0))</f>
        <v/>
      </c>
      <c r="AG1382">
        <f>IF($AF1382=1,SUMPRODUCT(--($AJ$2:$AJ$1501&lt;$AJ1382))+1,"")</f>
        <v/>
      </c>
      <c r="AH1382">
        <f>IF($B1382="","",IF(OR($M1382=TRUE(),$M1382="TRUE"),1,0))</f>
        <v/>
      </c>
      <c r="AI1382">
        <f>IF($B1382="","",IF($V1382="Yes",1,0))</f>
        <v/>
      </c>
      <c r="AJ1382">
        <f>IF($AF1382=1,IFERROR(IF(VALUE($B1382)&lt;100000000,VALUE($B1382),1000000000),IFERROR(IF(VALUE(MID($B1382,2,20))&lt;100000000,VALUE(MID($B1382,2,20)),1000000000),1000000000))+ROW()/100000,"")</f>
        <v/>
      </c>
    </row>
    <row r="1383">
      <c r="C1383" s="11" t="n"/>
      <c r="J1383" s="7">
        <f>IF($B1383="","",I1383*Q1383/100)</f>
        <v/>
      </c>
      <c r="P1383" s="7" t="n"/>
      <c r="Q1383" s="7" t="n"/>
      <c r="R1383" s="7">
        <f>IF($B1383="","",Q1383*W1383/100)</f>
        <v/>
      </c>
      <c r="S1383" s="7">
        <f>IF($B1383="","",Q1383-R1383)</f>
        <v/>
      </c>
      <c r="T1383" s="7">
        <f>IF($B1383="","",S1383-J1383)</f>
        <v/>
      </c>
      <c r="W1383">
        <f>IF($B1383="","",IF($AI1383=1,0,IF($AH1383=1,Settings!$C$6,Settings!$C$7))*100)</f>
        <v/>
      </c>
      <c r="AA1383" s="7" t="n"/>
      <c r="AD1383" s="11" t="n"/>
      <c r="AF1383">
        <f>IF($B1383="","",IF(COUNTIF($B$2:$B1383,$B1383)=1,1,0))</f>
        <v/>
      </c>
      <c r="AG1383">
        <f>IF($AF1383=1,SUMPRODUCT(--($AJ$2:$AJ$1501&lt;$AJ1383))+1,"")</f>
        <v/>
      </c>
      <c r="AH1383">
        <f>IF($B1383="","",IF(OR($M1383=TRUE(),$M1383="TRUE"),1,0))</f>
        <v/>
      </c>
      <c r="AI1383">
        <f>IF($B1383="","",IF($V1383="Yes",1,0))</f>
        <v/>
      </c>
      <c r="AJ1383">
        <f>IF($AF1383=1,IFERROR(IF(VALUE($B1383)&lt;100000000,VALUE($B1383),1000000000),IFERROR(IF(VALUE(MID($B1383,2,20))&lt;100000000,VALUE(MID($B1383,2,20)),1000000000),1000000000))+ROW()/100000,"")</f>
        <v/>
      </c>
    </row>
    <row r="1384">
      <c r="C1384" s="11" t="n"/>
      <c r="J1384" s="7">
        <f>IF($B1384="","",I1384*Q1384/100)</f>
        <v/>
      </c>
      <c r="P1384" s="7" t="n"/>
      <c r="Q1384" s="7" t="n"/>
      <c r="R1384" s="7">
        <f>IF($B1384="","",Q1384*W1384/100)</f>
        <v/>
      </c>
      <c r="S1384" s="7">
        <f>IF($B1384="","",Q1384-R1384)</f>
        <v/>
      </c>
      <c r="T1384" s="7">
        <f>IF($B1384="","",S1384-J1384)</f>
        <v/>
      </c>
      <c r="W1384">
        <f>IF($B1384="","",IF($AI1384=1,0,IF($AH1384=1,Settings!$C$6,Settings!$C$7))*100)</f>
        <v/>
      </c>
      <c r="AA1384" s="7" t="n"/>
      <c r="AD1384" s="11" t="n"/>
      <c r="AF1384">
        <f>IF($B1384="","",IF(COUNTIF($B$2:$B1384,$B1384)=1,1,0))</f>
        <v/>
      </c>
      <c r="AG1384">
        <f>IF($AF1384=1,SUMPRODUCT(--($AJ$2:$AJ$1501&lt;$AJ1384))+1,"")</f>
        <v/>
      </c>
      <c r="AH1384">
        <f>IF($B1384="","",IF(OR($M1384=TRUE(),$M1384="TRUE"),1,0))</f>
        <v/>
      </c>
      <c r="AI1384">
        <f>IF($B1384="","",IF($V1384="Yes",1,0))</f>
        <v/>
      </c>
      <c r="AJ1384">
        <f>IF($AF1384=1,IFERROR(IF(VALUE($B1384)&lt;100000000,VALUE($B1384),1000000000),IFERROR(IF(VALUE(MID($B1384,2,20))&lt;100000000,VALUE(MID($B1384,2,20)),1000000000),1000000000))+ROW()/100000,"")</f>
        <v/>
      </c>
    </row>
    <row r="1385">
      <c r="C1385" s="11" t="n"/>
      <c r="J1385" s="7">
        <f>IF($B1385="","",I1385*Q1385/100)</f>
        <v/>
      </c>
      <c r="P1385" s="7" t="n"/>
      <c r="Q1385" s="7" t="n"/>
      <c r="R1385" s="7">
        <f>IF($B1385="","",Q1385*W1385/100)</f>
        <v/>
      </c>
      <c r="S1385" s="7">
        <f>IF($B1385="","",Q1385-R1385)</f>
        <v/>
      </c>
      <c r="T1385" s="7">
        <f>IF($B1385="","",S1385-J1385)</f>
        <v/>
      </c>
      <c r="W1385">
        <f>IF($B1385="","",IF($AI1385=1,0,IF($AH1385=1,Settings!$C$6,Settings!$C$7))*100)</f>
        <v/>
      </c>
      <c r="AA1385" s="7" t="n"/>
      <c r="AD1385" s="11" t="n"/>
      <c r="AF1385">
        <f>IF($B1385="","",IF(COUNTIF($B$2:$B1385,$B1385)=1,1,0))</f>
        <v/>
      </c>
      <c r="AG1385">
        <f>IF($AF1385=1,SUMPRODUCT(--($AJ$2:$AJ$1501&lt;$AJ1385))+1,"")</f>
        <v/>
      </c>
      <c r="AH1385">
        <f>IF($B1385="","",IF(OR($M1385=TRUE(),$M1385="TRUE"),1,0))</f>
        <v/>
      </c>
      <c r="AI1385">
        <f>IF($B1385="","",IF($V1385="Yes",1,0))</f>
        <v/>
      </c>
      <c r="AJ1385">
        <f>IF($AF1385=1,IFERROR(IF(VALUE($B1385)&lt;100000000,VALUE($B1385),1000000000),IFERROR(IF(VALUE(MID($B1385,2,20))&lt;100000000,VALUE(MID($B1385,2,20)),1000000000),1000000000))+ROW()/100000,"")</f>
        <v/>
      </c>
    </row>
    <row r="1386">
      <c r="C1386" s="11" t="n"/>
      <c r="J1386" s="7">
        <f>IF($B1386="","",I1386*Q1386/100)</f>
        <v/>
      </c>
      <c r="P1386" s="7" t="n"/>
      <c r="Q1386" s="7" t="n"/>
      <c r="R1386" s="7">
        <f>IF($B1386="","",Q1386*W1386/100)</f>
        <v/>
      </c>
      <c r="S1386" s="7">
        <f>IF($B1386="","",Q1386-R1386)</f>
        <v/>
      </c>
      <c r="T1386" s="7">
        <f>IF($B1386="","",S1386-J1386)</f>
        <v/>
      </c>
      <c r="W1386">
        <f>IF($B1386="","",IF($AI1386=1,0,IF($AH1386=1,Settings!$C$6,Settings!$C$7))*100)</f>
        <v/>
      </c>
      <c r="AA1386" s="7" t="n"/>
      <c r="AD1386" s="11" t="n"/>
      <c r="AF1386">
        <f>IF($B1386="","",IF(COUNTIF($B$2:$B1386,$B1386)=1,1,0))</f>
        <v/>
      </c>
      <c r="AG1386">
        <f>IF($AF1386=1,SUMPRODUCT(--($AJ$2:$AJ$1501&lt;$AJ1386))+1,"")</f>
        <v/>
      </c>
      <c r="AH1386">
        <f>IF($B1386="","",IF(OR($M1386=TRUE(),$M1386="TRUE"),1,0))</f>
        <v/>
      </c>
      <c r="AI1386">
        <f>IF($B1386="","",IF($V1386="Yes",1,0))</f>
        <v/>
      </c>
      <c r="AJ1386">
        <f>IF($AF1386=1,IFERROR(IF(VALUE($B1386)&lt;100000000,VALUE($B1386),1000000000),IFERROR(IF(VALUE(MID($B1386,2,20))&lt;100000000,VALUE(MID($B1386,2,20)),1000000000),1000000000))+ROW()/100000,"")</f>
        <v/>
      </c>
    </row>
    <row r="1387">
      <c r="C1387" s="11" t="n"/>
      <c r="J1387" s="7">
        <f>IF($B1387="","",I1387*Q1387/100)</f>
        <v/>
      </c>
      <c r="P1387" s="7" t="n"/>
      <c r="Q1387" s="7" t="n"/>
      <c r="R1387" s="7">
        <f>IF($B1387="","",Q1387*W1387/100)</f>
        <v/>
      </c>
      <c r="S1387" s="7">
        <f>IF($B1387="","",Q1387-R1387)</f>
        <v/>
      </c>
      <c r="T1387" s="7">
        <f>IF($B1387="","",S1387-J1387)</f>
        <v/>
      </c>
      <c r="W1387">
        <f>IF($B1387="","",IF($AI1387=1,0,IF($AH1387=1,Settings!$C$6,Settings!$C$7))*100)</f>
        <v/>
      </c>
      <c r="AA1387" s="7" t="n"/>
      <c r="AD1387" s="11" t="n"/>
      <c r="AF1387">
        <f>IF($B1387="","",IF(COUNTIF($B$2:$B1387,$B1387)=1,1,0))</f>
        <v/>
      </c>
      <c r="AG1387">
        <f>IF($AF1387=1,SUMPRODUCT(--($AJ$2:$AJ$1501&lt;$AJ1387))+1,"")</f>
        <v/>
      </c>
      <c r="AH1387">
        <f>IF($B1387="","",IF(OR($M1387=TRUE(),$M1387="TRUE"),1,0))</f>
        <v/>
      </c>
      <c r="AI1387">
        <f>IF($B1387="","",IF($V1387="Yes",1,0))</f>
        <v/>
      </c>
      <c r="AJ1387">
        <f>IF($AF1387=1,IFERROR(IF(VALUE($B1387)&lt;100000000,VALUE($B1387),1000000000),IFERROR(IF(VALUE(MID($B1387,2,20))&lt;100000000,VALUE(MID($B1387,2,20)),1000000000),1000000000))+ROW()/100000,"")</f>
        <v/>
      </c>
    </row>
    <row r="1388">
      <c r="C1388" s="11" t="n"/>
      <c r="J1388" s="7">
        <f>IF($B1388="","",I1388*Q1388/100)</f>
        <v/>
      </c>
      <c r="P1388" s="7" t="n"/>
      <c r="Q1388" s="7" t="n"/>
      <c r="R1388" s="7">
        <f>IF($B1388="","",Q1388*W1388/100)</f>
        <v/>
      </c>
      <c r="S1388" s="7">
        <f>IF($B1388="","",Q1388-R1388)</f>
        <v/>
      </c>
      <c r="T1388" s="7">
        <f>IF($B1388="","",S1388-J1388)</f>
        <v/>
      </c>
      <c r="W1388">
        <f>IF($B1388="","",IF($AI1388=1,0,IF($AH1388=1,Settings!$C$6,Settings!$C$7))*100)</f>
        <v/>
      </c>
      <c r="AA1388" s="7" t="n"/>
      <c r="AD1388" s="11" t="n"/>
      <c r="AF1388">
        <f>IF($B1388="","",IF(COUNTIF($B$2:$B1388,$B1388)=1,1,0))</f>
        <v/>
      </c>
      <c r="AG1388">
        <f>IF($AF1388=1,SUMPRODUCT(--($AJ$2:$AJ$1501&lt;$AJ1388))+1,"")</f>
        <v/>
      </c>
      <c r="AH1388">
        <f>IF($B1388="","",IF(OR($M1388=TRUE(),$M1388="TRUE"),1,0))</f>
        <v/>
      </c>
      <c r="AI1388">
        <f>IF($B1388="","",IF($V1388="Yes",1,0))</f>
        <v/>
      </c>
      <c r="AJ1388">
        <f>IF($AF1388=1,IFERROR(IF(VALUE($B1388)&lt;100000000,VALUE($B1388),1000000000),IFERROR(IF(VALUE(MID($B1388,2,20))&lt;100000000,VALUE(MID($B1388,2,20)),1000000000),1000000000))+ROW()/100000,"")</f>
        <v/>
      </c>
    </row>
    <row r="1389">
      <c r="C1389" s="11" t="n"/>
      <c r="J1389" s="7">
        <f>IF($B1389="","",I1389*Q1389/100)</f>
        <v/>
      </c>
      <c r="P1389" s="7" t="n"/>
      <c r="Q1389" s="7" t="n"/>
      <c r="R1389" s="7">
        <f>IF($B1389="","",Q1389*W1389/100)</f>
        <v/>
      </c>
      <c r="S1389" s="7">
        <f>IF($B1389="","",Q1389-R1389)</f>
        <v/>
      </c>
      <c r="T1389" s="7">
        <f>IF($B1389="","",S1389-J1389)</f>
        <v/>
      </c>
      <c r="W1389">
        <f>IF($B1389="","",IF($AI1389=1,0,IF($AH1389=1,Settings!$C$6,Settings!$C$7))*100)</f>
        <v/>
      </c>
      <c r="AA1389" s="7" t="n"/>
      <c r="AD1389" s="11" t="n"/>
      <c r="AF1389">
        <f>IF($B1389="","",IF(COUNTIF($B$2:$B1389,$B1389)=1,1,0))</f>
        <v/>
      </c>
      <c r="AG1389">
        <f>IF($AF1389=1,SUMPRODUCT(--($AJ$2:$AJ$1501&lt;$AJ1389))+1,"")</f>
        <v/>
      </c>
      <c r="AH1389">
        <f>IF($B1389="","",IF(OR($M1389=TRUE(),$M1389="TRUE"),1,0))</f>
        <v/>
      </c>
      <c r="AI1389">
        <f>IF($B1389="","",IF($V1389="Yes",1,0))</f>
        <v/>
      </c>
      <c r="AJ1389">
        <f>IF($AF1389=1,IFERROR(IF(VALUE($B1389)&lt;100000000,VALUE($B1389),1000000000),IFERROR(IF(VALUE(MID($B1389,2,20))&lt;100000000,VALUE(MID($B1389,2,20)),1000000000),1000000000))+ROW()/100000,"")</f>
        <v/>
      </c>
    </row>
    <row r="1390">
      <c r="C1390" s="11" t="n"/>
      <c r="J1390" s="7">
        <f>IF($B1390="","",I1390*Q1390/100)</f>
        <v/>
      </c>
      <c r="P1390" s="7" t="n"/>
      <c r="Q1390" s="7" t="n"/>
      <c r="R1390" s="7">
        <f>IF($B1390="","",Q1390*W1390/100)</f>
        <v/>
      </c>
      <c r="S1390" s="7">
        <f>IF($B1390="","",Q1390-R1390)</f>
        <v/>
      </c>
      <c r="T1390" s="7">
        <f>IF($B1390="","",S1390-J1390)</f>
        <v/>
      </c>
      <c r="W1390">
        <f>IF($B1390="","",IF($AI1390=1,0,IF($AH1390=1,Settings!$C$6,Settings!$C$7))*100)</f>
        <v/>
      </c>
      <c r="AA1390" s="7" t="n"/>
      <c r="AD1390" s="11" t="n"/>
      <c r="AF1390">
        <f>IF($B1390="","",IF(COUNTIF($B$2:$B1390,$B1390)=1,1,0))</f>
        <v/>
      </c>
      <c r="AG1390">
        <f>IF($AF1390=1,SUMPRODUCT(--($AJ$2:$AJ$1501&lt;$AJ1390))+1,"")</f>
        <v/>
      </c>
      <c r="AH1390">
        <f>IF($B1390="","",IF(OR($M1390=TRUE(),$M1390="TRUE"),1,0))</f>
        <v/>
      </c>
      <c r="AI1390">
        <f>IF($B1390="","",IF($V1390="Yes",1,0))</f>
        <v/>
      </c>
      <c r="AJ1390">
        <f>IF($AF1390=1,IFERROR(IF(VALUE($B1390)&lt;100000000,VALUE($B1390),1000000000),IFERROR(IF(VALUE(MID($B1390,2,20))&lt;100000000,VALUE(MID($B1390,2,20)),1000000000),1000000000))+ROW()/100000,"")</f>
        <v/>
      </c>
    </row>
    <row r="1391">
      <c r="C1391" s="11" t="n"/>
      <c r="J1391" s="7">
        <f>IF($B1391="","",I1391*Q1391/100)</f>
        <v/>
      </c>
      <c r="P1391" s="7" t="n"/>
      <c r="Q1391" s="7" t="n"/>
      <c r="R1391" s="7">
        <f>IF($B1391="","",Q1391*W1391/100)</f>
        <v/>
      </c>
      <c r="S1391" s="7">
        <f>IF($B1391="","",Q1391-R1391)</f>
        <v/>
      </c>
      <c r="T1391" s="7">
        <f>IF($B1391="","",S1391-J1391)</f>
        <v/>
      </c>
      <c r="W1391">
        <f>IF($B1391="","",IF($AI1391=1,0,IF($AH1391=1,Settings!$C$6,Settings!$C$7))*100)</f>
        <v/>
      </c>
      <c r="AA1391" s="7" t="n"/>
      <c r="AD1391" s="11" t="n"/>
      <c r="AF1391">
        <f>IF($B1391="","",IF(COUNTIF($B$2:$B1391,$B1391)=1,1,0))</f>
        <v/>
      </c>
      <c r="AG1391">
        <f>IF($AF1391=1,SUMPRODUCT(--($AJ$2:$AJ$1501&lt;$AJ1391))+1,"")</f>
        <v/>
      </c>
      <c r="AH1391">
        <f>IF($B1391="","",IF(OR($M1391=TRUE(),$M1391="TRUE"),1,0))</f>
        <v/>
      </c>
      <c r="AI1391">
        <f>IF($B1391="","",IF($V1391="Yes",1,0))</f>
        <v/>
      </c>
      <c r="AJ1391">
        <f>IF($AF1391=1,IFERROR(IF(VALUE($B1391)&lt;100000000,VALUE($B1391),1000000000),IFERROR(IF(VALUE(MID($B1391,2,20))&lt;100000000,VALUE(MID($B1391,2,20)),1000000000),1000000000))+ROW()/100000,"")</f>
        <v/>
      </c>
    </row>
    <row r="1392">
      <c r="C1392" s="11" t="n"/>
      <c r="J1392" s="7">
        <f>IF($B1392="","",I1392*Q1392/100)</f>
        <v/>
      </c>
      <c r="P1392" s="7" t="n"/>
      <c r="Q1392" s="7" t="n"/>
      <c r="R1392" s="7">
        <f>IF($B1392="","",Q1392*W1392/100)</f>
        <v/>
      </c>
      <c r="S1392" s="7">
        <f>IF($B1392="","",Q1392-R1392)</f>
        <v/>
      </c>
      <c r="T1392" s="7">
        <f>IF($B1392="","",S1392-J1392)</f>
        <v/>
      </c>
      <c r="W1392">
        <f>IF($B1392="","",IF($AI1392=1,0,IF($AH1392=1,Settings!$C$6,Settings!$C$7))*100)</f>
        <v/>
      </c>
      <c r="AA1392" s="7" t="n"/>
      <c r="AD1392" s="11" t="n"/>
      <c r="AF1392">
        <f>IF($B1392="","",IF(COUNTIF($B$2:$B1392,$B1392)=1,1,0))</f>
        <v/>
      </c>
      <c r="AG1392">
        <f>IF($AF1392=1,SUMPRODUCT(--($AJ$2:$AJ$1501&lt;$AJ1392))+1,"")</f>
        <v/>
      </c>
      <c r="AH1392">
        <f>IF($B1392="","",IF(OR($M1392=TRUE(),$M1392="TRUE"),1,0))</f>
        <v/>
      </c>
      <c r="AI1392">
        <f>IF($B1392="","",IF($V1392="Yes",1,0))</f>
        <v/>
      </c>
      <c r="AJ1392">
        <f>IF($AF1392=1,IFERROR(IF(VALUE($B1392)&lt;100000000,VALUE($B1392),1000000000),IFERROR(IF(VALUE(MID($B1392,2,20))&lt;100000000,VALUE(MID($B1392,2,20)),1000000000),1000000000))+ROW()/100000,"")</f>
        <v/>
      </c>
    </row>
    <row r="1393">
      <c r="C1393" s="11" t="n"/>
      <c r="J1393" s="7">
        <f>IF($B1393="","",I1393*Q1393/100)</f>
        <v/>
      </c>
      <c r="P1393" s="7" t="n"/>
      <c r="Q1393" s="7" t="n"/>
      <c r="R1393" s="7">
        <f>IF($B1393="","",Q1393*W1393/100)</f>
        <v/>
      </c>
      <c r="S1393" s="7">
        <f>IF($B1393="","",Q1393-R1393)</f>
        <v/>
      </c>
      <c r="T1393" s="7">
        <f>IF($B1393="","",S1393-J1393)</f>
        <v/>
      </c>
      <c r="W1393">
        <f>IF($B1393="","",IF($AI1393=1,0,IF($AH1393=1,Settings!$C$6,Settings!$C$7))*100)</f>
        <v/>
      </c>
      <c r="AA1393" s="7" t="n"/>
      <c r="AD1393" s="11" t="n"/>
      <c r="AF1393">
        <f>IF($B1393="","",IF(COUNTIF($B$2:$B1393,$B1393)=1,1,0))</f>
        <v/>
      </c>
      <c r="AG1393">
        <f>IF($AF1393=1,SUMPRODUCT(--($AJ$2:$AJ$1501&lt;$AJ1393))+1,"")</f>
        <v/>
      </c>
      <c r="AH1393">
        <f>IF($B1393="","",IF(OR($M1393=TRUE(),$M1393="TRUE"),1,0))</f>
        <v/>
      </c>
      <c r="AI1393">
        <f>IF($B1393="","",IF($V1393="Yes",1,0))</f>
        <v/>
      </c>
      <c r="AJ1393">
        <f>IF($AF1393=1,IFERROR(IF(VALUE($B1393)&lt;100000000,VALUE($B1393),1000000000),IFERROR(IF(VALUE(MID($B1393,2,20))&lt;100000000,VALUE(MID($B1393,2,20)),1000000000),1000000000))+ROW()/100000,"")</f>
        <v/>
      </c>
    </row>
    <row r="1394">
      <c r="C1394" s="11" t="n"/>
      <c r="J1394" s="7">
        <f>IF($B1394="","",I1394*Q1394/100)</f>
        <v/>
      </c>
      <c r="P1394" s="7" t="n"/>
      <c r="Q1394" s="7" t="n"/>
      <c r="R1394" s="7">
        <f>IF($B1394="","",Q1394*W1394/100)</f>
        <v/>
      </c>
      <c r="S1394" s="7">
        <f>IF($B1394="","",Q1394-R1394)</f>
        <v/>
      </c>
      <c r="T1394" s="7">
        <f>IF($B1394="","",S1394-J1394)</f>
        <v/>
      </c>
      <c r="W1394">
        <f>IF($B1394="","",IF($AI1394=1,0,IF($AH1394=1,Settings!$C$6,Settings!$C$7))*100)</f>
        <v/>
      </c>
      <c r="AA1394" s="7" t="n"/>
      <c r="AD1394" s="11" t="n"/>
      <c r="AF1394">
        <f>IF($B1394="","",IF(COUNTIF($B$2:$B1394,$B1394)=1,1,0))</f>
        <v/>
      </c>
      <c r="AG1394">
        <f>IF($AF1394=1,SUMPRODUCT(--($AJ$2:$AJ$1501&lt;$AJ1394))+1,"")</f>
        <v/>
      </c>
      <c r="AH1394">
        <f>IF($B1394="","",IF(OR($M1394=TRUE(),$M1394="TRUE"),1,0))</f>
        <v/>
      </c>
      <c r="AI1394">
        <f>IF($B1394="","",IF($V1394="Yes",1,0))</f>
        <v/>
      </c>
      <c r="AJ1394">
        <f>IF($AF1394=1,IFERROR(IF(VALUE($B1394)&lt;100000000,VALUE($B1394),1000000000),IFERROR(IF(VALUE(MID($B1394,2,20))&lt;100000000,VALUE(MID($B1394,2,20)),1000000000),1000000000))+ROW()/100000,"")</f>
        <v/>
      </c>
    </row>
    <row r="1395">
      <c r="C1395" s="11" t="n"/>
      <c r="J1395" s="7">
        <f>IF($B1395="","",I1395*Q1395/100)</f>
        <v/>
      </c>
      <c r="P1395" s="7" t="n"/>
      <c r="Q1395" s="7" t="n"/>
      <c r="R1395" s="7">
        <f>IF($B1395="","",Q1395*W1395/100)</f>
        <v/>
      </c>
      <c r="S1395" s="7">
        <f>IF($B1395="","",Q1395-R1395)</f>
        <v/>
      </c>
      <c r="T1395" s="7">
        <f>IF($B1395="","",S1395-J1395)</f>
        <v/>
      </c>
      <c r="W1395">
        <f>IF($B1395="","",IF($AI1395=1,0,IF($AH1395=1,Settings!$C$6,Settings!$C$7))*100)</f>
        <v/>
      </c>
      <c r="AA1395" s="7" t="n"/>
      <c r="AD1395" s="11" t="n"/>
      <c r="AF1395">
        <f>IF($B1395="","",IF(COUNTIF($B$2:$B1395,$B1395)=1,1,0))</f>
        <v/>
      </c>
      <c r="AG1395">
        <f>IF($AF1395=1,SUMPRODUCT(--($AJ$2:$AJ$1501&lt;$AJ1395))+1,"")</f>
        <v/>
      </c>
      <c r="AH1395">
        <f>IF($B1395="","",IF(OR($M1395=TRUE(),$M1395="TRUE"),1,0))</f>
        <v/>
      </c>
      <c r="AI1395">
        <f>IF($B1395="","",IF($V1395="Yes",1,0))</f>
        <v/>
      </c>
      <c r="AJ1395">
        <f>IF($AF1395=1,IFERROR(IF(VALUE($B1395)&lt;100000000,VALUE($B1395),1000000000),IFERROR(IF(VALUE(MID($B1395,2,20))&lt;100000000,VALUE(MID($B1395,2,20)),1000000000),1000000000))+ROW()/100000,"")</f>
        <v/>
      </c>
    </row>
    <row r="1396">
      <c r="C1396" s="11" t="n"/>
      <c r="J1396" s="7">
        <f>IF($B1396="","",I1396*Q1396/100)</f>
        <v/>
      </c>
      <c r="P1396" s="7" t="n"/>
      <c r="Q1396" s="7" t="n"/>
      <c r="R1396" s="7">
        <f>IF($B1396="","",Q1396*W1396/100)</f>
        <v/>
      </c>
      <c r="S1396" s="7">
        <f>IF($B1396="","",Q1396-R1396)</f>
        <v/>
      </c>
      <c r="T1396" s="7">
        <f>IF($B1396="","",S1396-J1396)</f>
        <v/>
      </c>
      <c r="W1396">
        <f>IF($B1396="","",IF($AI1396=1,0,IF($AH1396=1,Settings!$C$6,Settings!$C$7))*100)</f>
        <v/>
      </c>
      <c r="AA1396" s="7" t="n"/>
      <c r="AD1396" s="11" t="n"/>
      <c r="AF1396">
        <f>IF($B1396="","",IF(COUNTIF($B$2:$B1396,$B1396)=1,1,0))</f>
        <v/>
      </c>
      <c r="AG1396">
        <f>IF($AF1396=1,SUMPRODUCT(--($AJ$2:$AJ$1501&lt;$AJ1396))+1,"")</f>
        <v/>
      </c>
      <c r="AH1396">
        <f>IF($B1396="","",IF(OR($M1396=TRUE(),$M1396="TRUE"),1,0))</f>
        <v/>
      </c>
      <c r="AI1396">
        <f>IF($B1396="","",IF($V1396="Yes",1,0))</f>
        <v/>
      </c>
      <c r="AJ1396">
        <f>IF($AF1396=1,IFERROR(IF(VALUE($B1396)&lt;100000000,VALUE($B1396),1000000000),IFERROR(IF(VALUE(MID($B1396,2,20))&lt;100000000,VALUE(MID($B1396,2,20)),1000000000),1000000000))+ROW()/100000,"")</f>
        <v/>
      </c>
    </row>
    <row r="1397">
      <c r="C1397" s="11" t="n"/>
      <c r="J1397" s="7">
        <f>IF($B1397="","",I1397*Q1397/100)</f>
        <v/>
      </c>
      <c r="P1397" s="7" t="n"/>
      <c r="Q1397" s="7" t="n"/>
      <c r="R1397" s="7">
        <f>IF($B1397="","",Q1397*W1397/100)</f>
        <v/>
      </c>
      <c r="S1397" s="7">
        <f>IF($B1397="","",Q1397-R1397)</f>
        <v/>
      </c>
      <c r="T1397" s="7">
        <f>IF($B1397="","",S1397-J1397)</f>
        <v/>
      </c>
      <c r="W1397">
        <f>IF($B1397="","",IF($AI1397=1,0,IF($AH1397=1,Settings!$C$6,Settings!$C$7))*100)</f>
        <v/>
      </c>
      <c r="AA1397" s="7" t="n"/>
      <c r="AD1397" s="11" t="n"/>
      <c r="AF1397">
        <f>IF($B1397="","",IF(COUNTIF($B$2:$B1397,$B1397)=1,1,0))</f>
        <v/>
      </c>
      <c r="AG1397">
        <f>IF($AF1397=1,SUMPRODUCT(--($AJ$2:$AJ$1501&lt;$AJ1397))+1,"")</f>
        <v/>
      </c>
      <c r="AH1397">
        <f>IF($B1397="","",IF(OR($M1397=TRUE(),$M1397="TRUE"),1,0))</f>
        <v/>
      </c>
      <c r="AI1397">
        <f>IF($B1397="","",IF($V1397="Yes",1,0))</f>
        <v/>
      </c>
      <c r="AJ1397">
        <f>IF($AF1397=1,IFERROR(IF(VALUE($B1397)&lt;100000000,VALUE($B1397),1000000000),IFERROR(IF(VALUE(MID($B1397,2,20))&lt;100000000,VALUE(MID($B1397,2,20)),1000000000),1000000000))+ROW()/100000,"")</f>
        <v/>
      </c>
    </row>
    <row r="1398">
      <c r="C1398" s="11" t="n"/>
      <c r="J1398" s="7">
        <f>IF($B1398="","",I1398*Q1398/100)</f>
        <v/>
      </c>
      <c r="P1398" s="7" t="n"/>
      <c r="Q1398" s="7" t="n"/>
      <c r="R1398" s="7">
        <f>IF($B1398="","",Q1398*W1398/100)</f>
        <v/>
      </c>
      <c r="S1398" s="7">
        <f>IF($B1398="","",Q1398-R1398)</f>
        <v/>
      </c>
      <c r="T1398" s="7">
        <f>IF($B1398="","",S1398-J1398)</f>
        <v/>
      </c>
      <c r="W1398">
        <f>IF($B1398="","",IF($AI1398=1,0,IF($AH1398=1,Settings!$C$6,Settings!$C$7))*100)</f>
        <v/>
      </c>
      <c r="AA1398" s="7" t="n"/>
      <c r="AD1398" s="11" t="n"/>
      <c r="AF1398">
        <f>IF($B1398="","",IF(COUNTIF($B$2:$B1398,$B1398)=1,1,0))</f>
        <v/>
      </c>
      <c r="AG1398">
        <f>IF($AF1398=1,SUMPRODUCT(--($AJ$2:$AJ$1501&lt;$AJ1398))+1,"")</f>
        <v/>
      </c>
      <c r="AH1398">
        <f>IF($B1398="","",IF(OR($M1398=TRUE(),$M1398="TRUE"),1,0))</f>
        <v/>
      </c>
      <c r="AI1398">
        <f>IF($B1398="","",IF($V1398="Yes",1,0))</f>
        <v/>
      </c>
      <c r="AJ1398">
        <f>IF($AF1398=1,IFERROR(IF(VALUE($B1398)&lt;100000000,VALUE($B1398),1000000000),IFERROR(IF(VALUE(MID($B1398,2,20))&lt;100000000,VALUE(MID($B1398,2,20)),1000000000),1000000000))+ROW()/100000,"")</f>
        <v/>
      </c>
    </row>
    <row r="1399">
      <c r="C1399" s="11" t="n"/>
      <c r="J1399" s="7">
        <f>IF($B1399="","",I1399*Q1399/100)</f>
        <v/>
      </c>
      <c r="P1399" s="7" t="n"/>
      <c r="Q1399" s="7" t="n"/>
      <c r="R1399" s="7">
        <f>IF($B1399="","",Q1399*W1399/100)</f>
        <v/>
      </c>
      <c r="S1399" s="7">
        <f>IF($B1399="","",Q1399-R1399)</f>
        <v/>
      </c>
      <c r="T1399" s="7">
        <f>IF($B1399="","",S1399-J1399)</f>
        <v/>
      </c>
      <c r="W1399">
        <f>IF($B1399="","",IF($AI1399=1,0,IF($AH1399=1,Settings!$C$6,Settings!$C$7))*100)</f>
        <v/>
      </c>
      <c r="AA1399" s="7" t="n"/>
      <c r="AD1399" s="11" t="n"/>
      <c r="AF1399">
        <f>IF($B1399="","",IF(COUNTIF($B$2:$B1399,$B1399)=1,1,0))</f>
        <v/>
      </c>
      <c r="AG1399">
        <f>IF($AF1399=1,SUMPRODUCT(--($AJ$2:$AJ$1501&lt;$AJ1399))+1,"")</f>
        <v/>
      </c>
      <c r="AH1399">
        <f>IF($B1399="","",IF(OR($M1399=TRUE(),$M1399="TRUE"),1,0))</f>
        <v/>
      </c>
      <c r="AI1399">
        <f>IF($B1399="","",IF($V1399="Yes",1,0))</f>
        <v/>
      </c>
      <c r="AJ1399">
        <f>IF($AF1399=1,IFERROR(IF(VALUE($B1399)&lt;100000000,VALUE($B1399),1000000000),IFERROR(IF(VALUE(MID($B1399,2,20))&lt;100000000,VALUE(MID($B1399,2,20)),1000000000),1000000000))+ROW()/100000,"")</f>
        <v/>
      </c>
    </row>
    <row r="1400">
      <c r="C1400" s="11" t="n"/>
      <c r="J1400" s="7">
        <f>IF($B1400="","",I1400*Q1400/100)</f>
        <v/>
      </c>
      <c r="P1400" s="7" t="n"/>
      <c r="Q1400" s="7" t="n"/>
      <c r="R1400" s="7">
        <f>IF($B1400="","",Q1400*W1400/100)</f>
        <v/>
      </c>
      <c r="S1400" s="7">
        <f>IF($B1400="","",Q1400-R1400)</f>
        <v/>
      </c>
      <c r="T1400" s="7">
        <f>IF($B1400="","",S1400-J1400)</f>
        <v/>
      </c>
      <c r="W1400">
        <f>IF($B1400="","",IF($AI1400=1,0,IF($AH1400=1,Settings!$C$6,Settings!$C$7))*100)</f>
        <v/>
      </c>
      <c r="AA1400" s="7" t="n"/>
      <c r="AD1400" s="11" t="n"/>
      <c r="AF1400">
        <f>IF($B1400="","",IF(COUNTIF($B$2:$B1400,$B1400)=1,1,0))</f>
        <v/>
      </c>
      <c r="AG1400">
        <f>IF($AF1400=1,SUMPRODUCT(--($AJ$2:$AJ$1501&lt;$AJ1400))+1,"")</f>
        <v/>
      </c>
      <c r="AH1400">
        <f>IF($B1400="","",IF(OR($M1400=TRUE(),$M1400="TRUE"),1,0))</f>
        <v/>
      </c>
      <c r="AI1400">
        <f>IF($B1400="","",IF($V1400="Yes",1,0))</f>
        <v/>
      </c>
      <c r="AJ1400">
        <f>IF($AF1400=1,IFERROR(IF(VALUE($B1400)&lt;100000000,VALUE($B1400),1000000000),IFERROR(IF(VALUE(MID($B1400,2,20))&lt;100000000,VALUE(MID($B1400,2,20)),1000000000),1000000000))+ROW()/100000,"")</f>
        <v/>
      </c>
    </row>
    <row r="1401">
      <c r="C1401" s="11" t="n"/>
      <c r="J1401" s="7">
        <f>IF($B1401="","",I1401*Q1401/100)</f>
        <v/>
      </c>
      <c r="P1401" s="7" t="n"/>
      <c r="Q1401" s="7" t="n"/>
      <c r="R1401" s="7">
        <f>IF($B1401="","",Q1401*W1401/100)</f>
        <v/>
      </c>
      <c r="S1401" s="7">
        <f>IF($B1401="","",Q1401-R1401)</f>
        <v/>
      </c>
      <c r="T1401" s="7">
        <f>IF($B1401="","",S1401-J1401)</f>
        <v/>
      </c>
      <c r="W1401">
        <f>IF($B1401="","",IF($AI1401=1,0,IF($AH1401=1,Settings!$C$6,Settings!$C$7))*100)</f>
        <v/>
      </c>
      <c r="AA1401" s="7" t="n"/>
      <c r="AD1401" s="11" t="n"/>
      <c r="AF1401">
        <f>IF($B1401="","",IF(COUNTIF($B$2:$B1401,$B1401)=1,1,0))</f>
        <v/>
      </c>
      <c r="AG1401">
        <f>IF($AF1401=1,SUMPRODUCT(--($AJ$2:$AJ$1501&lt;$AJ1401))+1,"")</f>
        <v/>
      </c>
      <c r="AH1401">
        <f>IF($B1401="","",IF(OR($M1401=TRUE(),$M1401="TRUE"),1,0))</f>
        <v/>
      </c>
      <c r="AI1401">
        <f>IF($B1401="","",IF($V1401="Yes",1,0))</f>
        <v/>
      </c>
      <c r="AJ1401">
        <f>IF($AF1401=1,IFERROR(IF(VALUE($B1401)&lt;100000000,VALUE($B1401),1000000000),IFERROR(IF(VALUE(MID($B1401,2,20))&lt;100000000,VALUE(MID($B1401,2,20)),1000000000),1000000000))+ROW()/100000,"")</f>
        <v/>
      </c>
    </row>
    <row r="1402">
      <c r="C1402" s="11" t="n"/>
      <c r="J1402" s="7">
        <f>IF($B1402="","",I1402*Q1402/100)</f>
        <v/>
      </c>
      <c r="P1402" s="7" t="n"/>
      <c r="Q1402" s="7" t="n"/>
      <c r="R1402" s="7">
        <f>IF($B1402="","",Q1402*W1402/100)</f>
        <v/>
      </c>
      <c r="S1402" s="7">
        <f>IF($B1402="","",Q1402-R1402)</f>
        <v/>
      </c>
      <c r="T1402" s="7">
        <f>IF($B1402="","",S1402-J1402)</f>
        <v/>
      </c>
      <c r="W1402">
        <f>IF($B1402="","",IF($AI1402=1,0,IF($AH1402=1,Settings!$C$6,Settings!$C$7))*100)</f>
        <v/>
      </c>
      <c r="AA1402" s="7" t="n"/>
      <c r="AD1402" s="11" t="n"/>
      <c r="AF1402">
        <f>IF($B1402="","",IF(COUNTIF($B$2:$B1402,$B1402)=1,1,0))</f>
        <v/>
      </c>
      <c r="AG1402">
        <f>IF($AF1402=1,SUMPRODUCT(--($AJ$2:$AJ$1501&lt;$AJ1402))+1,"")</f>
        <v/>
      </c>
      <c r="AH1402">
        <f>IF($B1402="","",IF(OR($M1402=TRUE(),$M1402="TRUE"),1,0))</f>
        <v/>
      </c>
      <c r="AI1402">
        <f>IF($B1402="","",IF($V1402="Yes",1,0))</f>
        <v/>
      </c>
      <c r="AJ1402">
        <f>IF($AF1402=1,IFERROR(IF(VALUE($B1402)&lt;100000000,VALUE($B1402),1000000000),IFERROR(IF(VALUE(MID($B1402,2,20))&lt;100000000,VALUE(MID($B1402,2,20)),1000000000),1000000000))+ROW()/100000,"")</f>
        <v/>
      </c>
    </row>
    <row r="1403">
      <c r="C1403" s="11" t="n"/>
      <c r="J1403" s="7">
        <f>IF($B1403="","",I1403*Q1403/100)</f>
        <v/>
      </c>
      <c r="P1403" s="7" t="n"/>
      <c r="Q1403" s="7" t="n"/>
      <c r="R1403" s="7">
        <f>IF($B1403="","",Q1403*W1403/100)</f>
        <v/>
      </c>
      <c r="S1403" s="7">
        <f>IF($B1403="","",Q1403-R1403)</f>
        <v/>
      </c>
      <c r="T1403" s="7">
        <f>IF($B1403="","",S1403-J1403)</f>
        <v/>
      </c>
      <c r="W1403">
        <f>IF($B1403="","",IF($AI1403=1,0,IF($AH1403=1,Settings!$C$6,Settings!$C$7))*100)</f>
        <v/>
      </c>
      <c r="AA1403" s="7" t="n"/>
      <c r="AD1403" s="11" t="n"/>
      <c r="AF1403">
        <f>IF($B1403="","",IF(COUNTIF($B$2:$B1403,$B1403)=1,1,0))</f>
        <v/>
      </c>
      <c r="AG1403">
        <f>IF($AF1403=1,SUMPRODUCT(--($AJ$2:$AJ$1501&lt;$AJ1403))+1,"")</f>
        <v/>
      </c>
      <c r="AH1403">
        <f>IF($B1403="","",IF(OR($M1403=TRUE(),$M1403="TRUE"),1,0))</f>
        <v/>
      </c>
      <c r="AI1403">
        <f>IF($B1403="","",IF($V1403="Yes",1,0))</f>
        <v/>
      </c>
      <c r="AJ1403">
        <f>IF($AF1403=1,IFERROR(IF(VALUE($B1403)&lt;100000000,VALUE($B1403),1000000000),IFERROR(IF(VALUE(MID($B1403,2,20))&lt;100000000,VALUE(MID($B1403,2,20)),1000000000),1000000000))+ROW()/100000,"")</f>
        <v/>
      </c>
    </row>
    <row r="1404">
      <c r="C1404" s="11" t="n"/>
      <c r="J1404" s="7">
        <f>IF($B1404="","",I1404*Q1404/100)</f>
        <v/>
      </c>
      <c r="P1404" s="7" t="n"/>
      <c r="Q1404" s="7" t="n"/>
      <c r="R1404" s="7">
        <f>IF($B1404="","",Q1404*W1404/100)</f>
        <v/>
      </c>
      <c r="S1404" s="7">
        <f>IF($B1404="","",Q1404-R1404)</f>
        <v/>
      </c>
      <c r="T1404" s="7">
        <f>IF($B1404="","",S1404-J1404)</f>
        <v/>
      </c>
      <c r="W1404">
        <f>IF($B1404="","",IF($AI1404=1,0,IF($AH1404=1,Settings!$C$6,Settings!$C$7))*100)</f>
        <v/>
      </c>
      <c r="AA1404" s="7" t="n"/>
      <c r="AD1404" s="11" t="n"/>
      <c r="AF1404">
        <f>IF($B1404="","",IF(COUNTIF($B$2:$B1404,$B1404)=1,1,0))</f>
        <v/>
      </c>
      <c r="AG1404">
        <f>IF($AF1404=1,SUMPRODUCT(--($AJ$2:$AJ$1501&lt;$AJ1404))+1,"")</f>
        <v/>
      </c>
      <c r="AH1404">
        <f>IF($B1404="","",IF(OR($M1404=TRUE(),$M1404="TRUE"),1,0))</f>
        <v/>
      </c>
      <c r="AI1404">
        <f>IF($B1404="","",IF($V1404="Yes",1,0))</f>
        <v/>
      </c>
      <c r="AJ1404">
        <f>IF($AF1404=1,IFERROR(IF(VALUE($B1404)&lt;100000000,VALUE($B1404),1000000000),IFERROR(IF(VALUE(MID($B1404,2,20))&lt;100000000,VALUE(MID($B1404,2,20)),1000000000),1000000000))+ROW()/100000,"")</f>
        <v/>
      </c>
    </row>
    <row r="1405">
      <c r="C1405" s="11" t="n"/>
      <c r="J1405" s="7">
        <f>IF($B1405="","",I1405*Q1405/100)</f>
        <v/>
      </c>
      <c r="P1405" s="7" t="n"/>
      <c r="Q1405" s="7" t="n"/>
      <c r="R1405" s="7">
        <f>IF($B1405="","",Q1405*W1405/100)</f>
        <v/>
      </c>
      <c r="S1405" s="7">
        <f>IF($B1405="","",Q1405-R1405)</f>
        <v/>
      </c>
      <c r="T1405" s="7">
        <f>IF($B1405="","",S1405-J1405)</f>
        <v/>
      </c>
      <c r="W1405">
        <f>IF($B1405="","",IF($AI1405=1,0,IF($AH1405=1,Settings!$C$6,Settings!$C$7))*100)</f>
        <v/>
      </c>
      <c r="AA1405" s="7" t="n"/>
      <c r="AD1405" s="11" t="n"/>
      <c r="AF1405">
        <f>IF($B1405="","",IF(COUNTIF($B$2:$B1405,$B1405)=1,1,0))</f>
        <v/>
      </c>
      <c r="AG1405">
        <f>IF($AF1405=1,SUMPRODUCT(--($AJ$2:$AJ$1501&lt;$AJ1405))+1,"")</f>
        <v/>
      </c>
      <c r="AH1405">
        <f>IF($B1405="","",IF(OR($M1405=TRUE(),$M1405="TRUE"),1,0))</f>
        <v/>
      </c>
      <c r="AI1405">
        <f>IF($B1405="","",IF($V1405="Yes",1,0))</f>
        <v/>
      </c>
      <c r="AJ1405">
        <f>IF($AF1405=1,IFERROR(IF(VALUE($B1405)&lt;100000000,VALUE($B1405),1000000000),IFERROR(IF(VALUE(MID($B1405,2,20))&lt;100000000,VALUE(MID($B1405,2,20)),1000000000),1000000000))+ROW()/100000,"")</f>
        <v/>
      </c>
    </row>
    <row r="1406">
      <c r="C1406" s="11" t="n"/>
      <c r="J1406" s="7">
        <f>IF($B1406="","",I1406*Q1406/100)</f>
        <v/>
      </c>
      <c r="P1406" s="7" t="n"/>
      <c r="Q1406" s="7" t="n"/>
      <c r="R1406" s="7">
        <f>IF($B1406="","",Q1406*W1406/100)</f>
        <v/>
      </c>
      <c r="S1406" s="7">
        <f>IF($B1406="","",Q1406-R1406)</f>
        <v/>
      </c>
      <c r="T1406" s="7">
        <f>IF($B1406="","",S1406-J1406)</f>
        <v/>
      </c>
      <c r="W1406">
        <f>IF($B1406="","",IF($AI1406=1,0,IF($AH1406=1,Settings!$C$6,Settings!$C$7))*100)</f>
        <v/>
      </c>
      <c r="AA1406" s="7" t="n"/>
      <c r="AD1406" s="11" t="n"/>
      <c r="AF1406">
        <f>IF($B1406="","",IF(COUNTIF($B$2:$B1406,$B1406)=1,1,0))</f>
        <v/>
      </c>
      <c r="AG1406">
        <f>IF($AF1406=1,SUMPRODUCT(--($AJ$2:$AJ$1501&lt;$AJ1406))+1,"")</f>
        <v/>
      </c>
      <c r="AH1406">
        <f>IF($B1406="","",IF(OR($M1406=TRUE(),$M1406="TRUE"),1,0))</f>
        <v/>
      </c>
      <c r="AI1406">
        <f>IF($B1406="","",IF($V1406="Yes",1,0))</f>
        <v/>
      </c>
      <c r="AJ1406">
        <f>IF($AF1406=1,IFERROR(IF(VALUE($B1406)&lt;100000000,VALUE($B1406),1000000000),IFERROR(IF(VALUE(MID($B1406,2,20))&lt;100000000,VALUE(MID($B1406,2,20)),1000000000),1000000000))+ROW()/100000,"")</f>
        <v/>
      </c>
    </row>
    <row r="1407">
      <c r="C1407" s="11" t="n"/>
      <c r="J1407" s="7">
        <f>IF($B1407="","",I1407*Q1407/100)</f>
        <v/>
      </c>
      <c r="P1407" s="7" t="n"/>
      <c r="Q1407" s="7" t="n"/>
      <c r="R1407" s="7">
        <f>IF($B1407="","",Q1407*W1407/100)</f>
        <v/>
      </c>
      <c r="S1407" s="7">
        <f>IF($B1407="","",Q1407-R1407)</f>
        <v/>
      </c>
      <c r="T1407" s="7">
        <f>IF($B1407="","",S1407-J1407)</f>
        <v/>
      </c>
      <c r="W1407">
        <f>IF($B1407="","",IF($AI1407=1,0,IF($AH1407=1,Settings!$C$6,Settings!$C$7))*100)</f>
        <v/>
      </c>
      <c r="AA1407" s="7" t="n"/>
      <c r="AD1407" s="11" t="n"/>
      <c r="AF1407">
        <f>IF($B1407="","",IF(COUNTIF($B$2:$B1407,$B1407)=1,1,0))</f>
        <v/>
      </c>
      <c r="AG1407">
        <f>IF($AF1407=1,SUMPRODUCT(--($AJ$2:$AJ$1501&lt;$AJ1407))+1,"")</f>
        <v/>
      </c>
      <c r="AH1407">
        <f>IF($B1407="","",IF(OR($M1407=TRUE(),$M1407="TRUE"),1,0))</f>
        <v/>
      </c>
      <c r="AI1407">
        <f>IF($B1407="","",IF($V1407="Yes",1,0))</f>
        <v/>
      </c>
      <c r="AJ1407">
        <f>IF($AF1407=1,IFERROR(IF(VALUE($B1407)&lt;100000000,VALUE($B1407),1000000000),IFERROR(IF(VALUE(MID($B1407,2,20))&lt;100000000,VALUE(MID($B1407,2,20)),1000000000),1000000000))+ROW()/100000,"")</f>
        <v/>
      </c>
    </row>
    <row r="1408">
      <c r="C1408" s="11" t="n"/>
      <c r="J1408" s="7">
        <f>IF($B1408="","",I1408*Q1408/100)</f>
        <v/>
      </c>
      <c r="P1408" s="7" t="n"/>
      <c r="Q1408" s="7" t="n"/>
      <c r="R1408" s="7">
        <f>IF($B1408="","",Q1408*W1408/100)</f>
        <v/>
      </c>
      <c r="S1408" s="7">
        <f>IF($B1408="","",Q1408-R1408)</f>
        <v/>
      </c>
      <c r="T1408" s="7">
        <f>IF($B1408="","",S1408-J1408)</f>
        <v/>
      </c>
      <c r="W1408">
        <f>IF($B1408="","",IF($AI1408=1,0,IF($AH1408=1,Settings!$C$6,Settings!$C$7))*100)</f>
        <v/>
      </c>
      <c r="AA1408" s="7" t="n"/>
      <c r="AD1408" s="11" t="n"/>
      <c r="AF1408">
        <f>IF($B1408="","",IF(COUNTIF($B$2:$B1408,$B1408)=1,1,0))</f>
        <v/>
      </c>
      <c r="AG1408">
        <f>IF($AF1408=1,SUMPRODUCT(--($AJ$2:$AJ$1501&lt;$AJ1408))+1,"")</f>
        <v/>
      </c>
      <c r="AH1408">
        <f>IF($B1408="","",IF(OR($M1408=TRUE(),$M1408="TRUE"),1,0))</f>
        <v/>
      </c>
      <c r="AI1408">
        <f>IF($B1408="","",IF($V1408="Yes",1,0))</f>
        <v/>
      </c>
      <c r="AJ1408">
        <f>IF($AF1408=1,IFERROR(IF(VALUE($B1408)&lt;100000000,VALUE($B1408),1000000000),IFERROR(IF(VALUE(MID($B1408,2,20))&lt;100000000,VALUE(MID($B1408,2,20)),1000000000),1000000000))+ROW()/100000,"")</f>
        <v/>
      </c>
    </row>
    <row r="1409">
      <c r="C1409" s="11" t="n"/>
      <c r="J1409" s="7">
        <f>IF($B1409="","",I1409*Q1409/100)</f>
        <v/>
      </c>
      <c r="P1409" s="7" t="n"/>
      <c r="Q1409" s="7" t="n"/>
      <c r="R1409" s="7">
        <f>IF($B1409="","",Q1409*W1409/100)</f>
        <v/>
      </c>
      <c r="S1409" s="7">
        <f>IF($B1409="","",Q1409-R1409)</f>
        <v/>
      </c>
      <c r="T1409" s="7">
        <f>IF($B1409="","",S1409-J1409)</f>
        <v/>
      </c>
      <c r="W1409">
        <f>IF($B1409="","",IF($AI1409=1,0,IF($AH1409=1,Settings!$C$6,Settings!$C$7))*100)</f>
        <v/>
      </c>
      <c r="AA1409" s="7" t="n"/>
      <c r="AD1409" s="11" t="n"/>
      <c r="AF1409">
        <f>IF($B1409="","",IF(COUNTIF($B$2:$B1409,$B1409)=1,1,0))</f>
        <v/>
      </c>
      <c r="AG1409">
        <f>IF($AF1409=1,SUMPRODUCT(--($AJ$2:$AJ$1501&lt;$AJ1409))+1,"")</f>
        <v/>
      </c>
      <c r="AH1409">
        <f>IF($B1409="","",IF(OR($M1409=TRUE(),$M1409="TRUE"),1,0))</f>
        <v/>
      </c>
      <c r="AI1409">
        <f>IF($B1409="","",IF($V1409="Yes",1,0))</f>
        <v/>
      </c>
      <c r="AJ1409">
        <f>IF($AF1409=1,IFERROR(IF(VALUE($B1409)&lt;100000000,VALUE($B1409),1000000000),IFERROR(IF(VALUE(MID($B1409,2,20))&lt;100000000,VALUE(MID($B1409,2,20)),1000000000),1000000000))+ROW()/100000,"")</f>
        <v/>
      </c>
    </row>
    <row r="1410">
      <c r="C1410" s="11" t="n"/>
      <c r="J1410" s="7">
        <f>IF($B1410="","",I1410*Q1410/100)</f>
        <v/>
      </c>
      <c r="P1410" s="7" t="n"/>
      <c r="Q1410" s="7" t="n"/>
      <c r="R1410" s="7">
        <f>IF($B1410="","",Q1410*W1410/100)</f>
        <v/>
      </c>
      <c r="S1410" s="7">
        <f>IF($B1410="","",Q1410-R1410)</f>
        <v/>
      </c>
      <c r="T1410" s="7">
        <f>IF($B1410="","",S1410-J1410)</f>
        <v/>
      </c>
      <c r="W1410">
        <f>IF($B1410="","",IF($AI1410=1,0,IF($AH1410=1,Settings!$C$6,Settings!$C$7))*100)</f>
        <v/>
      </c>
      <c r="AA1410" s="7" t="n"/>
      <c r="AD1410" s="11" t="n"/>
      <c r="AF1410">
        <f>IF($B1410="","",IF(COUNTIF($B$2:$B1410,$B1410)=1,1,0))</f>
        <v/>
      </c>
      <c r="AG1410">
        <f>IF($AF1410=1,SUMPRODUCT(--($AJ$2:$AJ$1501&lt;$AJ1410))+1,"")</f>
        <v/>
      </c>
      <c r="AH1410">
        <f>IF($B1410="","",IF(OR($M1410=TRUE(),$M1410="TRUE"),1,0))</f>
        <v/>
      </c>
      <c r="AI1410">
        <f>IF($B1410="","",IF($V1410="Yes",1,0))</f>
        <v/>
      </c>
      <c r="AJ1410">
        <f>IF($AF1410=1,IFERROR(IF(VALUE($B1410)&lt;100000000,VALUE($B1410),1000000000),IFERROR(IF(VALUE(MID($B1410,2,20))&lt;100000000,VALUE(MID($B1410,2,20)),1000000000),1000000000))+ROW()/100000,"")</f>
        <v/>
      </c>
    </row>
    <row r="1411">
      <c r="C1411" s="11" t="n"/>
      <c r="J1411" s="7">
        <f>IF($B1411="","",I1411*Q1411/100)</f>
        <v/>
      </c>
      <c r="P1411" s="7" t="n"/>
      <c r="Q1411" s="7" t="n"/>
      <c r="R1411" s="7">
        <f>IF($B1411="","",Q1411*W1411/100)</f>
        <v/>
      </c>
      <c r="S1411" s="7">
        <f>IF($B1411="","",Q1411-R1411)</f>
        <v/>
      </c>
      <c r="T1411" s="7">
        <f>IF($B1411="","",S1411-J1411)</f>
        <v/>
      </c>
      <c r="W1411">
        <f>IF($B1411="","",IF($AI1411=1,0,IF($AH1411=1,Settings!$C$6,Settings!$C$7))*100)</f>
        <v/>
      </c>
      <c r="AA1411" s="7" t="n"/>
      <c r="AD1411" s="11" t="n"/>
      <c r="AF1411">
        <f>IF($B1411="","",IF(COUNTIF($B$2:$B1411,$B1411)=1,1,0))</f>
        <v/>
      </c>
      <c r="AG1411">
        <f>IF($AF1411=1,SUMPRODUCT(--($AJ$2:$AJ$1501&lt;$AJ1411))+1,"")</f>
        <v/>
      </c>
      <c r="AH1411">
        <f>IF($B1411="","",IF(OR($M1411=TRUE(),$M1411="TRUE"),1,0))</f>
        <v/>
      </c>
      <c r="AI1411">
        <f>IF($B1411="","",IF($V1411="Yes",1,0))</f>
        <v/>
      </c>
      <c r="AJ1411">
        <f>IF($AF1411=1,IFERROR(IF(VALUE($B1411)&lt;100000000,VALUE($B1411),1000000000),IFERROR(IF(VALUE(MID($B1411,2,20))&lt;100000000,VALUE(MID($B1411,2,20)),1000000000),1000000000))+ROW()/100000,"")</f>
        <v/>
      </c>
    </row>
    <row r="1412">
      <c r="C1412" s="11" t="n"/>
      <c r="J1412" s="7">
        <f>IF($B1412="","",I1412*Q1412/100)</f>
        <v/>
      </c>
      <c r="P1412" s="7" t="n"/>
      <c r="Q1412" s="7" t="n"/>
      <c r="R1412" s="7">
        <f>IF($B1412="","",Q1412*W1412/100)</f>
        <v/>
      </c>
      <c r="S1412" s="7">
        <f>IF($B1412="","",Q1412-R1412)</f>
        <v/>
      </c>
      <c r="T1412" s="7">
        <f>IF($B1412="","",S1412-J1412)</f>
        <v/>
      </c>
      <c r="W1412">
        <f>IF($B1412="","",IF($AI1412=1,0,IF($AH1412=1,Settings!$C$6,Settings!$C$7))*100)</f>
        <v/>
      </c>
      <c r="AA1412" s="7" t="n"/>
      <c r="AD1412" s="11" t="n"/>
      <c r="AF1412">
        <f>IF($B1412="","",IF(COUNTIF($B$2:$B1412,$B1412)=1,1,0))</f>
        <v/>
      </c>
      <c r="AG1412">
        <f>IF($AF1412=1,SUMPRODUCT(--($AJ$2:$AJ$1501&lt;$AJ1412))+1,"")</f>
        <v/>
      </c>
      <c r="AH1412">
        <f>IF($B1412="","",IF(OR($M1412=TRUE(),$M1412="TRUE"),1,0))</f>
        <v/>
      </c>
      <c r="AI1412">
        <f>IF($B1412="","",IF($V1412="Yes",1,0))</f>
        <v/>
      </c>
      <c r="AJ1412">
        <f>IF($AF1412=1,IFERROR(IF(VALUE($B1412)&lt;100000000,VALUE($B1412),1000000000),IFERROR(IF(VALUE(MID($B1412,2,20))&lt;100000000,VALUE(MID($B1412,2,20)),1000000000),1000000000))+ROW()/100000,"")</f>
        <v/>
      </c>
    </row>
    <row r="1413">
      <c r="C1413" s="11" t="n"/>
      <c r="J1413" s="7">
        <f>IF($B1413="","",I1413*Q1413/100)</f>
        <v/>
      </c>
      <c r="P1413" s="7" t="n"/>
      <c r="Q1413" s="7" t="n"/>
      <c r="R1413" s="7">
        <f>IF($B1413="","",Q1413*W1413/100)</f>
        <v/>
      </c>
      <c r="S1413" s="7">
        <f>IF($B1413="","",Q1413-R1413)</f>
        <v/>
      </c>
      <c r="T1413" s="7">
        <f>IF($B1413="","",S1413-J1413)</f>
        <v/>
      </c>
      <c r="W1413">
        <f>IF($B1413="","",IF($AI1413=1,0,IF($AH1413=1,Settings!$C$6,Settings!$C$7))*100)</f>
        <v/>
      </c>
      <c r="AA1413" s="7" t="n"/>
      <c r="AD1413" s="11" t="n"/>
      <c r="AF1413">
        <f>IF($B1413="","",IF(COUNTIF($B$2:$B1413,$B1413)=1,1,0))</f>
        <v/>
      </c>
      <c r="AG1413">
        <f>IF($AF1413=1,SUMPRODUCT(--($AJ$2:$AJ$1501&lt;$AJ1413))+1,"")</f>
        <v/>
      </c>
      <c r="AH1413">
        <f>IF($B1413="","",IF(OR($M1413=TRUE(),$M1413="TRUE"),1,0))</f>
        <v/>
      </c>
      <c r="AI1413">
        <f>IF($B1413="","",IF($V1413="Yes",1,0))</f>
        <v/>
      </c>
      <c r="AJ1413">
        <f>IF($AF1413=1,IFERROR(IF(VALUE($B1413)&lt;100000000,VALUE($B1413),1000000000),IFERROR(IF(VALUE(MID($B1413,2,20))&lt;100000000,VALUE(MID($B1413,2,20)),1000000000),1000000000))+ROW()/100000,"")</f>
        <v/>
      </c>
    </row>
    <row r="1414">
      <c r="C1414" s="11" t="n"/>
      <c r="J1414" s="7">
        <f>IF($B1414="","",I1414*Q1414/100)</f>
        <v/>
      </c>
      <c r="P1414" s="7" t="n"/>
      <c r="Q1414" s="7" t="n"/>
      <c r="R1414" s="7">
        <f>IF($B1414="","",Q1414*W1414/100)</f>
        <v/>
      </c>
      <c r="S1414" s="7">
        <f>IF($B1414="","",Q1414-R1414)</f>
        <v/>
      </c>
      <c r="T1414" s="7">
        <f>IF($B1414="","",S1414-J1414)</f>
        <v/>
      </c>
      <c r="W1414">
        <f>IF($B1414="","",IF($AI1414=1,0,IF($AH1414=1,Settings!$C$6,Settings!$C$7))*100)</f>
        <v/>
      </c>
      <c r="AA1414" s="7" t="n"/>
      <c r="AD1414" s="11" t="n"/>
      <c r="AF1414">
        <f>IF($B1414="","",IF(COUNTIF($B$2:$B1414,$B1414)=1,1,0))</f>
        <v/>
      </c>
      <c r="AG1414">
        <f>IF($AF1414=1,SUMPRODUCT(--($AJ$2:$AJ$1501&lt;$AJ1414))+1,"")</f>
        <v/>
      </c>
      <c r="AH1414">
        <f>IF($B1414="","",IF(OR($M1414=TRUE(),$M1414="TRUE"),1,0))</f>
        <v/>
      </c>
      <c r="AI1414">
        <f>IF($B1414="","",IF($V1414="Yes",1,0))</f>
        <v/>
      </c>
      <c r="AJ1414">
        <f>IF($AF1414=1,IFERROR(IF(VALUE($B1414)&lt;100000000,VALUE($B1414),1000000000),IFERROR(IF(VALUE(MID($B1414,2,20))&lt;100000000,VALUE(MID($B1414,2,20)),1000000000),1000000000))+ROW()/100000,"")</f>
        <v/>
      </c>
    </row>
    <row r="1415">
      <c r="C1415" s="11" t="n"/>
      <c r="J1415" s="7">
        <f>IF($B1415="","",I1415*Q1415/100)</f>
        <v/>
      </c>
      <c r="P1415" s="7" t="n"/>
      <c r="Q1415" s="7" t="n"/>
      <c r="R1415" s="7">
        <f>IF($B1415="","",Q1415*W1415/100)</f>
        <v/>
      </c>
      <c r="S1415" s="7">
        <f>IF($B1415="","",Q1415-R1415)</f>
        <v/>
      </c>
      <c r="T1415" s="7">
        <f>IF($B1415="","",S1415-J1415)</f>
        <v/>
      </c>
      <c r="W1415">
        <f>IF($B1415="","",IF($AI1415=1,0,IF($AH1415=1,Settings!$C$6,Settings!$C$7))*100)</f>
        <v/>
      </c>
      <c r="AA1415" s="7" t="n"/>
      <c r="AD1415" s="11" t="n"/>
      <c r="AF1415">
        <f>IF($B1415="","",IF(COUNTIF($B$2:$B1415,$B1415)=1,1,0))</f>
        <v/>
      </c>
      <c r="AG1415">
        <f>IF($AF1415=1,SUMPRODUCT(--($AJ$2:$AJ$1501&lt;$AJ1415))+1,"")</f>
        <v/>
      </c>
      <c r="AH1415">
        <f>IF($B1415="","",IF(OR($M1415=TRUE(),$M1415="TRUE"),1,0))</f>
        <v/>
      </c>
      <c r="AI1415">
        <f>IF($B1415="","",IF($V1415="Yes",1,0))</f>
        <v/>
      </c>
      <c r="AJ1415">
        <f>IF($AF1415=1,IFERROR(IF(VALUE($B1415)&lt;100000000,VALUE($B1415),1000000000),IFERROR(IF(VALUE(MID($B1415,2,20))&lt;100000000,VALUE(MID($B1415,2,20)),1000000000),1000000000))+ROW()/100000,"")</f>
        <v/>
      </c>
    </row>
    <row r="1416">
      <c r="C1416" s="11" t="n"/>
      <c r="J1416" s="7">
        <f>IF($B1416="","",I1416*Q1416/100)</f>
        <v/>
      </c>
      <c r="P1416" s="7" t="n"/>
      <c r="Q1416" s="7" t="n"/>
      <c r="R1416" s="7">
        <f>IF($B1416="","",Q1416*W1416/100)</f>
        <v/>
      </c>
      <c r="S1416" s="7">
        <f>IF($B1416="","",Q1416-R1416)</f>
        <v/>
      </c>
      <c r="T1416" s="7">
        <f>IF($B1416="","",S1416-J1416)</f>
        <v/>
      </c>
      <c r="W1416">
        <f>IF($B1416="","",IF($AI1416=1,0,IF($AH1416=1,Settings!$C$6,Settings!$C$7))*100)</f>
        <v/>
      </c>
      <c r="AA1416" s="7" t="n"/>
      <c r="AD1416" s="11" t="n"/>
      <c r="AF1416">
        <f>IF($B1416="","",IF(COUNTIF($B$2:$B1416,$B1416)=1,1,0))</f>
        <v/>
      </c>
      <c r="AG1416">
        <f>IF($AF1416=1,SUMPRODUCT(--($AJ$2:$AJ$1501&lt;$AJ1416))+1,"")</f>
        <v/>
      </c>
      <c r="AH1416">
        <f>IF($B1416="","",IF(OR($M1416=TRUE(),$M1416="TRUE"),1,0))</f>
        <v/>
      </c>
      <c r="AI1416">
        <f>IF($B1416="","",IF($V1416="Yes",1,0))</f>
        <v/>
      </c>
      <c r="AJ1416">
        <f>IF($AF1416=1,IFERROR(IF(VALUE($B1416)&lt;100000000,VALUE($B1416),1000000000),IFERROR(IF(VALUE(MID($B1416,2,20))&lt;100000000,VALUE(MID($B1416,2,20)),1000000000),1000000000))+ROW()/100000,"")</f>
        <v/>
      </c>
    </row>
    <row r="1417">
      <c r="C1417" s="11" t="n"/>
      <c r="J1417" s="7">
        <f>IF($B1417="","",I1417*Q1417/100)</f>
        <v/>
      </c>
      <c r="P1417" s="7" t="n"/>
      <c r="Q1417" s="7" t="n"/>
      <c r="R1417" s="7">
        <f>IF($B1417="","",Q1417*W1417/100)</f>
        <v/>
      </c>
      <c r="S1417" s="7">
        <f>IF($B1417="","",Q1417-R1417)</f>
        <v/>
      </c>
      <c r="T1417" s="7">
        <f>IF($B1417="","",S1417-J1417)</f>
        <v/>
      </c>
      <c r="W1417">
        <f>IF($B1417="","",IF($AI1417=1,0,IF($AH1417=1,Settings!$C$6,Settings!$C$7))*100)</f>
        <v/>
      </c>
      <c r="AA1417" s="7" t="n"/>
      <c r="AD1417" s="11" t="n"/>
      <c r="AF1417">
        <f>IF($B1417="","",IF(COUNTIF($B$2:$B1417,$B1417)=1,1,0))</f>
        <v/>
      </c>
      <c r="AG1417">
        <f>IF($AF1417=1,SUMPRODUCT(--($AJ$2:$AJ$1501&lt;$AJ1417))+1,"")</f>
        <v/>
      </c>
      <c r="AH1417">
        <f>IF($B1417="","",IF(OR($M1417=TRUE(),$M1417="TRUE"),1,0))</f>
        <v/>
      </c>
      <c r="AI1417">
        <f>IF($B1417="","",IF($V1417="Yes",1,0))</f>
        <v/>
      </c>
      <c r="AJ1417">
        <f>IF($AF1417=1,IFERROR(IF(VALUE($B1417)&lt;100000000,VALUE($B1417),1000000000),IFERROR(IF(VALUE(MID($B1417,2,20))&lt;100000000,VALUE(MID($B1417,2,20)),1000000000),1000000000))+ROW()/100000,"")</f>
        <v/>
      </c>
    </row>
    <row r="1418">
      <c r="C1418" s="11" t="n"/>
      <c r="J1418" s="7">
        <f>IF($B1418="","",I1418*Q1418/100)</f>
        <v/>
      </c>
      <c r="P1418" s="7" t="n"/>
      <c r="Q1418" s="7" t="n"/>
      <c r="R1418" s="7">
        <f>IF($B1418="","",Q1418*W1418/100)</f>
        <v/>
      </c>
      <c r="S1418" s="7">
        <f>IF($B1418="","",Q1418-R1418)</f>
        <v/>
      </c>
      <c r="T1418" s="7">
        <f>IF($B1418="","",S1418-J1418)</f>
        <v/>
      </c>
      <c r="W1418">
        <f>IF($B1418="","",IF($AI1418=1,0,IF($AH1418=1,Settings!$C$6,Settings!$C$7))*100)</f>
        <v/>
      </c>
      <c r="AA1418" s="7" t="n"/>
      <c r="AD1418" s="11" t="n"/>
      <c r="AF1418">
        <f>IF($B1418="","",IF(COUNTIF($B$2:$B1418,$B1418)=1,1,0))</f>
        <v/>
      </c>
      <c r="AG1418">
        <f>IF($AF1418=1,SUMPRODUCT(--($AJ$2:$AJ$1501&lt;$AJ1418))+1,"")</f>
        <v/>
      </c>
      <c r="AH1418">
        <f>IF($B1418="","",IF(OR($M1418=TRUE(),$M1418="TRUE"),1,0))</f>
        <v/>
      </c>
      <c r="AI1418">
        <f>IF($B1418="","",IF($V1418="Yes",1,0))</f>
        <v/>
      </c>
      <c r="AJ1418">
        <f>IF($AF1418=1,IFERROR(IF(VALUE($B1418)&lt;100000000,VALUE($B1418),1000000000),IFERROR(IF(VALUE(MID($B1418,2,20))&lt;100000000,VALUE(MID($B1418,2,20)),1000000000),1000000000))+ROW()/100000,"")</f>
        <v/>
      </c>
    </row>
    <row r="1419">
      <c r="C1419" s="11" t="n"/>
      <c r="J1419" s="7">
        <f>IF($B1419="","",I1419*Q1419/100)</f>
        <v/>
      </c>
      <c r="P1419" s="7" t="n"/>
      <c r="Q1419" s="7" t="n"/>
      <c r="R1419" s="7">
        <f>IF($B1419="","",Q1419*W1419/100)</f>
        <v/>
      </c>
      <c r="S1419" s="7">
        <f>IF($B1419="","",Q1419-R1419)</f>
        <v/>
      </c>
      <c r="T1419" s="7">
        <f>IF($B1419="","",S1419-J1419)</f>
        <v/>
      </c>
      <c r="W1419">
        <f>IF($B1419="","",IF($AI1419=1,0,IF($AH1419=1,Settings!$C$6,Settings!$C$7))*100)</f>
        <v/>
      </c>
      <c r="AA1419" s="7" t="n"/>
      <c r="AD1419" s="11" t="n"/>
      <c r="AF1419">
        <f>IF($B1419="","",IF(COUNTIF($B$2:$B1419,$B1419)=1,1,0))</f>
        <v/>
      </c>
      <c r="AG1419">
        <f>IF($AF1419=1,SUMPRODUCT(--($AJ$2:$AJ$1501&lt;$AJ1419))+1,"")</f>
        <v/>
      </c>
      <c r="AH1419">
        <f>IF($B1419="","",IF(OR($M1419=TRUE(),$M1419="TRUE"),1,0))</f>
        <v/>
      </c>
      <c r="AI1419">
        <f>IF($B1419="","",IF($V1419="Yes",1,0))</f>
        <v/>
      </c>
      <c r="AJ1419">
        <f>IF($AF1419=1,IFERROR(IF(VALUE($B1419)&lt;100000000,VALUE($B1419),1000000000),IFERROR(IF(VALUE(MID($B1419,2,20))&lt;100000000,VALUE(MID($B1419,2,20)),1000000000),1000000000))+ROW()/100000,"")</f>
        <v/>
      </c>
    </row>
    <row r="1420">
      <c r="C1420" s="11" t="n"/>
      <c r="J1420" s="7">
        <f>IF($B1420="","",I1420*Q1420/100)</f>
        <v/>
      </c>
      <c r="P1420" s="7" t="n"/>
      <c r="Q1420" s="7" t="n"/>
      <c r="R1420" s="7">
        <f>IF($B1420="","",Q1420*W1420/100)</f>
        <v/>
      </c>
      <c r="S1420" s="7">
        <f>IF($B1420="","",Q1420-R1420)</f>
        <v/>
      </c>
      <c r="T1420" s="7">
        <f>IF($B1420="","",S1420-J1420)</f>
        <v/>
      </c>
      <c r="W1420">
        <f>IF($B1420="","",IF($AI1420=1,0,IF($AH1420=1,Settings!$C$6,Settings!$C$7))*100)</f>
        <v/>
      </c>
      <c r="AA1420" s="7" t="n"/>
      <c r="AD1420" s="11" t="n"/>
      <c r="AF1420">
        <f>IF($B1420="","",IF(COUNTIF($B$2:$B1420,$B1420)=1,1,0))</f>
        <v/>
      </c>
      <c r="AG1420">
        <f>IF($AF1420=1,SUMPRODUCT(--($AJ$2:$AJ$1501&lt;$AJ1420))+1,"")</f>
        <v/>
      </c>
      <c r="AH1420">
        <f>IF($B1420="","",IF(OR($M1420=TRUE(),$M1420="TRUE"),1,0))</f>
        <v/>
      </c>
      <c r="AI1420">
        <f>IF($B1420="","",IF($V1420="Yes",1,0))</f>
        <v/>
      </c>
      <c r="AJ1420">
        <f>IF($AF1420=1,IFERROR(IF(VALUE($B1420)&lt;100000000,VALUE($B1420),1000000000),IFERROR(IF(VALUE(MID($B1420,2,20))&lt;100000000,VALUE(MID($B1420,2,20)),1000000000),1000000000))+ROW()/100000,"")</f>
        <v/>
      </c>
    </row>
    <row r="1421">
      <c r="C1421" s="11" t="n"/>
      <c r="J1421" s="7">
        <f>IF($B1421="","",I1421*Q1421/100)</f>
        <v/>
      </c>
      <c r="P1421" s="7" t="n"/>
      <c r="Q1421" s="7" t="n"/>
      <c r="R1421" s="7">
        <f>IF($B1421="","",Q1421*W1421/100)</f>
        <v/>
      </c>
      <c r="S1421" s="7">
        <f>IF($B1421="","",Q1421-R1421)</f>
        <v/>
      </c>
      <c r="T1421" s="7">
        <f>IF($B1421="","",S1421-J1421)</f>
        <v/>
      </c>
      <c r="W1421">
        <f>IF($B1421="","",IF($AI1421=1,0,IF($AH1421=1,Settings!$C$6,Settings!$C$7))*100)</f>
        <v/>
      </c>
      <c r="AA1421" s="7" t="n"/>
      <c r="AD1421" s="11" t="n"/>
      <c r="AF1421">
        <f>IF($B1421="","",IF(COUNTIF($B$2:$B1421,$B1421)=1,1,0))</f>
        <v/>
      </c>
      <c r="AG1421">
        <f>IF($AF1421=1,SUMPRODUCT(--($AJ$2:$AJ$1501&lt;$AJ1421))+1,"")</f>
        <v/>
      </c>
      <c r="AH1421">
        <f>IF($B1421="","",IF(OR($M1421=TRUE(),$M1421="TRUE"),1,0))</f>
        <v/>
      </c>
      <c r="AI1421">
        <f>IF($B1421="","",IF($V1421="Yes",1,0))</f>
        <v/>
      </c>
      <c r="AJ1421">
        <f>IF($AF1421=1,IFERROR(IF(VALUE($B1421)&lt;100000000,VALUE($B1421),1000000000),IFERROR(IF(VALUE(MID($B1421,2,20))&lt;100000000,VALUE(MID($B1421,2,20)),1000000000),1000000000))+ROW()/100000,"")</f>
        <v/>
      </c>
    </row>
    <row r="1422">
      <c r="C1422" s="11" t="n"/>
      <c r="J1422" s="7">
        <f>IF($B1422="","",I1422*Q1422/100)</f>
        <v/>
      </c>
      <c r="P1422" s="7" t="n"/>
      <c r="Q1422" s="7" t="n"/>
      <c r="R1422" s="7">
        <f>IF($B1422="","",Q1422*W1422/100)</f>
        <v/>
      </c>
      <c r="S1422" s="7">
        <f>IF($B1422="","",Q1422-R1422)</f>
        <v/>
      </c>
      <c r="T1422" s="7">
        <f>IF($B1422="","",S1422-J1422)</f>
        <v/>
      </c>
      <c r="W1422">
        <f>IF($B1422="","",IF($AI1422=1,0,IF($AH1422=1,Settings!$C$6,Settings!$C$7))*100)</f>
        <v/>
      </c>
      <c r="AA1422" s="7" t="n"/>
      <c r="AD1422" s="11" t="n"/>
      <c r="AF1422">
        <f>IF($B1422="","",IF(COUNTIF($B$2:$B1422,$B1422)=1,1,0))</f>
        <v/>
      </c>
      <c r="AG1422">
        <f>IF($AF1422=1,SUMPRODUCT(--($AJ$2:$AJ$1501&lt;$AJ1422))+1,"")</f>
        <v/>
      </c>
      <c r="AH1422">
        <f>IF($B1422="","",IF(OR($M1422=TRUE(),$M1422="TRUE"),1,0))</f>
        <v/>
      </c>
      <c r="AI1422">
        <f>IF($B1422="","",IF($V1422="Yes",1,0))</f>
        <v/>
      </c>
      <c r="AJ1422">
        <f>IF($AF1422=1,IFERROR(IF(VALUE($B1422)&lt;100000000,VALUE($B1422),1000000000),IFERROR(IF(VALUE(MID($B1422,2,20))&lt;100000000,VALUE(MID($B1422,2,20)),1000000000),1000000000))+ROW()/100000,"")</f>
        <v/>
      </c>
    </row>
    <row r="1423">
      <c r="C1423" s="11" t="n"/>
      <c r="J1423" s="7">
        <f>IF($B1423="","",I1423*Q1423/100)</f>
        <v/>
      </c>
      <c r="P1423" s="7" t="n"/>
      <c r="Q1423" s="7" t="n"/>
      <c r="R1423" s="7">
        <f>IF($B1423="","",Q1423*W1423/100)</f>
        <v/>
      </c>
      <c r="S1423" s="7">
        <f>IF($B1423="","",Q1423-R1423)</f>
        <v/>
      </c>
      <c r="T1423" s="7">
        <f>IF($B1423="","",S1423-J1423)</f>
        <v/>
      </c>
      <c r="W1423">
        <f>IF($B1423="","",IF($AI1423=1,0,IF($AH1423=1,Settings!$C$6,Settings!$C$7))*100)</f>
        <v/>
      </c>
      <c r="AA1423" s="7" t="n"/>
      <c r="AD1423" s="11" t="n"/>
      <c r="AF1423">
        <f>IF($B1423="","",IF(COUNTIF($B$2:$B1423,$B1423)=1,1,0))</f>
        <v/>
      </c>
      <c r="AG1423">
        <f>IF($AF1423=1,SUMPRODUCT(--($AJ$2:$AJ$1501&lt;$AJ1423))+1,"")</f>
        <v/>
      </c>
      <c r="AH1423">
        <f>IF($B1423="","",IF(OR($M1423=TRUE(),$M1423="TRUE"),1,0))</f>
        <v/>
      </c>
      <c r="AI1423">
        <f>IF($B1423="","",IF($V1423="Yes",1,0))</f>
        <v/>
      </c>
      <c r="AJ1423">
        <f>IF($AF1423=1,IFERROR(IF(VALUE($B1423)&lt;100000000,VALUE($B1423),1000000000),IFERROR(IF(VALUE(MID($B1423,2,20))&lt;100000000,VALUE(MID($B1423,2,20)),1000000000),1000000000))+ROW()/100000,"")</f>
        <v/>
      </c>
    </row>
    <row r="1424">
      <c r="C1424" s="11" t="n"/>
      <c r="J1424" s="7">
        <f>IF($B1424="","",I1424*Q1424/100)</f>
        <v/>
      </c>
      <c r="P1424" s="7" t="n"/>
      <c r="Q1424" s="7" t="n"/>
      <c r="R1424" s="7">
        <f>IF($B1424="","",Q1424*W1424/100)</f>
        <v/>
      </c>
      <c r="S1424" s="7">
        <f>IF($B1424="","",Q1424-R1424)</f>
        <v/>
      </c>
      <c r="T1424" s="7">
        <f>IF($B1424="","",S1424-J1424)</f>
        <v/>
      </c>
      <c r="W1424">
        <f>IF($B1424="","",IF($AI1424=1,0,IF($AH1424=1,Settings!$C$6,Settings!$C$7))*100)</f>
        <v/>
      </c>
      <c r="AA1424" s="7" t="n"/>
      <c r="AD1424" s="11" t="n"/>
      <c r="AF1424">
        <f>IF($B1424="","",IF(COUNTIF($B$2:$B1424,$B1424)=1,1,0))</f>
        <v/>
      </c>
      <c r="AG1424">
        <f>IF($AF1424=1,SUMPRODUCT(--($AJ$2:$AJ$1501&lt;$AJ1424))+1,"")</f>
        <v/>
      </c>
      <c r="AH1424">
        <f>IF($B1424="","",IF(OR($M1424=TRUE(),$M1424="TRUE"),1,0))</f>
        <v/>
      </c>
      <c r="AI1424">
        <f>IF($B1424="","",IF($V1424="Yes",1,0))</f>
        <v/>
      </c>
      <c r="AJ1424">
        <f>IF($AF1424=1,IFERROR(IF(VALUE($B1424)&lt;100000000,VALUE($B1424),1000000000),IFERROR(IF(VALUE(MID($B1424,2,20))&lt;100000000,VALUE(MID($B1424,2,20)),1000000000),1000000000))+ROW()/100000,"")</f>
        <v/>
      </c>
    </row>
    <row r="1425">
      <c r="C1425" s="11" t="n"/>
      <c r="J1425" s="7">
        <f>IF($B1425="","",I1425*Q1425/100)</f>
        <v/>
      </c>
      <c r="P1425" s="7" t="n"/>
      <c r="Q1425" s="7" t="n"/>
      <c r="R1425" s="7">
        <f>IF($B1425="","",Q1425*W1425/100)</f>
        <v/>
      </c>
      <c r="S1425" s="7">
        <f>IF($B1425="","",Q1425-R1425)</f>
        <v/>
      </c>
      <c r="T1425" s="7">
        <f>IF($B1425="","",S1425-J1425)</f>
        <v/>
      </c>
      <c r="W1425">
        <f>IF($B1425="","",IF($AI1425=1,0,IF($AH1425=1,Settings!$C$6,Settings!$C$7))*100)</f>
        <v/>
      </c>
      <c r="AA1425" s="7" t="n"/>
      <c r="AD1425" s="11" t="n"/>
      <c r="AF1425">
        <f>IF($B1425="","",IF(COUNTIF($B$2:$B1425,$B1425)=1,1,0))</f>
        <v/>
      </c>
      <c r="AG1425">
        <f>IF($AF1425=1,SUMPRODUCT(--($AJ$2:$AJ$1501&lt;$AJ1425))+1,"")</f>
        <v/>
      </c>
      <c r="AH1425">
        <f>IF($B1425="","",IF(OR($M1425=TRUE(),$M1425="TRUE"),1,0))</f>
        <v/>
      </c>
      <c r="AI1425">
        <f>IF($B1425="","",IF($V1425="Yes",1,0))</f>
        <v/>
      </c>
      <c r="AJ1425">
        <f>IF($AF1425=1,IFERROR(IF(VALUE($B1425)&lt;100000000,VALUE($B1425),1000000000),IFERROR(IF(VALUE(MID($B1425,2,20))&lt;100000000,VALUE(MID($B1425,2,20)),1000000000),1000000000))+ROW()/100000,"")</f>
        <v/>
      </c>
    </row>
    <row r="1426">
      <c r="C1426" s="11" t="n"/>
      <c r="J1426" s="7">
        <f>IF($B1426="","",I1426*Q1426/100)</f>
        <v/>
      </c>
      <c r="P1426" s="7" t="n"/>
      <c r="Q1426" s="7" t="n"/>
      <c r="R1426" s="7">
        <f>IF($B1426="","",Q1426*W1426/100)</f>
        <v/>
      </c>
      <c r="S1426" s="7">
        <f>IF($B1426="","",Q1426-R1426)</f>
        <v/>
      </c>
      <c r="T1426" s="7">
        <f>IF($B1426="","",S1426-J1426)</f>
        <v/>
      </c>
      <c r="W1426">
        <f>IF($B1426="","",IF($AI1426=1,0,IF($AH1426=1,Settings!$C$6,Settings!$C$7))*100)</f>
        <v/>
      </c>
      <c r="AA1426" s="7" t="n"/>
      <c r="AD1426" s="11" t="n"/>
      <c r="AF1426">
        <f>IF($B1426="","",IF(COUNTIF($B$2:$B1426,$B1426)=1,1,0))</f>
        <v/>
      </c>
      <c r="AG1426">
        <f>IF($AF1426=1,SUMPRODUCT(--($AJ$2:$AJ$1501&lt;$AJ1426))+1,"")</f>
        <v/>
      </c>
      <c r="AH1426">
        <f>IF($B1426="","",IF(OR($M1426=TRUE(),$M1426="TRUE"),1,0))</f>
        <v/>
      </c>
      <c r="AI1426">
        <f>IF($B1426="","",IF($V1426="Yes",1,0))</f>
        <v/>
      </c>
      <c r="AJ1426">
        <f>IF($AF1426=1,IFERROR(IF(VALUE($B1426)&lt;100000000,VALUE($B1426),1000000000),IFERROR(IF(VALUE(MID($B1426,2,20))&lt;100000000,VALUE(MID($B1426,2,20)),1000000000),1000000000))+ROW()/100000,"")</f>
        <v/>
      </c>
    </row>
    <row r="1427">
      <c r="C1427" s="11" t="n"/>
      <c r="J1427" s="7">
        <f>IF($B1427="","",I1427*Q1427/100)</f>
        <v/>
      </c>
      <c r="P1427" s="7" t="n"/>
      <c r="Q1427" s="7" t="n"/>
      <c r="R1427" s="7">
        <f>IF($B1427="","",Q1427*W1427/100)</f>
        <v/>
      </c>
      <c r="S1427" s="7">
        <f>IF($B1427="","",Q1427-R1427)</f>
        <v/>
      </c>
      <c r="T1427" s="7">
        <f>IF($B1427="","",S1427-J1427)</f>
        <v/>
      </c>
      <c r="W1427">
        <f>IF($B1427="","",IF($AI1427=1,0,IF($AH1427=1,Settings!$C$6,Settings!$C$7))*100)</f>
        <v/>
      </c>
      <c r="AA1427" s="7" t="n"/>
      <c r="AD1427" s="11" t="n"/>
      <c r="AF1427">
        <f>IF($B1427="","",IF(COUNTIF($B$2:$B1427,$B1427)=1,1,0))</f>
        <v/>
      </c>
      <c r="AG1427">
        <f>IF($AF1427=1,SUMPRODUCT(--($AJ$2:$AJ$1501&lt;$AJ1427))+1,"")</f>
        <v/>
      </c>
      <c r="AH1427">
        <f>IF($B1427="","",IF(OR($M1427=TRUE(),$M1427="TRUE"),1,0))</f>
        <v/>
      </c>
      <c r="AI1427">
        <f>IF($B1427="","",IF($V1427="Yes",1,0))</f>
        <v/>
      </c>
      <c r="AJ1427">
        <f>IF($AF1427=1,IFERROR(IF(VALUE($B1427)&lt;100000000,VALUE($B1427),1000000000),IFERROR(IF(VALUE(MID($B1427,2,20))&lt;100000000,VALUE(MID($B1427,2,20)),1000000000),1000000000))+ROW()/100000,"")</f>
        <v/>
      </c>
    </row>
    <row r="1428">
      <c r="C1428" s="11" t="n"/>
      <c r="J1428" s="7">
        <f>IF($B1428="","",I1428*Q1428/100)</f>
        <v/>
      </c>
      <c r="P1428" s="7" t="n"/>
      <c r="Q1428" s="7" t="n"/>
      <c r="R1428" s="7">
        <f>IF($B1428="","",Q1428*W1428/100)</f>
        <v/>
      </c>
      <c r="S1428" s="7">
        <f>IF($B1428="","",Q1428-R1428)</f>
        <v/>
      </c>
      <c r="T1428" s="7">
        <f>IF($B1428="","",S1428-J1428)</f>
        <v/>
      </c>
      <c r="W1428">
        <f>IF($B1428="","",IF($AI1428=1,0,IF($AH1428=1,Settings!$C$6,Settings!$C$7))*100)</f>
        <v/>
      </c>
      <c r="AA1428" s="7" t="n"/>
      <c r="AD1428" s="11" t="n"/>
      <c r="AF1428">
        <f>IF($B1428="","",IF(COUNTIF($B$2:$B1428,$B1428)=1,1,0))</f>
        <v/>
      </c>
      <c r="AG1428">
        <f>IF($AF1428=1,SUMPRODUCT(--($AJ$2:$AJ$1501&lt;$AJ1428))+1,"")</f>
        <v/>
      </c>
      <c r="AH1428">
        <f>IF($B1428="","",IF(OR($M1428=TRUE(),$M1428="TRUE"),1,0))</f>
        <v/>
      </c>
      <c r="AI1428">
        <f>IF($B1428="","",IF($V1428="Yes",1,0))</f>
        <v/>
      </c>
      <c r="AJ1428">
        <f>IF($AF1428=1,IFERROR(IF(VALUE($B1428)&lt;100000000,VALUE($B1428),1000000000),IFERROR(IF(VALUE(MID($B1428,2,20))&lt;100000000,VALUE(MID($B1428,2,20)),1000000000),1000000000))+ROW()/100000,"")</f>
        <v/>
      </c>
    </row>
    <row r="1429">
      <c r="C1429" s="11" t="n"/>
      <c r="J1429" s="7">
        <f>IF($B1429="","",I1429*Q1429/100)</f>
        <v/>
      </c>
      <c r="P1429" s="7" t="n"/>
      <c r="Q1429" s="7" t="n"/>
      <c r="R1429" s="7">
        <f>IF($B1429="","",Q1429*W1429/100)</f>
        <v/>
      </c>
      <c r="S1429" s="7">
        <f>IF($B1429="","",Q1429-R1429)</f>
        <v/>
      </c>
      <c r="T1429" s="7">
        <f>IF($B1429="","",S1429-J1429)</f>
        <v/>
      </c>
      <c r="W1429">
        <f>IF($B1429="","",IF($AI1429=1,0,IF($AH1429=1,Settings!$C$6,Settings!$C$7))*100)</f>
        <v/>
      </c>
      <c r="AA1429" s="7" t="n"/>
      <c r="AD1429" s="11" t="n"/>
      <c r="AF1429">
        <f>IF($B1429="","",IF(COUNTIF($B$2:$B1429,$B1429)=1,1,0))</f>
        <v/>
      </c>
      <c r="AG1429">
        <f>IF($AF1429=1,SUMPRODUCT(--($AJ$2:$AJ$1501&lt;$AJ1429))+1,"")</f>
        <v/>
      </c>
      <c r="AH1429">
        <f>IF($B1429="","",IF(OR($M1429=TRUE(),$M1429="TRUE"),1,0))</f>
        <v/>
      </c>
      <c r="AI1429">
        <f>IF($B1429="","",IF($V1429="Yes",1,0))</f>
        <v/>
      </c>
      <c r="AJ1429">
        <f>IF($AF1429=1,IFERROR(IF(VALUE($B1429)&lt;100000000,VALUE($B1429),1000000000),IFERROR(IF(VALUE(MID($B1429,2,20))&lt;100000000,VALUE(MID($B1429,2,20)),1000000000),1000000000))+ROW()/100000,"")</f>
        <v/>
      </c>
    </row>
    <row r="1430">
      <c r="C1430" s="11" t="n"/>
      <c r="J1430" s="7">
        <f>IF($B1430="","",I1430*Q1430/100)</f>
        <v/>
      </c>
      <c r="P1430" s="7" t="n"/>
      <c r="Q1430" s="7" t="n"/>
      <c r="R1430" s="7">
        <f>IF($B1430="","",Q1430*W1430/100)</f>
        <v/>
      </c>
      <c r="S1430" s="7">
        <f>IF($B1430="","",Q1430-R1430)</f>
        <v/>
      </c>
      <c r="T1430" s="7">
        <f>IF($B1430="","",S1430-J1430)</f>
        <v/>
      </c>
      <c r="W1430">
        <f>IF($B1430="","",IF($AI1430=1,0,IF($AH1430=1,Settings!$C$6,Settings!$C$7))*100)</f>
        <v/>
      </c>
      <c r="AA1430" s="7" t="n"/>
      <c r="AD1430" s="11" t="n"/>
      <c r="AF1430">
        <f>IF($B1430="","",IF(COUNTIF($B$2:$B1430,$B1430)=1,1,0))</f>
        <v/>
      </c>
      <c r="AG1430">
        <f>IF($AF1430=1,SUMPRODUCT(--($AJ$2:$AJ$1501&lt;$AJ1430))+1,"")</f>
        <v/>
      </c>
      <c r="AH1430">
        <f>IF($B1430="","",IF(OR($M1430=TRUE(),$M1430="TRUE"),1,0))</f>
        <v/>
      </c>
      <c r="AI1430">
        <f>IF($B1430="","",IF($V1430="Yes",1,0))</f>
        <v/>
      </c>
      <c r="AJ1430">
        <f>IF($AF1430=1,IFERROR(IF(VALUE($B1430)&lt;100000000,VALUE($B1430),1000000000),IFERROR(IF(VALUE(MID($B1430,2,20))&lt;100000000,VALUE(MID($B1430,2,20)),1000000000),1000000000))+ROW()/100000,"")</f>
        <v/>
      </c>
    </row>
    <row r="1431">
      <c r="C1431" s="11" t="n"/>
      <c r="J1431" s="7">
        <f>IF($B1431="","",I1431*Q1431/100)</f>
        <v/>
      </c>
      <c r="P1431" s="7" t="n"/>
      <c r="Q1431" s="7" t="n"/>
      <c r="R1431" s="7">
        <f>IF($B1431="","",Q1431*W1431/100)</f>
        <v/>
      </c>
      <c r="S1431" s="7">
        <f>IF($B1431="","",Q1431-R1431)</f>
        <v/>
      </c>
      <c r="T1431" s="7">
        <f>IF($B1431="","",S1431-J1431)</f>
        <v/>
      </c>
      <c r="W1431">
        <f>IF($B1431="","",IF($AI1431=1,0,IF($AH1431=1,Settings!$C$6,Settings!$C$7))*100)</f>
        <v/>
      </c>
      <c r="AA1431" s="7" t="n"/>
      <c r="AD1431" s="11" t="n"/>
      <c r="AF1431">
        <f>IF($B1431="","",IF(COUNTIF($B$2:$B1431,$B1431)=1,1,0))</f>
        <v/>
      </c>
      <c r="AG1431">
        <f>IF($AF1431=1,SUMPRODUCT(--($AJ$2:$AJ$1501&lt;$AJ1431))+1,"")</f>
        <v/>
      </c>
      <c r="AH1431">
        <f>IF($B1431="","",IF(OR($M1431=TRUE(),$M1431="TRUE"),1,0))</f>
        <v/>
      </c>
      <c r="AI1431">
        <f>IF($B1431="","",IF($V1431="Yes",1,0))</f>
        <v/>
      </c>
      <c r="AJ1431">
        <f>IF($AF1431=1,IFERROR(IF(VALUE($B1431)&lt;100000000,VALUE($B1431),1000000000),IFERROR(IF(VALUE(MID($B1431,2,20))&lt;100000000,VALUE(MID($B1431,2,20)),1000000000),1000000000))+ROW()/100000,"")</f>
        <v/>
      </c>
    </row>
    <row r="1432">
      <c r="C1432" s="11" t="n"/>
      <c r="J1432" s="7">
        <f>IF($B1432="","",I1432*Q1432/100)</f>
        <v/>
      </c>
      <c r="P1432" s="7" t="n"/>
      <c r="Q1432" s="7" t="n"/>
      <c r="R1432" s="7">
        <f>IF($B1432="","",Q1432*W1432/100)</f>
        <v/>
      </c>
      <c r="S1432" s="7">
        <f>IF($B1432="","",Q1432-R1432)</f>
        <v/>
      </c>
      <c r="T1432" s="7">
        <f>IF($B1432="","",S1432-J1432)</f>
        <v/>
      </c>
      <c r="W1432">
        <f>IF($B1432="","",IF($AI1432=1,0,IF($AH1432=1,Settings!$C$6,Settings!$C$7))*100)</f>
        <v/>
      </c>
      <c r="AA1432" s="7" t="n"/>
      <c r="AD1432" s="11" t="n"/>
      <c r="AF1432">
        <f>IF($B1432="","",IF(COUNTIF($B$2:$B1432,$B1432)=1,1,0))</f>
        <v/>
      </c>
      <c r="AG1432">
        <f>IF($AF1432=1,SUMPRODUCT(--($AJ$2:$AJ$1501&lt;$AJ1432))+1,"")</f>
        <v/>
      </c>
      <c r="AH1432">
        <f>IF($B1432="","",IF(OR($M1432=TRUE(),$M1432="TRUE"),1,0))</f>
        <v/>
      </c>
      <c r="AI1432">
        <f>IF($B1432="","",IF($V1432="Yes",1,0))</f>
        <v/>
      </c>
      <c r="AJ1432">
        <f>IF($AF1432=1,IFERROR(IF(VALUE($B1432)&lt;100000000,VALUE($B1432),1000000000),IFERROR(IF(VALUE(MID($B1432,2,20))&lt;100000000,VALUE(MID($B1432,2,20)),1000000000),1000000000))+ROW()/100000,"")</f>
        <v/>
      </c>
    </row>
    <row r="1433">
      <c r="C1433" s="11" t="n"/>
      <c r="J1433" s="7">
        <f>IF($B1433="","",I1433*Q1433/100)</f>
        <v/>
      </c>
      <c r="P1433" s="7" t="n"/>
      <c r="Q1433" s="7" t="n"/>
      <c r="R1433" s="7">
        <f>IF($B1433="","",Q1433*W1433/100)</f>
        <v/>
      </c>
      <c r="S1433" s="7">
        <f>IF($B1433="","",Q1433-R1433)</f>
        <v/>
      </c>
      <c r="T1433" s="7">
        <f>IF($B1433="","",S1433-J1433)</f>
        <v/>
      </c>
      <c r="W1433">
        <f>IF($B1433="","",IF($AI1433=1,0,IF($AH1433=1,Settings!$C$6,Settings!$C$7))*100)</f>
        <v/>
      </c>
      <c r="AA1433" s="7" t="n"/>
      <c r="AD1433" s="11" t="n"/>
      <c r="AF1433">
        <f>IF($B1433="","",IF(COUNTIF($B$2:$B1433,$B1433)=1,1,0))</f>
        <v/>
      </c>
      <c r="AG1433">
        <f>IF($AF1433=1,SUMPRODUCT(--($AJ$2:$AJ$1501&lt;$AJ1433))+1,"")</f>
        <v/>
      </c>
      <c r="AH1433">
        <f>IF($B1433="","",IF(OR($M1433=TRUE(),$M1433="TRUE"),1,0))</f>
        <v/>
      </c>
      <c r="AI1433">
        <f>IF($B1433="","",IF($V1433="Yes",1,0))</f>
        <v/>
      </c>
      <c r="AJ1433">
        <f>IF($AF1433=1,IFERROR(IF(VALUE($B1433)&lt;100000000,VALUE($B1433),1000000000),IFERROR(IF(VALUE(MID($B1433,2,20))&lt;100000000,VALUE(MID($B1433,2,20)),1000000000),1000000000))+ROW()/100000,"")</f>
        <v/>
      </c>
    </row>
    <row r="1434">
      <c r="C1434" s="11" t="n"/>
      <c r="J1434" s="7">
        <f>IF($B1434="","",I1434*Q1434/100)</f>
        <v/>
      </c>
      <c r="P1434" s="7" t="n"/>
      <c r="Q1434" s="7" t="n"/>
      <c r="R1434" s="7">
        <f>IF($B1434="","",Q1434*W1434/100)</f>
        <v/>
      </c>
      <c r="S1434" s="7">
        <f>IF($B1434="","",Q1434-R1434)</f>
        <v/>
      </c>
      <c r="T1434" s="7">
        <f>IF($B1434="","",S1434-J1434)</f>
        <v/>
      </c>
      <c r="W1434">
        <f>IF($B1434="","",IF($AI1434=1,0,IF($AH1434=1,Settings!$C$6,Settings!$C$7))*100)</f>
        <v/>
      </c>
      <c r="AA1434" s="7" t="n"/>
      <c r="AD1434" s="11" t="n"/>
      <c r="AF1434">
        <f>IF($B1434="","",IF(COUNTIF($B$2:$B1434,$B1434)=1,1,0))</f>
        <v/>
      </c>
      <c r="AG1434">
        <f>IF($AF1434=1,SUMPRODUCT(--($AJ$2:$AJ$1501&lt;$AJ1434))+1,"")</f>
        <v/>
      </c>
      <c r="AH1434">
        <f>IF($B1434="","",IF(OR($M1434=TRUE(),$M1434="TRUE"),1,0))</f>
        <v/>
      </c>
      <c r="AI1434">
        <f>IF($B1434="","",IF($V1434="Yes",1,0))</f>
        <v/>
      </c>
      <c r="AJ1434">
        <f>IF($AF1434=1,IFERROR(IF(VALUE($B1434)&lt;100000000,VALUE($B1434),1000000000),IFERROR(IF(VALUE(MID($B1434,2,20))&lt;100000000,VALUE(MID($B1434,2,20)),1000000000),1000000000))+ROW()/100000,"")</f>
        <v/>
      </c>
    </row>
    <row r="1435">
      <c r="C1435" s="11" t="n"/>
      <c r="J1435" s="7">
        <f>IF($B1435="","",I1435*Q1435/100)</f>
        <v/>
      </c>
      <c r="P1435" s="7" t="n"/>
      <c r="Q1435" s="7" t="n"/>
      <c r="R1435" s="7">
        <f>IF($B1435="","",Q1435*W1435/100)</f>
        <v/>
      </c>
      <c r="S1435" s="7">
        <f>IF($B1435="","",Q1435-R1435)</f>
        <v/>
      </c>
      <c r="T1435" s="7">
        <f>IF($B1435="","",S1435-J1435)</f>
        <v/>
      </c>
      <c r="W1435">
        <f>IF($B1435="","",IF($AI1435=1,0,IF($AH1435=1,Settings!$C$6,Settings!$C$7))*100)</f>
        <v/>
      </c>
      <c r="AA1435" s="7" t="n"/>
      <c r="AD1435" s="11" t="n"/>
      <c r="AF1435">
        <f>IF($B1435="","",IF(COUNTIF($B$2:$B1435,$B1435)=1,1,0))</f>
        <v/>
      </c>
      <c r="AG1435">
        <f>IF($AF1435=1,SUMPRODUCT(--($AJ$2:$AJ$1501&lt;$AJ1435))+1,"")</f>
        <v/>
      </c>
      <c r="AH1435">
        <f>IF($B1435="","",IF(OR($M1435=TRUE(),$M1435="TRUE"),1,0))</f>
        <v/>
      </c>
      <c r="AI1435">
        <f>IF($B1435="","",IF($V1435="Yes",1,0))</f>
        <v/>
      </c>
      <c r="AJ1435">
        <f>IF($AF1435=1,IFERROR(IF(VALUE($B1435)&lt;100000000,VALUE($B1435),1000000000),IFERROR(IF(VALUE(MID($B1435,2,20))&lt;100000000,VALUE(MID($B1435,2,20)),1000000000),1000000000))+ROW()/100000,"")</f>
        <v/>
      </c>
    </row>
    <row r="1436">
      <c r="C1436" s="11" t="n"/>
      <c r="J1436" s="7">
        <f>IF($B1436="","",I1436*Q1436/100)</f>
        <v/>
      </c>
      <c r="P1436" s="7" t="n"/>
      <c r="Q1436" s="7" t="n"/>
      <c r="R1436" s="7">
        <f>IF($B1436="","",Q1436*W1436/100)</f>
        <v/>
      </c>
      <c r="S1436" s="7">
        <f>IF($B1436="","",Q1436-R1436)</f>
        <v/>
      </c>
      <c r="T1436" s="7">
        <f>IF($B1436="","",S1436-J1436)</f>
        <v/>
      </c>
      <c r="W1436">
        <f>IF($B1436="","",IF($AI1436=1,0,IF($AH1436=1,Settings!$C$6,Settings!$C$7))*100)</f>
        <v/>
      </c>
      <c r="AA1436" s="7" t="n"/>
      <c r="AD1436" s="11" t="n"/>
      <c r="AF1436">
        <f>IF($B1436="","",IF(COUNTIF($B$2:$B1436,$B1436)=1,1,0))</f>
        <v/>
      </c>
      <c r="AG1436">
        <f>IF($AF1436=1,SUMPRODUCT(--($AJ$2:$AJ$1501&lt;$AJ1436))+1,"")</f>
        <v/>
      </c>
      <c r="AH1436">
        <f>IF($B1436="","",IF(OR($M1436=TRUE(),$M1436="TRUE"),1,0))</f>
        <v/>
      </c>
      <c r="AI1436">
        <f>IF($B1436="","",IF($V1436="Yes",1,0))</f>
        <v/>
      </c>
      <c r="AJ1436">
        <f>IF($AF1436=1,IFERROR(IF(VALUE($B1436)&lt;100000000,VALUE($B1436),1000000000),IFERROR(IF(VALUE(MID($B1436,2,20))&lt;100000000,VALUE(MID($B1436,2,20)),1000000000),1000000000))+ROW()/100000,"")</f>
        <v/>
      </c>
    </row>
    <row r="1437">
      <c r="C1437" s="11" t="n"/>
      <c r="J1437" s="7">
        <f>IF($B1437="","",I1437*Q1437/100)</f>
        <v/>
      </c>
      <c r="P1437" s="7" t="n"/>
      <c r="Q1437" s="7" t="n"/>
      <c r="R1437" s="7">
        <f>IF($B1437="","",Q1437*W1437/100)</f>
        <v/>
      </c>
      <c r="S1437" s="7">
        <f>IF($B1437="","",Q1437-R1437)</f>
        <v/>
      </c>
      <c r="T1437" s="7">
        <f>IF($B1437="","",S1437-J1437)</f>
        <v/>
      </c>
      <c r="W1437">
        <f>IF($B1437="","",IF($AI1437=1,0,IF($AH1437=1,Settings!$C$6,Settings!$C$7))*100)</f>
        <v/>
      </c>
      <c r="AA1437" s="7" t="n"/>
      <c r="AD1437" s="11" t="n"/>
      <c r="AF1437">
        <f>IF($B1437="","",IF(COUNTIF($B$2:$B1437,$B1437)=1,1,0))</f>
        <v/>
      </c>
      <c r="AG1437">
        <f>IF($AF1437=1,SUMPRODUCT(--($AJ$2:$AJ$1501&lt;$AJ1437))+1,"")</f>
        <v/>
      </c>
      <c r="AH1437">
        <f>IF($B1437="","",IF(OR($M1437=TRUE(),$M1437="TRUE"),1,0))</f>
        <v/>
      </c>
      <c r="AI1437">
        <f>IF($B1437="","",IF($V1437="Yes",1,0))</f>
        <v/>
      </c>
      <c r="AJ1437">
        <f>IF($AF1437=1,IFERROR(IF(VALUE($B1437)&lt;100000000,VALUE($B1437),1000000000),IFERROR(IF(VALUE(MID($B1437,2,20))&lt;100000000,VALUE(MID($B1437,2,20)),1000000000),1000000000))+ROW()/100000,"")</f>
        <v/>
      </c>
    </row>
    <row r="1438">
      <c r="C1438" s="11" t="n"/>
      <c r="J1438" s="7">
        <f>IF($B1438="","",I1438*Q1438/100)</f>
        <v/>
      </c>
      <c r="P1438" s="7" t="n"/>
      <c r="Q1438" s="7" t="n"/>
      <c r="R1438" s="7">
        <f>IF($B1438="","",Q1438*W1438/100)</f>
        <v/>
      </c>
      <c r="S1438" s="7">
        <f>IF($B1438="","",Q1438-R1438)</f>
        <v/>
      </c>
      <c r="T1438" s="7">
        <f>IF($B1438="","",S1438-J1438)</f>
        <v/>
      </c>
      <c r="W1438">
        <f>IF($B1438="","",IF($AI1438=1,0,IF($AH1438=1,Settings!$C$6,Settings!$C$7))*100)</f>
        <v/>
      </c>
      <c r="AA1438" s="7" t="n"/>
      <c r="AD1438" s="11" t="n"/>
      <c r="AF1438">
        <f>IF($B1438="","",IF(COUNTIF($B$2:$B1438,$B1438)=1,1,0))</f>
        <v/>
      </c>
      <c r="AG1438">
        <f>IF($AF1438=1,SUMPRODUCT(--($AJ$2:$AJ$1501&lt;$AJ1438))+1,"")</f>
        <v/>
      </c>
      <c r="AH1438">
        <f>IF($B1438="","",IF(OR($M1438=TRUE(),$M1438="TRUE"),1,0))</f>
        <v/>
      </c>
      <c r="AI1438">
        <f>IF($B1438="","",IF($V1438="Yes",1,0))</f>
        <v/>
      </c>
      <c r="AJ1438">
        <f>IF($AF1438=1,IFERROR(IF(VALUE($B1438)&lt;100000000,VALUE($B1438),1000000000),IFERROR(IF(VALUE(MID($B1438,2,20))&lt;100000000,VALUE(MID($B1438,2,20)),1000000000),1000000000))+ROW()/100000,"")</f>
        <v/>
      </c>
    </row>
    <row r="1439">
      <c r="C1439" s="11" t="n"/>
      <c r="J1439" s="7">
        <f>IF($B1439="","",I1439*Q1439/100)</f>
        <v/>
      </c>
      <c r="P1439" s="7" t="n"/>
      <c r="Q1439" s="7" t="n"/>
      <c r="R1439" s="7">
        <f>IF($B1439="","",Q1439*W1439/100)</f>
        <v/>
      </c>
      <c r="S1439" s="7">
        <f>IF($B1439="","",Q1439-R1439)</f>
        <v/>
      </c>
      <c r="T1439" s="7">
        <f>IF($B1439="","",S1439-J1439)</f>
        <v/>
      </c>
      <c r="W1439">
        <f>IF($B1439="","",IF($AI1439=1,0,IF($AH1439=1,Settings!$C$6,Settings!$C$7))*100)</f>
        <v/>
      </c>
      <c r="AA1439" s="7" t="n"/>
      <c r="AD1439" s="11" t="n"/>
      <c r="AF1439">
        <f>IF($B1439="","",IF(COUNTIF($B$2:$B1439,$B1439)=1,1,0))</f>
        <v/>
      </c>
      <c r="AG1439">
        <f>IF($AF1439=1,SUMPRODUCT(--($AJ$2:$AJ$1501&lt;$AJ1439))+1,"")</f>
        <v/>
      </c>
      <c r="AH1439">
        <f>IF($B1439="","",IF(OR($M1439=TRUE(),$M1439="TRUE"),1,0))</f>
        <v/>
      </c>
      <c r="AI1439">
        <f>IF($B1439="","",IF($V1439="Yes",1,0))</f>
        <v/>
      </c>
      <c r="AJ1439">
        <f>IF($AF1439=1,IFERROR(IF(VALUE($B1439)&lt;100000000,VALUE($B1439),1000000000),IFERROR(IF(VALUE(MID($B1439,2,20))&lt;100000000,VALUE(MID($B1439,2,20)),1000000000),1000000000))+ROW()/100000,"")</f>
        <v/>
      </c>
    </row>
    <row r="1440">
      <c r="C1440" s="11" t="n"/>
      <c r="J1440" s="7">
        <f>IF($B1440="","",I1440*Q1440/100)</f>
        <v/>
      </c>
      <c r="P1440" s="7" t="n"/>
      <c r="Q1440" s="7" t="n"/>
      <c r="R1440" s="7">
        <f>IF($B1440="","",Q1440*W1440/100)</f>
        <v/>
      </c>
      <c r="S1440" s="7">
        <f>IF($B1440="","",Q1440-R1440)</f>
        <v/>
      </c>
      <c r="T1440" s="7">
        <f>IF($B1440="","",S1440-J1440)</f>
        <v/>
      </c>
      <c r="W1440">
        <f>IF($B1440="","",IF($AI1440=1,0,IF($AH1440=1,Settings!$C$6,Settings!$C$7))*100)</f>
        <v/>
      </c>
      <c r="AA1440" s="7" t="n"/>
      <c r="AD1440" s="11" t="n"/>
      <c r="AF1440">
        <f>IF($B1440="","",IF(COUNTIF($B$2:$B1440,$B1440)=1,1,0))</f>
        <v/>
      </c>
      <c r="AG1440">
        <f>IF($AF1440=1,SUMPRODUCT(--($AJ$2:$AJ$1501&lt;$AJ1440))+1,"")</f>
        <v/>
      </c>
      <c r="AH1440">
        <f>IF($B1440="","",IF(OR($M1440=TRUE(),$M1440="TRUE"),1,0))</f>
        <v/>
      </c>
      <c r="AI1440">
        <f>IF($B1440="","",IF($V1440="Yes",1,0))</f>
        <v/>
      </c>
      <c r="AJ1440">
        <f>IF($AF1440=1,IFERROR(IF(VALUE($B1440)&lt;100000000,VALUE($B1440),1000000000),IFERROR(IF(VALUE(MID($B1440,2,20))&lt;100000000,VALUE(MID($B1440,2,20)),1000000000),1000000000))+ROW()/100000,"")</f>
        <v/>
      </c>
    </row>
    <row r="1441">
      <c r="C1441" s="11" t="n"/>
      <c r="J1441" s="7">
        <f>IF($B1441="","",I1441*Q1441/100)</f>
        <v/>
      </c>
      <c r="P1441" s="7" t="n"/>
      <c r="Q1441" s="7" t="n"/>
      <c r="R1441" s="7">
        <f>IF($B1441="","",Q1441*W1441/100)</f>
        <v/>
      </c>
      <c r="S1441" s="7">
        <f>IF($B1441="","",Q1441-R1441)</f>
        <v/>
      </c>
      <c r="T1441" s="7">
        <f>IF($B1441="","",S1441-J1441)</f>
        <v/>
      </c>
      <c r="W1441">
        <f>IF($B1441="","",IF($AI1441=1,0,IF($AH1441=1,Settings!$C$6,Settings!$C$7))*100)</f>
        <v/>
      </c>
      <c r="AA1441" s="7" t="n"/>
      <c r="AD1441" s="11" t="n"/>
      <c r="AF1441">
        <f>IF($B1441="","",IF(COUNTIF($B$2:$B1441,$B1441)=1,1,0))</f>
        <v/>
      </c>
      <c r="AG1441">
        <f>IF($AF1441=1,SUMPRODUCT(--($AJ$2:$AJ$1501&lt;$AJ1441))+1,"")</f>
        <v/>
      </c>
      <c r="AH1441">
        <f>IF($B1441="","",IF(OR($M1441=TRUE(),$M1441="TRUE"),1,0))</f>
        <v/>
      </c>
      <c r="AI1441">
        <f>IF($B1441="","",IF($V1441="Yes",1,0))</f>
        <v/>
      </c>
      <c r="AJ1441">
        <f>IF($AF1441=1,IFERROR(IF(VALUE($B1441)&lt;100000000,VALUE($B1441),1000000000),IFERROR(IF(VALUE(MID($B1441,2,20))&lt;100000000,VALUE(MID($B1441,2,20)),1000000000),1000000000))+ROW()/100000,"")</f>
        <v/>
      </c>
    </row>
    <row r="1442">
      <c r="C1442" s="11" t="n"/>
      <c r="J1442" s="7">
        <f>IF($B1442="","",I1442*Q1442/100)</f>
        <v/>
      </c>
      <c r="P1442" s="7" t="n"/>
      <c r="Q1442" s="7" t="n"/>
      <c r="R1442" s="7">
        <f>IF($B1442="","",Q1442*W1442/100)</f>
        <v/>
      </c>
      <c r="S1442" s="7">
        <f>IF($B1442="","",Q1442-R1442)</f>
        <v/>
      </c>
      <c r="T1442" s="7">
        <f>IF($B1442="","",S1442-J1442)</f>
        <v/>
      </c>
      <c r="W1442">
        <f>IF($B1442="","",IF($AI1442=1,0,IF($AH1442=1,Settings!$C$6,Settings!$C$7))*100)</f>
        <v/>
      </c>
      <c r="AA1442" s="7" t="n"/>
      <c r="AD1442" s="11" t="n"/>
      <c r="AF1442">
        <f>IF($B1442="","",IF(COUNTIF($B$2:$B1442,$B1442)=1,1,0))</f>
        <v/>
      </c>
      <c r="AG1442">
        <f>IF($AF1442=1,SUMPRODUCT(--($AJ$2:$AJ$1501&lt;$AJ1442))+1,"")</f>
        <v/>
      </c>
      <c r="AH1442">
        <f>IF($B1442="","",IF(OR($M1442=TRUE(),$M1442="TRUE"),1,0))</f>
        <v/>
      </c>
      <c r="AI1442">
        <f>IF($B1442="","",IF($V1442="Yes",1,0))</f>
        <v/>
      </c>
      <c r="AJ1442">
        <f>IF($AF1442=1,IFERROR(IF(VALUE($B1442)&lt;100000000,VALUE($B1442),1000000000),IFERROR(IF(VALUE(MID($B1442,2,20))&lt;100000000,VALUE(MID($B1442,2,20)),1000000000),1000000000))+ROW()/100000,"")</f>
        <v/>
      </c>
    </row>
    <row r="1443">
      <c r="C1443" s="11" t="n"/>
      <c r="J1443" s="7">
        <f>IF($B1443="","",I1443*Q1443/100)</f>
        <v/>
      </c>
      <c r="P1443" s="7" t="n"/>
      <c r="Q1443" s="7" t="n"/>
      <c r="R1443" s="7">
        <f>IF($B1443="","",Q1443*W1443/100)</f>
        <v/>
      </c>
      <c r="S1443" s="7">
        <f>IF($B1443="","",Q1443-R1443)</f>
        <v/>
      </c>
      <c r="T1443" s="7">
        <f>IF($B1443="","",S1443-J1443)</f>
        <v/>
      </c>
      <c r="W1443">
        <f>IF($B1443="","",IF($AI1443=1,0,IF($AH1443=1,Settings!$C$6,Settings!$C$7))*100)</f>
        <v/>
      </c>
      <c r="AA1443" s="7" t="n"/>
      <c r="AD1443" s="11" t="n"/>
      <c r="AF1443">
        <f>IF($B1443="","",IF(COUNTIF($B$2:$B1443,$B1443)=1,1,0))</f>
        <v/>
      </c>
      <c r="AG1443">
        <f>IF($AF1443=1,SUMPRODUCT(--($AJ$2:$AJ$1501&lt;$AJ1443))+1,"")</f>
        <v/>
      </c>
      <c r="AH1443">
        <f>IF($B1443="","",IF(OR($M1443=TRUE(),$M1443="TRUE"),1,0))</f>
        <v/>
      </c>
      <c r="AI1443">
        <f>IF($B1443="","",IF($V1443="Yes",1,0))</f>
        <v/>
      </c>
      <c r="AJ1443">
        <f>IF($AF1443=1,IFERROR(IF(VALUE($B1443)&lt;100000000,VALUE($B1443),1000000000),IFERROR(IF(VALUE(MID($B1443,2,20))&lt;100000000,VALUE(MID($B1443,2,20)),1000000000),1000000000))+ROW()/100000,"")</f>
        <v/>
      </c>
    </row>
    <row r="1444">
      <c r="C1444" s="11" t="n"/>
      <c r="J1444" s="7">
        <f>IF($B1444="","",I1444*Q1444/100)</f>
        <v/>
      </c>
      <c r="P1444" s="7" t="n"/>
      <c r="Q1444" s="7" t="n"/>
      <c r="R1444" s="7">
        <f>IF($B1444="","",Q1444*W1444/100)</f>
        <v/>
      </c>
      <c r="S1444" s="7">
        <f>IF($B1444="","",Q1444-R1444)</f>
        <v/>
      </c>
      <c r="T1444" s="7">
        <f>IF($B1444="","",S1444-J1444)</f>
        <v/>
      </c>
      <c r="W1444">
        <f>IF($B1444="","",IF($AI1444=1,0,IF($AH1444=1,Settings!$C$6,Settings!$C$7))*100)</f>
        <v/>
      </c>
      <c r="AA1444" s="7" t="n"/>
      <c r="AD1444" s="11" t="n"/>
      <c r="AF1444">
        <f>IF($B1444="","",IF(COUNTIF($B$2:$B1444,$B1444)=1,1,0))</f>
        <v/>
      </c>
      <c r="AG1444">
        <f>IF($AF1444=1,SUMPRODUCT(--($AJ$2:$AJ$1501&lt;$AJ1444))+1,"")</f>
        <v/>
      </c>
      <c r="AH1444">
        <f>IF($B1444="","",IF(OR($M1444=TRUE(),$M1444="TRUE"),1,0))</f>
        <v/>
      </c>
      <c r="AI1444">
        <f>IF($B1444="","",IF($V1444="Yes",1,0))</f>
        <v/>
      </c>
      <c r="AJ1444">
        <f>IF($AF1444=1,IFERROR(IF(VALUE($B1444)&lt;100000000,VALUE($B1444),1000000000),IFERROR(IF(VALUE(MID($B1444,2,20))&lt;100000000,VALUE(MID($B1444,2,20)),1000000000),1000000000))+ROW()/100000,"")</f>
        <v/>
      </c>
    </row>
    <row r="1445">
      <c r="C1445" s="11" t="n"/>
      <c r="J1445" s="7">
        <f>IF($B1445="","",I1445*Q1445/100)</f>
        <v/>
      </c>
      <c r="P1445" s="7" t="n"/>
      <c r="Q1445" s="7" t="n"/>
      <c r="R1445" s="7">
        <f>IF($B1445="","",Q1445*W1445/100)</f>
        <v/>
      </c>
      <c r="S1445" s="7">
        <f>IF($B1445="","",Q1445-R1445)</f>
        <v/>
      </c>
      <c r="T1445" s="7">
        <f>IF($B1445="","",S1445-J1445)</f>
        <v/>
      </c>
      <c r="W1445">
        <f>IF($B1445="","",IF($AI1445=1,0,IF($AH1445=1,Settings!$C$6,Settings!$C$7))*100)</f>
        <v/>
      </c>
      <c r="AA1445" s="7" t="n"/>
      <c r="AD1445" s="11" t="n"/>
      <c r="AF1445">
        <f>IF($B1445="","",IF(COUNTIF($B$2:$B1445,$B1445)=1,1,0))</f>
        <v/>
      </c>
      <c r="AG1445">
        <f>IF($AF1445=1,SUMPRODUCT(--($AJ$2:$AJ$1501&lt;$AJ1445))+1,"")</f>
        <v/>
      </c>
      <c r="AH1445">
        <f>IF($B1445="","",IF(OR($M1445=TRUE(),$M1445="TRUE"),1,0))</f>
        <v/>
      </c>
      <c r="AI1445">
        <f>IF($B1445="","",IF($V1445="Yes",1,0))</f>
        <v/>
      </c>
      <c r="AJ1445">
        <f>IF($AF1445=1,IFERROR(IF(VALUE($B1445)&lt;100000000,VALUE($B1445),1000000000),IFERROR(IF(VALUE(MID($B1445,2,20))&lt;100000000,VALUE(MID($B1445,2,20)),1000000000),1000000000))+ROW()/100000,"")</f>
        <v/>
      </c>
    </row>
    <row r="1446">
      <c r="C1446" s="11" t="n"/>
      <c r="J1446" s="7">
        <f>IF($B1446="","",I1446*Q1446/100)</f>
        <v/>
      </c>
      <c r="P1446" s="7" t="n"/>
      <c r="Q1446" s="7" t="n"/>
      <c r="R1446" s="7">
        <f>IF($B1446="","",Q1446*W1446/100)</f>
        <v/>
      </c>
      <c r="S1446" s="7">
        <f>IF($B1446="","",Q1446-R1446)</f>
        <v/>
      </c>
      <c r="T1446" s="7">
        <f>IF($B1446="","",S1446-J1446)</f>
        <v/>
      </c>
      <c r="W1446">
        <f>IF($B1446="","",IF($AI1446=1,0,IF($AH1446=1,Settings!$C$6,Settings!$C$7))*100)</f>
        <v/>
      </c>
      <c r="AA1446" s="7" t="n"/>
      <c r="AD1446" s="11" t="n"/>
      <c r="AF1446">
        <f>IF($B1446="","",IF(COUNTIF($B$2:$B1446,$B1446)=1,1,0))</f>
        <v/>
      </c>
      <c r="AG1446">
        <f>IF($AF1446=1,SUMPRODUCT(--($AJ$2:$AJ$1501&lt;$AJ1446))+1,"")</f>
        <v/>
      </c>
      <c r="AH1446">
        <f>IF($B1446="","",IF(OR($M1446=TRUE(),$M1446="TRUE"),1,0))</f>
        <v/>
      </c>
      <c r="AI1446">
        <f>IF($B1446="","",IF($V1446="Yes",1,0))</f>
        <v/>
      </c>
      <c r="AJ1446">
        <f>IF($AF1446=1,IFERROR(IF(VALUE($B1446)&lt;100000000,VALUE($B1446),1000000000),IFERROR(IF(VALUE(MID($B1446,2,20))&lt;100000000,VALUE(MID($B1446,2,20)),1000000000),1000000000))+ROW()/100000,"")</f>
        <v/>
      </c>
    </row>
    <row r="1447">
      <c r="C1447" s="11" t="n"/>
      <c r="J1447" s="7">
        <f>IF($B1447="","",I1447*Q1447/100)</f>
        <v/>
      </c>
      <c r="P1447" s="7" t="n"/>
      <c r="Q1447" s="7" t="n"/>
      <c r="R1447" s="7">
        <f>IF($B1447="","",Q1447*W1447/100)</f>
        <v/>
      </c>
      <c r="S1447" s="7">
        <f>IF($B1447="","",Q1447-R1447)</f>
        <v/>
      </c>
      <c r="T1447" s="7">
        <f>IF($B1447="","",S1447-J1447)</f>
        <v/>
      </c>
      <c r="W1447">
        <f>IF($B1447="","",IF($AI1447=1,0,IF($AH1447=1,Settings!$C$6,Settings!$C$7))*100)</f>
        <v/>
      </c>
      <c r="AA1447" s="7" t="n"/>
      <c r="AD1447" s="11" t="n"/>
      <c r="AF1447">
        <f>IF($B1447="","",IF(COUNTIF($B$2:$B1447,$B1447)=1,1,0))</f>
        <v/>
      </c>
      <c r="AG1447">
        <f>IF($AF1447=1,SUMPRODUCT(--($AJ$2:$AJ$1501&lt;$AJ1447))+1,"")</f>
        <v/>
      </c>
      <c r="AH1447">
        <f>IF($B1447="","",IF(OR($M1447=TRUE(),$M1447="TRUE"),1,0))</f>
        <v/>
      </c>
      <c r="AI1447">
        <f>IF($B1447="","",IF($V1447="Yes",1,0))</f>
        <v/>
      </c>
      <c r="AJ1447">
        <f>IF($AF1447=1,IFERROR(IF(VALUE($B1447)&lt;100000000,VALUE($B1447),1000000000),IFERROR(IF(VALUE(MID($B1447,2,20))&lt;100000000,VALUE(MID($B1447,2,20)),1000000000),1000000000))+ROW()/100000,"")</f>
        <v/>
      </c>
    </row>
    <row r="1448">
      <c r="C1448" s="11" t="n"/>
      <c r="J1448" s="7">
        <f>IF($B1448="","",I1448*Q1448/100)</f>
        <v/>
      </c>
      <c r="P1448" s="7" t="n"/>
      <c r="Q1448" s="7" t="n"/>
      <c r="R1448" s="7">
        <f>IF($B1448="","",Q1448*W1448/100)</f>
        <v/>
      </c>
      <c r="S1448" s="7">
        <f>IF($B1448="","",Q1448-R1448)</f>
        <v/>
      </c>
      <c r="T1448" s="7">
        <f>IF($B1448="","",S1448-J1448)</f>
        <v/>
      </c>
      <c r="W1448">
        <f>IF($B1448="","",IF($AI1448=1,0,IF($AH1448=1,Settings!$C$6,Settings!$C$7))*100)</f>
        <v/>
      </c>
      <c r="AA1448" s="7" t="n"/>
      <c r="AD1448" s="11" t="n"/>
      <c r="AF1448">
        <f>IF($B1448="","",IF(COUNTIF($B$2:$B1448,$B1448)=1,1,0))</f>
        <v/>
      </c>
      <c r="AG1448">
        <f>IF($AF1448=1,SUMPRODUCT(--($AJ$2:$AJ$1501&lt;$AJ1448))+1,"")</f>
        <v/>
      </c>
      <c r="AH1448">
        <f>IF($B1448="","",IF(OR($M1448=TRUE(),$M1448="TRUE"),1,0))</f>
        <v/>
      </c>
      <c r="AI1448">
        <f>IF($B1448="","",IF($V1448="Yes",1,0))</f>
        <v/>
      </c>
      <c r="AJ1448">
        <f>IF($AF1448=1,IFERROR(IF(VALUE($B1448)&lt;100000000,VALUE($B1448),1000000000),IFERROR(IF(VALUE(MID($B1448,2,20))&lt;100000000,VALUE(MID($B1448,2,20)),1000000000),1000000000))+ROW()/100000,"")</f>
        <v/>
      </c>
    </row>
    <row r="1449">
      <c r="C1449" s="11" t="n"/>
      <c r="J1449" s="7">
        <f>IF($B1449="","",I1449*Q1449/100)</f>
        <v/>
      </c>
      <c r="P1449" s="7" t="n"/>
      <c r="Q1449" s="7" t="n"/>
      <c r="R1449" s="7">
        <f>IF($B1449="","",Q1449*W1449/100)</f>
        <v/>
      </c>
      <c r="S1449" s="7">
        <f>IF($B1449="","",Q1449-R1449)</f>
        <v/>
      </c>
      <c r="T1449" s="7">
        <f>IF($B1449="","",S1449-J1449)</f>
        <v/>
      </c>
      <c r="W1449">
        <f>IF($B1449="","",IF($AI1449=1,0,IF($AH1449=1,Settings!$C$6,Settings!$C$7))*100)</f>
        <v/>
      </c>
      <c r="AA1449" s="7" t="n"/>
      <c r="AD1449" s="11" t="n"/>
      <c r="AF1449">
        <f>IF($B1449="","",IF(COUNTIF($B$2:$B1449,$B1449)=1,1,0))</f>
        <v/>
      </c>
      <c r="AG1449">
        <f>IF($AF1449=1,SUMPRODUCT(--($AJ$2:$AJ$1501&lt;$AJ1449))+1,"")</f>
        <v/>
      </c>
      <c r="AH1449">
        <f>IF($B1449="","",IF(OR($M1449=TRUE(),$M1449="TRUE"),1,0))</f>
        <v/>
      </c>
      <c r="AI1449">
        <f>IF($B1449="","",IF($V1449="Yes",1,0))</f>
        <v/>
      </c>
      <c r="AJ1449">
        <f>IF($AF1449=1,IFERROR(IF(VALUE($B1449)&lt;100000000,VALUE($B1449),1000000000),IFERROR(IF(VALUE(MID($B1449,2,20))&lt;100000000,VALUE(MID($B1449,2,20)),1000000000),1000000000))+ROW()/100000,"")</f>
        <v/>
      </c>
    </row>
    <row r="1450">
      <c r="C1450" s="11" t="n"/>
      <c r="J1450" s="7">
        <f>IF($B1450="","",I1450*Q1450/100)</f>
        <v/>
      </c>
      <c r="P1450" s="7" t="n"/>
      <c r="Q1450" s="7" t="n"/>
      <c r="R1450" s="7">
        <f>IF($B1450="","",Q1450*W1450/100)</f>
        <v/>
      </c>
      <c r="S1450" s="7">
        <f>IF($B1450="","",Q1450-R1450)</f>
        <v/>
      </c>
      <c r="T1450" s="7">
        <f>IF($B1450="","",S1450-J1450)</f>
        <v/>
      </c>
      <c r="W1450">
        <f>IF($B1450="","",IF($AI1450=1,0,IF($AH1450=1,Settings!$C$6,Settings!$C$7))*100)</f>
        <v/>
      </c>
      <c r="AA1450" s="7" t="n"/>
      <c r="AD1450" s="11" t="n"/>
      <c r="AF1450">
        <f>IF($B1450="","",IF(COUNTIF($B$2:$B1450,$B1450)=1,1,0))</f>
        <v/>
      </c>
      <c r="AG1450">
        <f>IF($AF1450=1,SUMPRODUCT(--($AJ$2:$AJ$1501&lt;$AJ1450))+1,"")</f>
        <v/>
      </c>
      <c r="AH1450">
        <f>IF($B1450="","",IF(OR($M1450=TRUE(),$M1450="TRUE"),1,0))</f>
        <v/>
      </c>
      <c r="AI1450">
        <f>IF($B1450="","",IF($V1450="Yes",1,0))</f>
        <v/>
      </c>
      <c r="AJ1450">
        <f>IF($AF1450=1,IFERROR(IF(VALUE($B1450)&lt;100000000,VALUE($B1450),1000000000),IFERROR(IF(VALUE(MID($B1450,2,20))&lt;100000000,VALUE(MID($B1450,2,20)),1000000000),1000000000))+ROW()/100000,"")</f>
        <v/>
      </c>
    </row>
    <row r="1451">
      <c r="C1451" s="11" t="n"/>
      <c r="J1451" s="7">
        <f>IF($B1451="","",I1451*Q1451/100)</f>
        <v/>
      </c>
      <c r="P1451" s="7" t="n"/>
      <c r="Q1451" s="7" t="n"/>
      <c r="R1451" s="7">
        <f>IF($B1451="","",Q1451*W1451/100)</f>
        <v/>
      </c>
      <c r="S1451" s="7">
        <f>IF($B1451="","",Q1451-R1451)</f>
        <v/>
      </c>
      <c r="T1451" s="7">
        <f>IF($B1451="","",S1451-J1451)</f>
        <v/>
      </c>
      <c r="W1451">
        <f>IF($B1451="","",IF($AI1451=1,0,IF($AH1451=1,Settings!$C$6,Settings!$C$7))*100)</f>
        <v/>
      </c>
      <c r="AA1451" s="7" t="n"/>
      <c r="AD1451" s="11" t="n"/>
      <c r="AF1451">
        <f>IF($B1451="","",IF(COUNTIF($B$2:$B1451,$B1451)=1,1,0))</f>
        <v/>
      </c>
      <c r="AG1451">
        <f>IF($AF1451=1,SUMPRODUCT(--($AJ$2:$AJ$1501&lt;$AJ1451))+1,"")</f>
        <v/>
      </c>
      <c r="AH1451">
        <f>IF($B1451="","",IF(OR($M1451=TRUE(),$M1451="TRUE"),1,0))</f>
        <v/>
      </c>
      <c r="AI1451">
        <f>IF($B1451="","",IF($V1451="Yes",1,0))</f>
        <v/>
      </c>
      <c r="AJ1451">
        <f>IF($AF1451=1,IFERROR(IF(VALUE($B1451)&lt;100000000,VALUE($B1451),1000000000),IFERROR(IF(VALUE(MID($B1451,2,20))&lt;100000000,VALUE(MID($B1451,2,20)),1000000000),1000000000))+ROW()/100000,"")</f>
        <v/>
      </c>
    </row>
    <row r="1452">
      <c r="C1452" s="11" t="n"/>
      <c r="J1452" s="7">
        <f>IF($B1452="","",I1452*Q1452/100)</f>
        <v/>
      </c>
      <c r="P1452" s="7" t="n"/>
      <c r="Q1452" s="7" t="n"/>
      <c r="R1452" s="7">
        <f>IF($B1452="","",Q1452*W1452/100)</f>
        <v/>
      </c>
      <c r="S1452" s="7">
        <f>IF($B1452="","",Q1452-R1452)</f>
        <v/>
      </c>
      <c r="T1452" s="7">
        <f>IF($B1452="","",S1452-J1452)</f>
        <v/>
      </c>
      <c r="W1452">
        <f>IF($B1452="","",IF($AI1452=1,0,IF($AH1452=1,Settings!$C$6,Settings!$C$7))*100)</f>
        <v/>
      </c>
      <c r="AA1452" s="7" t="n"/>
      <c r="AD1452" s="11" t="n"/>
      <c r="AF1452">
        <f>IF($B1452="","",IF(COUNTIF($B$2:$B1452,$B1452)=1,1,0))</f>
        <v/>
      </c>
      <c r="AG1452">
        <f>IF($AF1452=1,SUMPRODUCT(--($AJ$2:$AJ$1501&lt;$AJ1452))+1,"")</f>
        <v/>
      </c>
      <c r="AH1452">
        <f>IF($B1452="","",IF(OR($M1452=TRUE(),$M1452="TRUE"),1,0))</f>
        <v/>
      </c>
      <c r="AI1452">
        <f>IF($B1452="","",IF($V1452="Yes",1,0))</f>
        <v/>
      </c>
      <c r="AJ1452">
        <f>IF($AF1452=1,IFERROR(IF(VALUE($B1452)&lt;100000000,VALUE($B1452),1000000000),IFERROR(IF(VALUE(MID($B1452,2,20))&lt;100000000,VALUE(MID($B1452,2,20)),1000000000),1000000000))+ROW()/100000,"")</f>
        <v/>
      </c>
    </row>
    <row r="1453">
      <c r="C1453" s="11" t="n"/>
      <c r="J1453" s="7">
        <f>IF($B1453="","",I1453*Q1453/100)</f>
        <v/>
      </c>
      <c r="P1453" s="7" t="n"/>
      <c r="Q1453" s="7" t="n"/>
      <c r="R1453" s="7">
        <f>IF($B1453="","",Q1453*W1453/100)</f>
        <v/>
      </c>
      <c r="S1453" s="7">
        <f>IF($B1453="","",Q1453-R1453)</f>
        <v/>
      </c>
      <c r="T1453" s="7">
        <f>IF($B1453="","",S1453-J1453)</f>
        <v/>
      </c>
      <c r="W1453">
        <f>IF($B1453="","",IF($AI1453=1,0,IF($AH1453=1,Settings!$C$6,Settings!$C$7))*100)</f>
        <v/>
      </c>
      <c r="AA1453" s="7" t="n"/>
      <c r="AD1453" s="11" t="n"/>
      <c r="AF1453">
        <f>IF($B1453="","",IF(COUNTIF($B$2:$B1453,$B1453)=1,1,0))</f>
        <v/>
      </c>
      <c r="AG1453">
        <f>IF($AF1453=1,SUMPRODUCT(--($AJ$2:$AJ$1501&lt;$AJ1453))+1,"")</f>
        <v/>
      </c>
      <c r="AH1453">
        <f>IF($B1453="","",IF(OR($M1453=TRUE(),$M1453="TRUE"),1,0))</f>
        <v/>
      </c>
      <c r="AI1453">
        <f>IF($B1453="","",IF($V1453="Yes",1,0))</f>
        <v/>
      </c>
      <c r="AJ1453">
        <f>IF($AF1453=1,IFERROR(IF(VALUE($B1453)&lt;100000000,VALUE($B1453),1000000000),IFERROR(IF(VALUE(MID($B1453,2,20))&lt;100000000,VALUE(MID($B1453,2,20)),1000000000),1000000000))+ROW()/100000,"")</f>
        <v/>
      </c>
    </row>
    <row r="1454">
      <c r="C1454" s="11" t="n"/>
      <c r="J1454" s="7">
        <f>IF($B1454="","",I1454*Q1454/100)</f>
        <v/>
      </c>
      <c r="P1454" s="7" t="n"/>
      <c r="Q1454" s="7" t="n"/>
      <c r="R1454" s="7">
        <f>IF($B1454="","",Q1454*W1454/100)</f>
        <v/>
      </c>
      <c r="S1454" s="7">
        <f>IF($B1454="","",Q1454-R1454)</f>
        <v/>
      </c>
      <c r="T1454" s="7">
        <f>IF($B1454="","",S1454-J1454)</f>
        <v/>
      </c>
      <c r="W1454">
        <f>IF($B1454="","",IF($AI1454=1,0,IF($AH1454=1,Settings!$C$6,Settings!$C$7))*100)</f>
        <v/>
      </c>
      <c r="AA1454" s="7" t="n"/>
      <c r="AD1454" s="11" t="n"/>
      <c r="AF1454">
        <f>IF($B1454="","",IF(COUNTIF($B$2:$B1454,$B1454)=1,1,0))</f>
        <v/>
      </c>
      <c r="AG1454">
        <f>IF($AF1454=1,SUMPRODUCT(--($AJ$2:$AJ$1501&lt;$AJ1454))+1,"")</f>
        <v/>
      </c>
      <c r="AH1454">
        <f>IF($B1454="","",IF(OR($M1454=TRUE(),$M1454="TRUE"),1,0))</f>
        <v/>
      </c>
      <c r="AI1454">
        <f>IF($B1454="","",IF($V1454="Yes",1,0))</f>
        <v/>
      </c>
      <c r="AJ1454">
        <f>IF($AF1454=1,IFERROR(IF(VALUE($B1454)&lt;100000000,VALUE($B1454),1000000000),IFERROR(IF(VALUE(MID($B1454,2,20))&lt;100000000,VALUE(MID($B1454,2,20)),1000000000),1000000000))+ROW()/100000,"")</f>
        <v/>
      </c>
    </row>
    <row r="1455">
      <c r="C1455" s="11" t="n"/>
      <c r="J1455" s="7">
        <f>IF($B1455="","",I1455*Q1455/100)</f>
        <v/>
      </c>
      <c r="P1455" s="7" t="n"/>
      <c r="Q1455" s="7" t="n"/>
      <c r="R1455" s="7">
        <f>IF($B1455="","",Q1455*W1455/100)</f>
        <v/>
      </c>
      <c r="S1455" s="7">
        <f>IF($B1455="","",Q1455-R1455)</f>
        <v/>
      </c>
      <c r="T1455" s="7">
        <f>IF($B1455="","",S1455-J1455)</f>
        <v/>
      </c>
      <c r="W1455">
        <f>IF($B1455="","",IF($AI1455=1,0,IF($AH1455=1,Settings!$C$6,Settings!$C$7))*100)</f>
        <v/>
      </c>
      <c r="AA1455" s="7" t="n"/>
      <c r="AD1455" s="11" t="n"/>
      <c r="AF1455">
        <f>IF($B1455="","",IF(COUNTIF($B$2:$B1455,$B1455)=1,1,0))</f>
        <v/>
      </c>
      <c r="AG1455">
        <f>IF($AF1455=1,SUMPRODUCT(--($AJ$2:$AJ$1501&lt;$AJ1455))+1,"")</f>
        <v/>
      </c>
      <c r="AH1455">
        <f>IF($B1455="","",IF(OR($M1455=TRUE(),$M1455="TRUE"),1,0))</f>
        <v/>
      </c>
      <c r="AI1455">
        <f>IF($B1455="","",IF($V1455="Yes",1,0))</f>
        <v/>
      </c>
      <c r="AJ1455">
        <f>IF($AF1455=1,IFERROR(IF(VALUE($B1455)&lt;100000000,VALUE($B1455),1000000000),IFERROR(IF(VALUE(MID($B1455,2,20))&lt;100000000,VALUE(MID($B1455,2,20)),1000000000),1000000000))+ROW()/100000,"")</f>
        <v/>
      </c>
    </row>
    <row r="1456">
      <c r="C1456" s="11" t="n"/>
      <c r="J1456" s="7">
        <f>IF($B1456="","",I1456*Q1456/100)</f>
        <v/>
      </c>
      <c r="P1456" s="7" t="n"/>
      <c r="Q1456" s="7" t="n"/>
      <c r="R1456" s="7">
        <f>IF($B1456="","",Q1456*W1456/100)</f>
        <v/>
      </c>
      <c r="S1456" s="7">
        <f>IF($B1456="","",Q1456-R1456)</f>
        <v/>
      </c>
      <c r="T1456" s="7">
        <f>IF($B1456="","",S1456-J1456)</f>
        <v/>
      </c>
      <c r="W1456">
        <f>IF($B1456="","",IF($AI1456=1,0,IF($AH1456=1,Settings!$C$6,Settings!$C$7))*100)</f>
        <v/>
      </c>
      <c r="AA1456" s="7" t="n"/>
      <c r="AD1456" s="11" t="n"/>
      <c r="AF1456">
        <f>IF($B1456="","",IF(COUNTIF($B$2:$B1456,$B1456)=1,1,0))</f>
        <v/>
      </c>
      <c r="AG1456">
        <f>IF($AF1456=1,SUMPRODUCT(--($AJ$2:$AJ$1501&lt;$AJ1456))+1,"")</f>
        <v/>
      </c>
      <c r="AH1456">
        <f>IF($B1456="","",IF(OR($M1456=TRUE(),$M1456="TRUE"),1,0))</f>
        <v/>
      </c>
      <c r="AI1456">
        <f>IF($B1456="","",IF($V1456="Yes",1,0))</f>
        <v/>
      </c>
      <c r="AJ1456">
        <f>IF($AF1456=1,IFERROR(IF(VALUE($B1456)&lt;100000000,VALUE($B1456),1000000000),IFERROR(IF(VALUE(MID($B1456,2,20))&lt;100000000,VALUE(MID($B1456,2,20)),1000000000),1000000000))+ROW()/100000,"")</f>
        <v/>
      </c>
    </row>
    <row r="1457">
      <c r="C1457" s="11" t="n"/>
      <c r="J1457" s="7">
        <f>IF($B1457="","",I1457*Q1457/100)</f>
        <v/>
      </c>
      <c r="P1457" s="7" t="n"/>
      <c r="Q1457" s="7" t="n"/>
      <c r="R1457" s="7">
        <f>IF($B1457="","",Q1457*W1457/100)</f>
        <v/>
      </c>
      <c r="S1457" s="7">
        <f>IF($B1457="","",Q1457-R1457)</f>
        <v/>
      </c>
      <c r="T1457" s="7">
        <f>IF($B1457="","",S1457-J1457)</f>
        <v/>
      </c>
      <c r="W1457">
        <f>IF($B1457="","",IF($AI1457=1,0,IF($AH1457=1,Settings!$C$6,Settings!$C$7))*100)</f>
        <v/>
      </c>
      <c r="AA1457" s="7" t="n"/>
      <c r="AD1457" s="11" t="n"/>
      <c r="AF1457">
        <f>IF($B1457="","",IF(COUNTIF($B$2:$B1457,$B1457)=1,1,0))</f>
        <v/>
      </c>
      <c r="AG1457">
        <f>IF($AF1457=1,SUMPRODUCT(--($AJ$2:$AJ$1501&lt;$AJ1457))+1,"")</f>
        <v/>
      </c>
      <c r="AH1457">
        <f>IF($B1457="","",IF(OR($M1457=TRUE(),$M1457="TRUE"),1,0))</f>
        <v/>
      </c>
      <c r="AI1457">
        <f>IF($B1457="","",IF($V1457="Yes",1,0))</f>
        <v/>
      </c>
      <c r="AJ1457">
        <f>IF($AF1457=1,IFERROR(IF(VALUE($B1457)&lt;100000000,VALUE($B1457),1000000000),IFERROR(IF(VALUE(MID($B1457,2,20))&lt;100000000,VALUE(MID($B1457,2,20)),1000000000),1000000000))+ROW()/100000,"")</f>
        <v/>
      </c>
    </row>
    <row r="1458">
      <c r="C1458" s="11" t="n"/>
      <c r="J1458" s="7">
        <f>IF($B1458="","",I1458*Q1458/100)</f>
        <v/>
      </c>
      <c r="P1458" s="7" t="n"/>
      <c r="Q1458" s="7" t="n"/>
      <c r="R1458" s="7">
        <f>IF($B1458="","",Q1458*W1458/100)</f>
        <v/>
      </c>
      <c r="S1458" s="7">
        <f>IF($B1458="","",Q1458-R1458)</f>
        <v/>
      </c>
      <c r="T1458" s="7">
        <f>IF($B1458="","",S1458-J1458)</f>
        <v/>
      </c>
      <c r="W1458">
        <f>IF($B1458="","",IF($AI1458=1,0,IF($AH1458=1,Settings!$C$6,Settings!$C$7))*100)</f>
        <v/>
      </c>
      <c r="AA1458" s="7" t="n"/>
      <c r="AD1458" s="11" t="n"/>
      <c r="AF1458">
        <f>IF($B1458="","",IF(COUNTIF($B$2:$B1458,$B1458)=1,1,0))</f>
        <v/>
      </c>
      <c r="AG1458">
        <f>IF($AF1458=1,SUMPRODUCT(--($AJ$2:$AJ$1501&lt;$AJ1458))+1,"")</f>
        <v/>
      </c>
      <c r="AH1458">
        <f>IF($B1458="","",IF(OR($M1458=TRUE(),$M1458="TRUE"),1,0))</f>
        <v/>
      </c>
      <c r="AI1458">
        <f>IF($B1458="","",IF($V1458="Yes",1,0))</f>
        <v/>
      </c>
      <c r="AJ1458">
        <f>IF($AF1458=1,IFERROR(IF(VALUE($B1458)&lt;100000000,VALUE($B1458),1000000000),IFERROR(IF(VALUE(MID($B1458,2,20))&lt;100000000,VALUE(MID($B1458,2,20)),1000000000),1000000000))+ROW()/100000,"")</f>
        <v/>
      </c>
    </row>
    <row r="1459">
      <c r="C1459" s="11" t="n"/>
      <c r="J1459" s="7">
        <f>IF($B1459="","",I1459*Q1459/100)</f>
        <v/>
      </c>
      <c r="P1459" s="7" t="n"/>
      <c r="Q1459" s="7" t="n"/>
      <c r="R1459" s="7">
        <f>IF($B1459="","",Q1459*W1459/100)</f>
        <v/>
      </c>
      <c r="S1459" s="7">
        <f>IF($B1459="","",Q1459-R1459)</f>
        <v/>
      </c>
      <c r="T1459" s="7">
        <f>IF($B1459="","",S1459-J1459)</f>
        <v/>
      </c>
      <c r="W1459">
        <f>IF($B1459="","",IF($AI1459=1,0,IF($AH1459=1,Settings!$C$6,Settings!$C$7))*100)</f>
        <v/>
      </c>
      <c r="AA1459" s="7" t="n"/>
      <c r="AD1459" s="11" t="n"/>
      <c r="AF1459">
        <f>IF($B1459="","",IF(COUNTIF($B$2:$B1459,$B1459)=1,1,0))</f>
        <v/>
      </c>
      <c r="AG1459">
        <f>IF($AF1459=1,SUMPRODUCT(--($AJ$2:$AJ$1501&lt;$AJ1459))+1,"")</f>
        <v/>
      </c>
      <c r="AH1459">
        <f>IF($B1459="","",IF(OR($M1459=TRUE(),$M1459="TRUE"),1,0))</f>
        <v/>
      </c>
      <c r="AI1459">
        <f>IF($B1459="","",IF($V1459="Yes",1,0))</f>
        <v/>
      </c>
      <c r="AJ1459">
        <f>IF($AF1459=1,IFERROR(IF(VALUE($B1459)&lt;100000000,VALUE($B1459),1000000000),IFERROR(IF(VALUE(MID($B1459,2,20))&lt;100000000,VALUE(MID($B1459,2,20)),1000000000),1000000000))+ROW()/100000,"")</f>
        <v/>
      </c>
    </row>
    <row r="1460">
      <c r="C1460" s="11" t="n"/>
      <c r="J1460" s="7">
        <f>IF($B1460="","",I1460*Q1460/100)</f>
        <v/>
      </c>
      <c r="P1460" s="7" t="n"/>
      <c r="Q1460" s="7" t="n"/>
      <c r="R1460" s="7">
        <f>IF($B1460="","",Q1460*W1460/100)</f>
        <v/>
      </c>
      <c r="S1460" s="7">
        <f>IF($B1460="","",Q1460-R1460)</f>
        <v/>
      </c>
      <c r="T1460" s="7">
        <f>IF($B1460="","",S1460-J1460)</f>
        <v/>
      </c>
      <c r="W1460">
        <f>IF($B1460="","",IF($AI1460=1,0,IF($AH1460=1,Settings!$C$6,Settings!$C$7))*100)</f>
        <v/>
      </c>
      <c r="AA1460" s="7" t="n"/>
      <c r="AD1460" s="11" t="n"/>
      <c r="AF1460">
        <f>IF($B1460="","",IF(COUNTIF($B$2:$B1460,$B1460)=1,1,0))</f>
        <v/>
      </c>
      <c r="AG1460">
        <f>IF($AF1460=1,SUMPRODUCT(--($AJ$2:$AJ$1501&lt;$AJ1460))+1,"")</f>
        <v/>
      </c>
      <c r="AH1460">
        <f>IF($B1460="","",IF(OR($M1460=TRUE(),$M1460="TRUE"),1,0))</f>
        <v/>
      </c>
      <c r="AI1460">
        <f>IF($B1460="","",IF($V1460="Yes",1,0))</f>
        <v/>
      </c>
      <c r="AJ1460">
        <f>IF($AF1460=1,IFERROR(IF(VALUE($B1460)&lt;100000000,VALUE($B1460),1000000000),IFERROR(IF(VALUE(MID($B1460,2,20))&lt;100000000,VALUE(MID($B1460,2,20)),1000000000),1000000000))+ROW()/100000,"")</f>
        <v/>
      </c>
    </row>
    <row r="1461">
      <c r="C1461" s="11" t="n"/>
      <c r="J1461" s="7">
        <f>IF($B1461="","",I1461*Q1461/100)</f>
        <v/>
      </c>
      <c r="P1461" s="7" t="n"/>
      <c r="Q1461" s="7" t="n"/>
      <c r="R1461" s="7">
        <f>IF($B1461="","",Q1461*W1461/100)</f>
        <v/>
      </c>
      <c r="S1461" s="7">
        <f>IF($B1461="","",Q1461-R1461)</f>
        <v/>
      </c>
      <c r="T1461" s="7">
        <f>IF($B1461="","",S1461-J1461)</f>
        <v/>
      </c>
      <c r="W1461">
        <f>IF($B1461="","",IF($AI1461=1,0,IF($AH1461=1,Settings!$C$6,Settings!$C$7))*100)</f>
        <v/>
      </c>
      <c r="AA1461" s="7" t="n"/>
      <c r="AD1461" s="11" t="n"/>
      <c r="AF1461">
        <f>IF($B1461="","",IF(COUNTIF($B$2:$B1461,$B1461)=1,1,0))</f>
        <v/>
      </c>
      <c r="AG1461">
        <f>IF($AF1461=1,SUMPRODUCT(--($AJ$2:$AJ$1501&lt;$AJ1461))+1,"")</f>
        <v/>
      </c>
      <c r="AH1461">
        <f>IF($B1461="","",IF(OR($M1461=TRUE(),$M1461="TRUE"),1,0))</f>
        <v/>
      </c>
      <c r="AI1461">
        <f>IF($B1461="","",IF($V1461="Yes",1,0))</f>
        <v/>
      </c>
      <c r="AJ1461">
        <f>IF($AF1461=1,IFERROR(IF(VALUE($B1461)&lt;100000000,VALUE($B1461),1000000000),IFERROR(IF(VALUE(MID($B1461,2,20))&lt;100000000,VALUE(MID($B1461,2,20)),1000000000),1000000000))+ROW()/100000,"")</f>
        <v/>
      </c>
    </row>
    <row r="1462">
      <c r="C1462" s="11" t="n"/>
      <c r="J1462" s="7">
        <f>IF($B1462="","",I1462*Q1462/100)</f>
        <v/>
      </c>
      <c r="P1462" s="7" t="n"/>
      <c r="Q1462" s="7" t="n"/>
      <c r="R1462" s="7">
        <f>IF($B1462="","",Q1462*W1462/100)</f>
        <v/>
      </c>
      <c r="S1462" s="7">
        <f>IF($B1462="","",Q1462-R1462)</f>
        <v/>
      </c>
      <c r="T1462" s="7">
        <f>IF($B1462="","",S1462-J1462)</f>
        <v/>
      </c>
      <c r="W1462">
        <f>IF($B1462="","",IF($AI1462=1,0,IF($AH1462=1,Settings!$C$6,Settings!$C$7))*100)</f>
        <v/>
      </c>
      <c r="AA1462" s="7" t="n"/>
      <c r="AD1462" s="11" t="n"/>
      <c r="AF1462">
        <f>IF($B1462="","",IF(COUNTIF($B$2:$B1462,$B1462)=1,1,0))</f>
        <v/>
      </c>
      <c r="AG1462">
        <f>IF($AF1462=1,SUMPRODUCT(--($AJ$2:$AJ$1501&lt;$AJ1462))+1,"")</f>
        <v/>
      </c>
      <c r="AH1462">
        <f>IF($B1462="","",IF(OR($M1462=TRUE(),$M1462="TRUE"),1,0))</f>
        <v/>
      </c>
      <c r="AI1462">
        <f>IF($B1462="","",IF($V1462="Yes",1,0))</f>
        <v/>
      </c>
      <c r="AJ1462">
        <f>IF($AF1462=1,IFERROR(IF(VALUE($B1462)&lt;100000000,VALUE($B1462),1000000000),IFERROR(IF(VALUE(MID($B1462,2,20))&lt;100000000,VALUE(MID($B1462,2,20)),1000000000),1000000000))+ROW()/100000,"")</f>
        <v/>
      </c>
    </row>
    <row r="1463">
      <c r="C1463" s="11" t="n"/>
      <c r="J1463" s="7">
        <f>IF($B1463="","",I1463*Q1463/100)</f>
        <v/>
      </c>
      <c r="P1463" s="7" t="n"/>
      <c r="Q1463" s="7" t="n"/>
      <c r="R1463" s="7">
        <f>IF($B1463="","",Q1463*W1463/100)</f>
        <v/>
      </c>
      <c r="S1463" s="7">
        <f>IF($B1463="","",Q1463-R1463)</f>
        <v/>
      </c>
      <c r="T1463" s="7">
        <f>IF($B1463="","",S1463-J1463)</f>
        <v/>
      </c>
      <c r="W1463">
        <f>IF($B1463="","",IF($AI1463=1,0,IF($AH1463=1,Settings!$C$6,Settings!$C$7))*100)</f>
        <v/>
      </c>
      <c r="AA1463" s="7" t="n"/>
      <c r="AD1463" s="11" t="n"/>
      <c r="AF1463">
        <f>IF($B1463="","",IF(COUNTIF($B$2:$B1463,$B1463)=1,1,0))</f>
        <v/>
      </c>
      <c r="AG1463">
        <f>IF($AF1463=1,SUMPRODUCT(--($AJ$2:$AJ$1501&lt;$AJ1463))+1,"")</f>
        <v/>
      </c>
      <c r="AH1463">
        <f>IF($B1463="","",IF(OR($M1463=TRUE(),$M1463="TRUE"),1,0))</f>
        <v/>
      </c>
      <c r="AI1463">
        <f>IF($B1463="","",IF($V1463="Yes",1,0))</f>
        <v/>
      </c>
      <c r="AJ1463">
        <f>IF($AF1463=1,IFERROR(IF(VALUE($B1463)&lt;100000000,VALUE($B1463),1000000000),IFERROR(IF(VALUE(MID($B1463,2,20))&lt;100000000,VALUE(MID($B1463,2,20)),1000000000),1000000000))+ROW()/100000,"")</f>
        <v/>
      </c>
    </row>
    <row r="1464">
      <c r="C1464" s="11" t="n"/>
      <c r="J1464" s="7">
        <f>IF($B1464="","",I1464*Q1464/100)</f>
        <v/>
      </c>
      <c r="P1464" s="7" t="n"/>
      <c r="Q1464" s="7" t="n"/>
      <c r="R1464" s="7">
        <f>IF($B1464="","",Q1464*W1464/100)</f>
        <v/>
      </c>
      <c r="S1464" s="7">
        <f>IF($B1464="","",Q1464-R1464)</f>
        <v/>
      </c>
      <c r="T1464" s="7">
        <f>IF($B1464="","",S1464-J1464)</f>
        <v/>
      </c>
      <c r="W1464">
        <f>IF($B1464="","",IF($AI1464=1,0,IF($AH1464=1,Settings!$C$6,Settings!$C$7))*100)</f>
        <v/>
      </c>
      <c r="AA1464" s="7" t="n"/>
      <c r="AD1464" s="11" t="n"/>
      <c r="AF1464">
        <f>IF($B1464="","",IF(COUNTIF($B$2:$B1464,$B1464)=1,1,0))</f>
        <v/>
      </c>
      <c r="AG1464">
        <f>IF($AF1464=1,SUMPRODUCT(--($AJ$2:$AJ$1501&lt;$AJ1464))+1,"")</f>
        <v/>
      </c>
      <c r="AH1464">
        <f>IF($B1464="","",IF(OR($M1464=TRUE(),$M1464="TRUE"),1,0))</f>
        <v/>
      </c>
      <c r="AI1464">
        <f>IF($B1464="","",IF($V1464="Yes",1,0))</f>
        <v/>
      </c>
      <c r="AJ1464">
        <f>IF($AF1464=1,IFERROR(IF(VALUE($B1464)&lt;100000000,VALUE($B1464),1000000000),IFERROR(IF(VALUE(MID($B1464,2,20))&lt;100000000,VALUE(MID($B1464,2,20)),1000000000),1000000000))+ROW()/100000,"")</f>
        <v/>
      </c>
    </row>
    <row r="1465">
      <c r="C1465" s="11" t="n"/>
      <c r="J1465" s="7">
        <f>IF($B1465="","",I1465*Q1465/100)</f>
        <v/>
      </c>
      <c r="P1465" s="7" t="n"/>
      <c r="Q1465" s="7" t="n"/>
      <c r="R1465" s="7">
        <f>IF($B1465="","",Q1465*W1465/100)</f>
        <v/>
      </c>
      <c r="S1465" s="7">
        <f>IF($B1465="","",Q1465-R1465)</f>
        <v/>
      </c>
      <c r="T1465" s="7">
        <f>IF($B1465="","",S1465-J1465)</f>
        <v/>
      </c>
      <c r="W1465">
        <f>IF($B1465="","",IF($AI1465=1,0,IF($AH1465=1,Settings!$C$6,Settings!$C$7))*100)</f>
        <v/>
      </c>
      <c r="AA1465" s="7" t="n"/>
      <c r="AD1465" s="11" t="n"/>
      <c r="AF1465">
        <f>IF($B1465="","",IF(COUNTIF($B$2:$B1465,$B1465)=1,1,0))</f>
        <v/>
      </c>
      <c r="AG1465">
        <f>IF($AF1465=1,SUMPRODUCT(--($AJ$2:$AJ$1501&lt;$AJ1465))+1,"")</f>
        <v/>
      </c>
      <c r="AH1465">
        <f>IF($B1465="","",IF(OR($M1465=TRUE(),$M1465="TRUE"),1,0))</f>
        <v/>
      </c>
      <c r="AI1465">
        <f>IF($B1465="","",IF($V1465="Yes",1,0))</f>
        <v/>
      </c>
      <c r="AJ1465">
        <f>IF($AF1465=1,IFERROR(IF(VALUE($B1465)&lt;100000000,VALUE($B1465),1000000000),IFERROR(IF(VALUE(MID($B1465,2,20))&lt;100000000,VALUE(MID($B1465,2,20)),1000000000),1000000000))+ROW()/100000,"")</f>
        <v/>
      </c>
    </row>
    <row r="1466">
      <c r="C1466" s="11" t="n"/>
      <c r="J1466" s="7">
        <f>IF($B1466="","",I1466*Q1466/100)</f>
        <v/>
      </c>
      <c r="P1466" s="7" t="n"/>
      <c r="Q1466" s="7" t="n"/>
      <c r="R1466" s="7">
        <f>IF($B1466="","",Q1466*W1466/100)</f>
        <v/>
      </c>
      <c r="S1466" s="7">
        <f>IF($B1466="","",Q1466-R1466)</f>
        <v/>
      </c>
      <c r="T1466" s="7">
        <f>IF($B1466="","",S1466-J1466)</f>
        <v/>
      </c>
      <c r="W1466">
        <f>IF($B1466="","",IF($AI1466=1,0,IF($AH1466=1,Settings!$C$6,Settings!$C$7))*100)</f>
        <v/>
      </c>
      <c r="AA1466" s="7" t="n"/>
      <c r="AD1466" s="11" t="n"/>
      <c r="AF1466">
        <f>IF($B1466="","",IF(COUNTIF($B$2:$B1466,$B1466)=1,1,0))</f>
        <v/>
      </c>
      <c r="AG1466">
        <f>IF($AF1466=1,SUMPRODUCT(--($AJ$2:$AJ$1501&lt;$AJ1466))+1,"")</f>
        <v/>
      </c>
      <c r="AH1466">
        <f>IF($B1466="","",IF(OR($M1466=TRUE(),$M1466="TRUE"),1,0))</f>
        <v/>
      </c>
      <c r="AI1466">
        <f>IF($B1466="","",IF($V1466="Yes",1,0))</f>
        <v/>
      </c>
      <c r="AJ1466">
        <f>IF($AF1466=1,IFERROR(IF(VALUE($B1466)&lt;100000000,VALUE($B1466),1000000000),IFERROR(IF(VALUE(MID($B1466,2,20))&lt;100000000,VALUE(MID($B1466,2,20)),1000000000),1000000000))+ROW()/100000,"")</f>
        <v/>
      </c>
    </row>
    <row r="1467">
      <c r="C1467" s="11" t="n"/>
      <c r="J1467" s="7">
        <f>IF($B1467="","",I1467*Q1467/100)</f>
        <v/>
      </c>
      <c r="P1467" s="7" t="n"/>
      <c r="Q1467" s="7" t="n"/>
      <c r="R1467" s="7">
        <f>IF($B1467="","",Q1467*W1467/100)</f>
        <v/>
      </c>
      <c r="S1467" s="7">
        <f>IF($B1467="","",Q1467-R1467)</f>
        <v/>
      </c>
      <c r="T1467" s="7">
        <f>IF($B1467="","",S1467-J1467)</f>
        <v/>
      </c>
      <c r="W1467">
        <f>IF($B1467="","",IF($AI1467=1,0,IF($AH1467=1,Settings!$C$6,Settings!$C$7))*100)</f>
        <v/>
      </c>
      <c r="AA1467" s="7" t="n"/>
      <c r="AD1467" s="11" t="n"/>
      <c r="AF1467">
        <f>IF($B1467="","",IF(COUNTIF($B$2:$B1467,$B1467)=1,1,0))</f>
        <v/>
      </c>
      <c r="AG1467">
        <f>IF($AF1467=1,SUMPRODUCT(--($AJ$2:$AJ$1501&lt;$AJ1467))+1,"")</f>
        <v/>
      </c>
      <c r="AH1467">
        <f>IF($B1467="","",IF(OR($M1467=TRUE(),$M1467="TRUE"),1,0))</f>
        <v/>
      </c>
      <c r="AI1467">
        <f>IF($B1467="","",IF($V1467="Yes",1,0))</f>
        <v/>
      </c>
      <c r="AJ1467">
        <f>IF($AF1467=1,IFERROR(IF(VALUE($B1467)&lt;100000000,VALUE($B1467),1000000000),IFERROR(IF(VALUE(MID($B1467,2,20))&lt;100000000,VALUE(MID($B1467,2,20)),1000000000),1000000000))+ROW()/100000,"")</f>
        <v/>
      </c>
    </row>
    <row r="1468">
      <c r="C1468" s="11" t="n"/>
      <c r="J1468" s="7">
        <f>IF($B1468="","",I1468*Q1468/100)</f>
        <v/>
      </c>
      <c r="P1468" s="7" t="n"/>
      <c r="Q1468" s="7" t="n"/>
      <c r="R1468" s="7">
        <f>IF($B1468="","",Q1468*W1468/100)</f>
        <v/>
      </c>
      <c r="S1468" s="7">
        <f>IF($B1468="","",Q1468-R1468)</f>
        <v/>
      </c>
      <c r="T1468" s="7">
        <f>IF($B1468="","",S1468-J1468)</f>
        <v/>
      </c>
      <c r="W1468">
        <f>IF($B1468="","",IF($AI1468=1,0,IF($AH1468=1,Settings!$C$6,Settings!$C$7))*100)</f>
        <v/>
      </c>
      <c r="AA1468" s="7" t="n"/>
      <c r="AD1468" s="11" t="n"/>
      <c r="AF1468">
        <f>IF($B1468="","",IF(COUNTIF($B$2:$B1468,$B1468)=1,1,0))</f>
        <v/>
      </c>
      <c r="AG1468">
        <f>IF($AF1468=1,SUMPRODUCT(--($AJ$2:$AJ$1501&lt;$AJ1468))+1,"")</f>
        <v/>
      </c>
      <c r="AH1468">
        <f>IF($B1468="","",IF(OR($M1468=TRUE(),$M1468="TRUE"),1,0))</f>
        <v/>
      </c>
      <c r="AI1468">
        <f>IF($B1468="","",IF($V1468="Yes",1,0))</f>
        <v/>
      </c>
      <c r="AJ1468">
        <f>IF($AF1468=1,IFERROR(IF(VALUE($B1468)&lt;100000000,VALUE($B1468),1000000000),IFERROR(IF(VALUE(MID($B1468,2,20))&lt;100000000,VALUE(MID($B1468,2,20)),1000000000),1000000000))+ROW()/100000,"")</f>
        <v/>
      </c>
    </row>
    <row r="1469">
      <c r="C1469" s="11" t="n"/>
      <c r="J1469" s="7">
        <f>IF($B1469="","",I1469*Q1469/100)</f>
        <v/>
      </c>
      <c r="P1469" s="7" t="n"/>
      <c r="Q1469" s="7" t="n"/>
      <c r="R1469" s="7">
        <f>IF($B1469="","",Q1469*W1469/100)</f>
        <v/>
      </c>
      <c r="S1469" s="7">
        <f>IF($B1469="","",Q1469-R1469)</f>
        <v/>
      </c>
      <c r="T1469" s="7">
        <f>IF($B1469="","",S1469-J1469)</f>
        <v/>
      </c>
      <c r="W1469">
        <f>IF($B1469="","",IF($AI1469=1,0,IF($AH1469=1,Settings!$C$6,Settings!$C$7))*100)</f>
        <v/>
      </c>
      <c r="AA1469" s="7" t="n"/>
      <c r="AD1469" s="11" t="n"/>
      <c r="AF1469">
        <f>IF($B1469="","",IF(COUNTIF($B$2:$B1469,$B1469)=1,1,0))</f>
        <v/>
      </c>
      <c r="AG1469">
        <f>IF($AF1469=1,SUMPRODUCT(--($AJ$2:$AJ$1501&lt;$AJ1469))+1,"")</f>
        <v/>
      </c>
      <c r="AH1469">
        <f>IF($B1469="","",IF(OR($M1469=TRUE(),$M1469="TRUE"),1,0))</f>
        <v/>
      </c>
      <c r="AI1469">
        <f>IF($B1469="","",IF($V1469="Yes",1,0))</f>
        <v/>
      </c>
      <c r="AJ1469">
        <f>IF($AF1469=1,IFERROR(IF(VALUE($B1469)&lt;100000000,VALUE($B1469),1000000000),IFERROR(IF(VALUE(MID($B1469,2,20))&lt;100000000,VALUE(MID($B1469,2,20)),1000000000),1000000000))+ROW()/100000,"")</f>
        <v/>
      </c>
    </row>
    <row r="1470">
      <c r="C1470" s="11" t="n"/>
      <c r="J1470" s="7">
        <f>IF($B1470="","",I1470*Q1470/100)</f>
        <v/>
      </c>
      <c r="P1470" s="7" t="n"/>
      <c r="Q1470" s="7" t="n"/>
      <c r="R1470" s="7">
        <f>IF($B1470="","",Q1470*W1470/100)</f>
        <v/>
      </c>
      <c r="S1470" s="7">
        <f>IF($B1470="","",Q1470-R1470)</f>
        <v/>
      </c>
      <c r="T1470" s="7">
        <f>IF($B1470="","",S1470-J1470)</f>
        <v/>
      </c>
      <c r="W1470">
        <f>IF($B1470="","",IF($AI1470=1,0,IF($AH1470=1,Settings!$C$6,Settings!$C$7))*100)</f>
        <v/>
      </c>
      <c r="AA1470" s="7" t="n"/>
      <c r="AD1470" s="11" t="n"/>
      <c r="AF1470">
        <f>IF($B1470="","",IF(COUNTIF($B$2:$B1470,$B1470)=1,1,0))</f>
        <v/>
      </c>
      <c r="AG1470">
        <f>IF($AF1470=1,SUMPRODUCT(--($AJ$2:$AJ$1501&lt;$AJ1470))+1,"")</f>
        <v/>
      </c>
      <c r="AH1470">
        <f>IF($B1470="","",IF(OR($M1470=TRUE(),$M1470="TRUE"),1,0))</f>
        <v/>
      </c>
      <c r="AI1470">
        <f>IF($B1470="","",IF($V1470="Yes",1,0))</f>
        <v/>
      </c>
      <c r="AJ1470">
        <f>IF($AF1470=1,IFERROR(IF(VALUE($B1470)&lt;100000000,VALUE($B1470),1000000000),IFERROR(IF(VALUE(MID($B1470,2,20))&lt;100000000,VALUE(MID($B1470,2,20)),1000000000),1000000000))+ROW()/100000,"")</f>
        <v/>
      </c>
    </row>
    <row r="1471">
      <c r="C1471" s="11" t="n"/>
      <c r="J1471" s="7">
        <f>IF($B1471="","",I1471*Q1471/100)</f>
        <v/>
      </c>
      <c r="P1471" s="7" t="n"/>
      <c r="Q1471" s="7" t="n"/>
      <c r="R1471" s="7">
        <f>IF($B1471="","",Q1471*W1471/100)</f>
        <v/>
      </c>
      <c r="S1471" s="7">
        <f>IF($B1471="","",Q1471-R1471)</f>
        <v/>
      </c>
      <c r="T1471" s="7">
        <f>IF($B1471="","",S1471-J1471)</f>
        <v/>
      </c>
      <c r="W1471">
        <f>IF($B1471="","",IF($AI1471=1,0,IF($AH1471=1,Settings!$C$6,Settings!$C$7))*100)</f>
        <v/>
      </c>
      <c r="AA1471" s="7" t="n"/>
      <c r="AD1471" s="11" t="n"/>
      <c r="AF1471">
        <f>IF($B1471="","",IF(COUNTIF($B$2:$B1471,$B1471)=1,1,0))</f>
        <v/>
      </c>
      <c r="AG1471">
        <f>IF($AF1471=1,SUMPRODUCT(--($AJ$2:$AJ$1501&lt;$AJ1471))+1,"")</f>
        <v/>
      </c>
      <c r="AH1471">
        <f>IF($B1471="","",IF(OR($M1471=TRUE(),$M1471="TRUE"),1,0))</f>
        <v/>
      </c>
      <c r="AI1471">
        <f>IF($B1471="","",IF($V1471="Yes",1,0))</f>
        <v/>
      </c>
      <c r="AJ1471">
        <f>IF($AF1471=1,IFERROR(IF(VALUE($B1471)&lt;100000000,VALUE($B1471),1000000000),IFERROR(IF(VALUE(MID($B1471,2,20))&lt;100000000,VALUE(MID($B1471,2,20)),1000000000),1000000000))+ROW()/100000,"")</f>
        <v/>
      </c>
    </row>
    <row r="1472">
      <c r="C1472" s="11" t="n"/>
      <c r="J1472" s="7">
        <f>IF($B1472="","",I1472*Q1472/100)</f>
        <v/>
      </c>
      <c r="P1472" s="7" t="n"/>
      <c r="Q1472" s="7" t="n"/>
      <c r="R1472" s="7">
        <f>IF($B1472="","",Q1472*W1472/100)</f>
        <v/>
      </c>
      <c r="S1472" s="7">
        <f>IF($B1472="","",Q1472-R1472)</f>
        <v/>
      </c>
      <c r="T1472" s="7">
        <f>IF($B1472="","",S1472-J1472)</f>
        <v/>
      </c>
      <c r="W1472">
        <f>IF($B1472="","",IF($AI1472=1,0,IF($AH1472=1,Settings!$C$6,Settings!$C$7))*100)</f>
        <v/>
      </c>
      <c r="AA1472" s="7" t="n"/>
      <c r="AD1472" s="11" t="n"/>
      <c r="AF1472">
        <f>IF($B1472="","",IF(COUNTIF($B$2:$B1472,$B1472)=1,1,0))</f>
        <v/>
      </c>
      <c r="AG1472">
        <f>IF($AF1472=1,SUMPRODUCT(--($AJ$2:$AJ$1501&lt;$AJ1472))+1,"")</f>
        <v/>
      </c>
      <c r="AH1472">
        <f>IF($B1472="","",IF(OR($M1472=TRUE(),$M1472="TRUE"),1,0))</f>
        <v/>
      </c>
      <c r="AI1472">
        <f>IF($B1472="","",IF($V1472="Yes",1,0))</f>
        <v/>
      </c>
      <c r="AJ1472">
        <f>IF($AF1472=1,IFERROR(IF(VALUE($B1472)&lt;100000000,VALUE($B1472),1000000000),IFERROR(IF(VALUE(MID($B1472,2,20))&lt;100000000,VALUE(MID($B1472,2,20)),1000000000),1000000000))+ROW()/100000,"")</f>
        <v/>
      </c>
    </row>
    <row r="1473">
      <c r="C1473" s="11" t="n"/>
      <c r="J1473" s="7">
        <f>IF($B1473="","",I1473*Q1473/100)</f>
        <v/>
      </c>
      <c r="P1473" s="7" t="n"/>
      <c r="Q1473" s="7" t="n"/>
      <c r="R1473" s="7">
        <f>IF($B1473="","",Q1473*W1473/100)</f>
        <v/>
      </c>
      <c r="S1473" s="7">
        <f>IF($B1473="","",Q1473-R1473)</f>
        <v/>
      </c>
      <c r="T1473" s="7">
        <f>IF($B1473="","",S1473-J1473)</f>
        <v/>
      </c>
      <c r="W1473">
        <f>IF($B1473="","",IF($AI1473=1,0,IF($AH1473=1,Settings!$C$6,Settings!$C$7))*100)</f>
        <v/>
      </c>
      <c r="AA1473" s="7" t="n"/>
      <c r="AD1473" s="11" t="n"/>
      <c r="AF1473">
        <f>IF($B1473="","",IF(COUNTIF($B$2:$B1473,$B1473)=1,1,0))</f>
        <v/>
      </c>
      <c r="AG1473">
        <f>IF($AF1473=1,SUMPRODUCT(--($AJ$2:$AJ$1501&lt;$AJ1473))+1,"")</f>
        <v/>
      </c>
      <c r="AH1473">
        <f>IF($B1473="","",IF(OR($M1473=TRUE(),$M1473="TRUE"),1,0))</f>
        <v/>
      </c>
      <c r="AI1473">
        <f>IF($B1473="","",IF($V1473="Yes",1,0))</f>
        <v/>
      </c>
      <c r="AJ1473">
        <f>IF($AF1473=1,IFERROR(IF(VALUE($B1473)&lt;100000000,VALUE($B1473),1000000000),IFERROR(IF(VALUE(MID($B1473,2,20))&lt;100000000,VALUE(MID($B1473,2,20)),1000000000),1000000000))+ROW()/100000,"")</f>
        <v/>
      </c>
    </row>
    <row r="1474">
      <c r="C1474" s="11" t="n"/>
      <c r="J1474" s="7">
        <f>IF($B1474="","",I1474*Q1474/100)</f>
        <v/>
      </c>
      <c r="P1474" s="7" t="n"/>
      <c r="Q1474" s="7" t="n"/>
      <c r="R1474" s="7">
        <f>IF($B1474="","",Q1474*W1474/100)</f>
        <v/>
      </c>
      <c r="S1474" s="7">
        <f>IF($B1474="","",Q1474-R1474)</f>
        <v/>
      </c>
      <c r="T1474" s="7">
        <f>IF($B1474="","",S1474-J1474)</f>
        <v/>
      </c>
      <c r="W1474">
        <f>IF($B1474="","",IF($AI1474=1,0,IF($AH1474=1,Settings!$C$6,Settings!$C$7))*100)</f>
        <v/>
      </c>
      <c r="AA1474" s="7" t="n"/>
      <c r="AD1474" s="11" t="n"/>
      <c r="AF1474">
        <f>IF($B1474="","",IF(COUNTIF($B$2:$B1474,$B1474)=1,1,0))</f>
        <v/>
      </c>
      <c r="AG1474">
        <f>IF($AF1474=1,SUMPRODUCT(--($AJ$2:$AJ$1501&lt;$AJ1474))+1,"")</f>
        <v/>
      </c>
      <c r="AH1474">
        <f>IF($B1474="","",IF(OR($M1474=TRUE(),$M1474="TRUE"),1,0))</f>
        <v/>
      </c>
      <c r="AI1474">
        <f>IF($B1474="","",IF($V1474="Yes",1,0))</f>
        <v/>
      </c>
      <c r="AJ1474">
        <f>IF($AF1474=1,IFERROR(IF(VALUE($B1474)&lt;100000000,VALUE($B1474),1000000000),IFERROR(IF(VALUE(MID($B1474,2,20))&lt;100000000,VALUE(MID($B1474,2,20)),1000000000),1000000000))+ROW()/100000,"")</f>
        <v/>
      </c>
    </row>
    <row r="1475">
      <c r="C1475" s="11" t="n"/>
      <c r="J1475" s="7">
        <f>IF($B1475="","",I1475*Q1475/100)</f>
        <v/>
      </c>
      <c r="P1475" s="7" t="n"/>
      <c r="Q1475" s="7" t="n"/>
      <c r="R1475" s="7">
        <f>IF($B1475="","",Q1475*W1475/100)</f>
        <v/>
      </c>
      <c r="S1475" s="7">
        <f>IF($B1475="","",Q1475-R1475)</f>
        <v/>
      </c>
      <c r="T1475" s="7">
        <f>IF($B1475="","",S1475-J1475)</f>
        <v/>
      </c>
      <c r="W1475">
        <f>IF($B1475="","",IF($AI1475=1,0,IF($AH1475=1,Settings!$C$6,Settings!$C$7))*100)</f>
        <v/>
      </c>
      <c r="AA1475" s="7" t="n"/>
      <c r="AD1475" s="11" t="n"/>
      <c r="AF1475">
        <f>IF($B1475="","",IF(COUNTIF($B$2:$B1475,$B1475)=1,1,0))</f>
        <v/>
      </c>
      <c r="AG1475">
        <f>IF($AF1475=1,SUMPRODUCT(--($AJ$2:$AJ$1501&lt;$AJ1475))+1,"")</f>
        <v/>
      </c>
      <c r="AH1475">
        <f>IF($B1475="","",IF(OR($M1475=TRUE(),$M1475="TRUE"),1,0))</f>
        <v/>
      </c>
      <c r="AI1475">
        <f>IF($B1475="","",IF($V1475="Yes",1,0))</f>
        <v/>
      </c>
      <c r="AJ1475">
        <f>IF($AF1475=1,IFERROR(IF(VALUE($B1475)&lt;100000000,VALUE($B1475),1000000000),IFERROR(IF(VALUE(MID($B1475,2,20))&lt;100000000,VALUE(MID($B1475,2,20)),1000000000),1000000000))+ROW()/100000,"")</f>
        <v/>
      </c>
    </row>
    <row r="1476">
      <c r="C1476" s="11" t="n"/>
      <c r="J1476" s="7">
        <f>IF($B1476="","",I1476*Q1476/100)</f>
        <v/>
      </c>
      <c r="P1476" s="7" t="n"/>
      <c r="Q1476" s="7" t="n"/>
      <c r="R1476" s="7">
        <f>IF($B1476="","",Q1476*W1476/100)</f>
        <v/>
      </c>
      <c r="S1476" s="7">
        <f>IF($B1476="","",Q1476-R1476)</f>
        <v/>
      </c>
      <c r="T1476" s="7">
        <f>IF($B1476="","",S1476-J1476)</f>
        <v/>
      </c>
      <c r="W1476">
        <f>IF($B1476="","",IF($AI1476=1,0,IF($AH1476=1,Settings!$C$6,Settings!$C$7))*100)</f>
        <v/>
      </c>
      <c r="AA1476" s="7" t="n"/>
      <c r="AD1476" s="11" t="n"/>
      <c r="AF1476">
        <f>IF($B1476="","",IF(COUNTIF($B$2:$B1476,$B1476)=1,1,0))</f>
        <v/>
      </c>
      <c r="AG1476">
        <f>IF($AF1476=1,SUMPRODUCT(--($AJ$2:$AJ$1501&lt;$AJ1476))+1,"")</f>
        <v/>
      </c>
      <c r="AH1476">
        <f>IF($B1476="","",IF(OR($M1476=TRUE(),$M1476="TRUE"),1,0))</f>
        <v/>
      </c>
      <c r="AI1476">
        <f>IF($B1476="","",IF($V1476="Yes",1,0))</f>
        <v/>
      </c>
      <c r="AJ1476">
        <f>IF($AF1476=1,IFERROR(IF(VALUE($B1476)&lt;100000000,VALUE($B1476),1000000000),IFERROR(IF(VALUE(MID($B1476,2,20))&lt;100000000,VALUE(MID($B1476,2,20)),1000000000),1000000000))+ROW()/100000,"")</f>
        <v/>
      </c>
    </row>
    <row r="1477">
      <c r="C1477" s="11" t="n"/>
      <c r="J1477" s="7">
        <f>IF($B1477="","",I1477*Q1477/100)</f>
        <v/>
      </c>
      <c r="P1477" s="7" t="n"/>
      <c r="Q1477" s="7" t="n"/>
      <c r="R1477" s="7">
        <f>IF($B1477="","",Q1477*W1477/100)</f>
        <v/>
      </c>
      <c r="S1477" s="7">
        <f>IF($B1477="","",Q1477-R1477)</f>
        <v/>
      </c>
      <c r="T1477" s="7">
        <f>IF($B1477="","",S1477-J1477)</f>
        <v/>
      </c>
      <c r="W1477">
        <f>IF($B1477="","",IF($AI1477=1,0,IF($AH1477=1,Settings!$C$6,Settings!$C$7))*100)</f>
        <v/>
      </c>
      <c r="AA1477" s="7" t="n"/>
      <c r="AD1477" s="11" t="n"/>
      <c r="AF1477">
        <f>IF($B1477="","",IF(COUNTIF($B$2:$B1477,$B1477)=1,1,0))</f>
        <v/>
      </c>
      <c r="AG1477">
        <f>IF($AF1477=1,SUMPRODUCT(--($AJ$2:$AJ$1501&lt;$AJ1477))+1,"")</f>
        <v/>
      </c>
      <c r="AH1477">
        <f>IF($B1477="","",IF(OR($M1477=TRUE(),$M1477="TRUE"),1,0))</f>
        <v/>
      </c>
      <c r="AI1477">
        <f>IF($B1477="","",IF($V1477="Yes",1,0))</f>
        <v/>
      </c>
      <c r="AJ1477">
        <f>IF($AF1477=1,IFERROR(IF(VALUE($B1477)&lt;100000000,VALUE($B1477),1000000000),IFERROR(IF(VALUE(MID($B1477,2,20))&lt;100000000,VALUE(MID($B1477,2,20)),1000000000),1000000000))+ROW()/100000,"")</f>
        <v/>
      </c>
    </row>
    <row r="1478">
      <c r="C1478" s="11" t="n"/>
      <c r="J1478" s="7">
        <f>IF($B1478="","",I1478*Q1478/100)</f>
        <v/>
      </c>
      <c r="P1478" s="7" t="n"/>
      <c r="Q1478" s="7" t="n"/>
      <c r="R1478" s="7">
        <f>IF($B1478="","",Q1478*W1478/100)</f>
        <v/>
      </c>
      <c r="S1478" s="7">
        <f>IF($B1478="","",Q1478-R1478)</f>
        <v/>
      </c>
      <c r="T1478" s="7">
        <f>IF($B1478="","",S1478-J1478)</f>
        <v/>
      </c>
      <c r="W1478">
        <f>IF($B1478="","",IF($AI1478=1,0,IF($AH1478=1,Settings!$C$6,Settings!$C$7))*100)</f>
        <v/>
      </c>
      <c r="AA1478" s="7" t="n"/>
      <c r="AD1478" s="11" t="n"/>
      <c r="AF1478">
        <f>IF($B1478="","",IF(COUNTIF($B$2:$B1478,$B1478)=1,1,0))</f>
        <v/>
      </c>
      <c r="AG1478">
        <f>IF($AF1478=1,SUMPRODUCT(--($AJ$2:$AJ$1501&lt;$AJ1478))+1,"")</f>
        <v/>
      </c>
      <c r="AH1478">
        <f>IF($B1478="","",IF(OR($M1478=TRUE(),$M1478="TRUE"),1,0))</f>
        <v/>
      </c>
      <c r="AI1478">
        <f>IF($B1478="","",IF($V1478="Yes",1,0))</f>
        <v/>
      </c>
      <c r="AJ1478">
        <f>IF($AF1478=1,IFERROR(IF(VALUE($B1478)&lt;100000000,VALUE($B1478),1000000000),IFERROR(IF(VALUE(MID($B1478,2,20))&lt;100000000,VALUE(MID($B1478,2,20)),1000000000),1000000000))+ROW()/100000,"")</f>
        <v/>
      </c>
    </row>
    <row r="1479">
      <c r="C1479" s="11" t="n"/>
      <c r="J1479" s="7">
        <f>IF($B1479="","",I1479*Q1479/100)</f>
        <v/>
      </c>
      <c r="P1479" s="7" t="n"/>
      <c r="Q1479" s="7" t="n"/>
      <c r="R1479" s="7">
        <f>IF($B1479="","",Q1479*W1479/100)</f>
        <v/>
      </c>
      <c r="S1479" s="7">
        <f>IF($B1479="","",Q1479-R1479)</f>
        <v/>
      </c>
      <c r="T1479" s="7">
        <f>IF($B1479="","",S1479-J1479)</f>
        <v/>
      </c>
      <c r="W1479">
        <f>IF($B1479="","",IF($AI1479=1,0,IF($AH1479=1,Settings!$C$6,Settings!$C$7))*100)</f>
        <v/>
      </c>
      <c r="AA1479" s="7" t="n"/>
      <c r="AD1479" s="11" t="n"/>
      <c r="AF1479">
        <f>IF($B1479="","",IF(COUNTIF($B$2:$B1479,$B1479)=1,1,0))</f>
        <v/>
      </c>
      <c r="AG1479">
        <f>IF($AF1479=1,SUMPRODUCT(--($AJ$2:$AJ$1501&lt;$AJ1479))+1,"")</f>
        <v/>
      </c>
      <c r="AH1479">
        <f>IF($B1479="","",IF(OR($M1479=TRUE(),$M1479="TRUE"),1,0))</f>
        <v/>
      </c>
      <c r="AI1479">
        <f>IF($B1479="","",IF($V1479="Yes",1,0))</f>
        <v/>
      </c>
      <c r="AJ1479">
        <f>IF($AF1479=1,IFERROR(IF(VALUE($B1479)&lt;100000000,VALUE($B1479),1000000000),IFERROR(IF(VALUE(MID($B1479,2,20))&lt;100000000,VALUE(MID($B1479,2,20)),1000000000),1000000000))+ROW()/100000,"")</f>
        <v/>
      </c>
    </row>
    <row r="1480">
      <c r="C1480" s="11" t="n"/>
      <c r="J1480" s="7">
        <f>IF($B1480="","",I1480*Q1480/100)</f>
        <v/>
      </c>
      <c r="P1480" s="7" t="n"/>
      <c r="Q1480" s="7" t="n"/>
      <c r="R1480" s="7">
        <f>IF($B1480="","",Q1480*W1480/100)</f>
        <v/>
      </c>
      <c r="S1480" s="7">
        <f>IF($B1480="","",Q1480-R1480)</f>
        <v/>
      </c>
      <c r="T1480" s="7">
        <f>IF($B1480="","",S1480-J1480)</f>
        <v/>
      </c>
      <c r="W1480">
        <f>IF($B1480="","",IF($AI1480=1,0,IF($AH1480=1,Settings!$C$6,Settings!$C$7))*100)</f>
        <v/>
      </c>
      <c r="AA1480" s="7" t="n"/>
      <c r="AD1480" s="11" t="n"/>
      <c r="AF1480">
        <f>IF($B1480="","",IF(COUNTIF($B$2:$B1480,$B1480)=1,1,0))</f>
        <v/>
      </c>
      <c r="AG1480">
        <f>IF($AF1480=1,SUMPRODUCT(--($AJ$2:$AJ$1501&lt;$AJ1480))+1,"")</f>
        <v/>
      </c>
      <c r="AH1480">
        <f>IF($B1480="","",IF(OR($M1480=TRUE(),$M1480="TRUE"),1,0))</f>
        <v/>
      </c>
      <c r="AI1480">
        <f>IF($B1480="","",IF($V1480="Yes",1,0))</f>
        <v/>
      </c>
      <c r="AJ1480">
        <f>IF($AF1480=1,IFERROR(IF(VALUE($B1480)&lt;100000000,VALUE($B1480),1000000000),IFERROR(IF(VALUE(MID($B1480,2,20))&lt;100000000,VALUE(MID($B1480,2,20)),1000000000),1000000000))+ROW()/100000,"")</f>
        <v/>
      </c>
    </row>
    <row r="1481">
      <c r="C1481" s="11" t="n"/>
      <c r="J1481" s="7">
        <f>IF($B1481="","",I1481*Q1481/100)</f>
        <v/>
      </c>
      <c r="P1481" s="7" t="n"/>
      <c r="Q1481" s="7" t="n"/>
      <c r="R1481" s="7">
        <f>IF($B1481="","",Q1481*W1481/100)</f>
        <v/>
      </c>
      <c r="S1481" s="7">
        <f>IF($B1481="","",Q1481-R1481)</f>
        <v/>
      </c>
      <c r="T1481" s="7">
        <f>IF($B1481="","",S1481-J1481)</f>
        <v/>
      </c>
      <c r="W1481">
        <f>IF($B1481="","",IF($AI1481=1,0,IF($AH1481=1,Settings!$C$6,Settings!$C$7))*100)</f>
        <v/>
      </c>
      <c r="AA1481" s="7" t="n"/>
      <c r="AD1481" s="11" t="n"/>
      <c r="AF1481">
        <f>IF($B1481="","",IF(COUNTIF($B$2:$B1481,$B1481)=1,1,0))</f>
        <v/>
      </c>
      <c r="AG1481">
        <f>IF($AF1481=1,SUMPRODUCT(--($AJ$2:$AJ$1501&lt;$AJ1481))+1,"")</f>
        <v/>
      </c>
      <c r="AH1481">
        <f>IF($B1481="","",IF(OR($M1481=TRUE(),$M1481="TRUE"),1,0))</f>
        <v/>
      </c>
      <c r="AI1481">
        <f>IF($B1481="","",IF($V1481="Yes",1,0))</f>
        <v/>
      </c>
      <c r="AJ1481">
        <f>IF($AF1481=1,IFERROR(IF(VALUE($B1481)&lt;100000000,VALUE($B1481),1000000000),IFERROR(IF(VALUE(MID($B1481,2,20))&lt;100000000,VALUE(MID($B1481,2,20)),1000000000),1000000000))+ROW()/100000,"")</f>
        <v/>
      </c>
    </row>
    <row r="1482">
      <c r="C1482" s="11" t="n"/>
      <c r="J1482" s="7">
        <f>IF($B1482="","",I1482*Q1482/100)</f>
        <v/>
      </c>
      <c r="P1482" s="7" t="n"/>
      <c r="Q1482" s="7" t="n"/>
      <c r="R1482" s="7">
        <f>IF($B1482="","",Q1482*W1482/100)</f>
        <v/>
      </c>
      <c r="S1482" s="7">
        <f>IF($B1482="","",Q1482-R1482)</f>
        <v/>
      </c>
      <c r="T1482" s="7">
        <f>IF($B1482="","",S1482-J1482)</f>
        <v/>
      </c>
      <c r="W1482">
        <f>IF($B1482="","",IF($AI1482=1,0,IF($AH1482=1,Settings!$C$6,Settings!$C$7))*100)</f>
        <v/>
      </c>
      <c r="AA1482" s="7" t="n"/>
      <c r="AD1482" s="11" t="n"/>
      <c r="AF1482">
        <f>IF($B1482="","",IF(COUNTIF($B$2:$B1482,$B1482)=1,1,0))</f>
        <v/>
      </c>
      <c r="AG1482">
        <f>IF($AF1482=1,SUMPRODUCT(--($AJ$2:$AJ$1501&lt;$AJ1482))+1,"")</f>
        <v/>
      </c>
      <c r="AH1482">
        <f>IF($B1482="","",IF(OR($M1482=TRUE(),$M1482="TRUE"),1,0))</f>
        <v/>
      </c>
      <c r="AI1482">
        <f>IF($B1482="","",IF($V1482="Yes",1,0))</f>
        <v/>
      </c>
      <c r="AJ1482">
        <f>IF($AF1482=1,IFERROR(IF(VALUE($B1482)&lt;100000000,VALUE($B1482),1000000000),IFERROR(IF(VALUE(MID($B1482,2,20))&lt;100000000,VALUE(MID($B1482,2,20)),1000000000),1000000000))+ROW()/100000,"")</f>
        <v/>
      </c>
    </row>
    <row r="1483">
      <c r="C1483" s="11" t="n"/>
      <c r="J1483" s="7">
        <f>IF($B1483="","",I1483*Q1483/100)</f>
        <v/>
      </c>
      <c r="P1483" s="7" t="n"/>
      <c r="Q1483" s="7" t="n"/>
      <c r="R1483" s="7">
        <f>IF($B1483="","",Q1483*W1483/100)</f>
        <v/>
      </c>
      <c r="S1483" s="7">
        <f>IF($B1483="","",Q1483-R1483)</f>
        <v/>
      </c>
      <c r="T1483" s="7">
        <f>IF($B1483="","",S1483-J1483)</f>
        <v/>
      </c>
      <c r="W1483">
        <f>IF($B1483="","",IF($AI1483=1,0,IF($AH1483=1,Settings!$C$6,Settings!$C$7))*100)</f>
        <v/>
      </c>
      <c r="AA1483" s="7" t="n"/>
      <c r="AD1483" s="11" t="n"/>
      <c r="AF1483">
        <f>IF($B1483="","",IF(COUNTIF($B$2:$B1483,$B1483)=1,1,0))</f>
        <v/>
      </c>
      <c r="AG1483">
        <f>IF($AF1483=1,SUMPRODUCT(--($AJ$2:$AJ$1501&lt;$AJ1483))+1,"")</f>
        <v/>
      </c>
      <c r="AH1483">
        <f>IF($B1483="","",IF(OR($M1483=TRUE(),$M1483="TRUE"),1,0))</f>
        <v/>
      </c>
      <c r="AI1483">
        <f>IF($B1483="","",IF($V1483="Yes",1,0))</f>
        <v/>
      </c>
      <c r="AJ1483">
        <f>IF($AF1483=1,IFERROR(IF(VALUE($B1483)&lt;100000000,VALUE($B1483),1000000000),IFERROR(IF(VALUE(MID($B1483,2,20))&lt;100000000,VALUE(MID($B1483,2,20)),1000000000),1000000000))+ROW()/100000,"")</f>
        <v/>
      </c>
    </row>
    <row r="1484">
      <c r="C1484" s="11" t="n"/>
      <c r="J1484" s="7">
        <f>IF($B1484="","",I1484*Q1484/100)</f>
        <v/>
      </c>
      <c r="P1484" s="7" t="n"/>
      <c r="Q1484" s="7" t="n"/>
      <c r="R1484" s="7">
        <f>IF($B1484="","",Q1484*W1484/100)</f>
        <v/>
      </c>
      <c r="S1484" s="7">
        <f>IF($B1484="","",Q1484-R1484)</f>
        <v/>
      </c>
      <c r="T1484" s="7">
        <f>IF($B1484="","",S1484-J1484)</f>
        <v/>
      </c>
      <c r="W1484">
        <f>IF($B1484="","",IF($AI1484=1,0,IF($AH1484=1,Settings!$C$6,Settings!$C$7))*100)</f>
        <v/>
      </c>
      <c r="AA1484" s="7" t="n"/>
      <c r="AD1484" s="11" t="n"/>
      <c r="AF1484">
        <f>IF($B1484="","",IF(COUNTIF($B$2:$B1484,$B1484)=1,1,0))</f>
        <v/>
      </c>
      <c r="AG1484">
        <f>IF($AF1484=1,SUMPRODUCT(--($AJ$2:$AJ$1501&lt;$AJ1484))+1,"")</f>
        <v/>
      </c>
      <c r="AH1484">
        <f>IF($B1484="","",IF(OR($M1484=TRUE(),$M1484="TRUE"),1,0))</f>
        <v/>
      </c>
      <c r="AI1484">
        <f>IF($B1484="","",IF($V1484="Yes",1,0))</f>
        <v/>
      </c>
      <c r="AJ1484">
        <f>IF($AF1484=1,IFERROR(IF(VALUE($B1484)&lt;100000000,VALUE($B1484),1000000000),IFERROR(IF(VALUE(MID($B1484,2,20))&lt;100000000,VALUE(MID($B1484,2,20)),1000000000),1000000000))+ROW()/100000,"")</f>
        <v/>
      </c>
    </row>
    <row r="1485">
      <c r="C1485" s="11" t="n"/>
      <c r="J1485" s="7">
        <f>IF($B1485="","",I1485*Q1485/100)</f>
        <v/>
      </c>
      <c r="P1485" s="7" t="n"/>
      <c r="Q1485" s="7" t="n"/>
      <c r="R1485" s="7">
        <f>IF($B1485="","",Q1485*W1485/100)</f>
        <v/>
      </c>
      <c r="S1485" s="7">
        <f>IF($B1485="","",Q1485-R1485)</f>
        <v/>
      </c>
      <c r="T1485" s="7">
        <f>IF($B1485="","",S1485-J1485)</f>
        <v/>
      </c>
      <c r="W1485">
        <f>IF($B1485="","",IF($AI1485=1,0,IF($AH1485=1,Settings!$C$6,Settings!$C$7))*100)</f>
        <v/>
      </c>
      <c r="AA1485" s="7" t="n"/>
      <c r="AD1485" s="11" t="n"/>
      <c r="AF1485">
        <f>IF($B1485="","",IF(COUNTIF($B$2:$B1485,$B1485)=1,1,0))</f>
        <v/>
      </c>
      <c r="AG1485">
        <f>IF($AF1485=1,SUMPRODUCT(--($AJ$2:$AJ$1501&lt;$AJ1485))+1,"")</f>
        <v/>
      </c>
      <c r="AH1485">
        <f>IF($B1485="","",IF(OR($M1485=TRUE(),$M1485="TRUE"),1,0))</f>
        <v/>
      </c>
      <c r="AI1485">
        <f>IF($B1485="","",IF($V1485="Yes",1,0))</f>
        <v/>
      </c>
      <c r="AJ1485">
        <f>IF($AF1485=1,IFERROR(IF(VALUE($B1485)&lt;100000000,VALUE($B1485),1000000000),IFERROR(IF(VALUE(MID($B1485,2,20))&lt;100000000,VALUE(MID($B1485,2,20)),1000000000),1000000000))+ROW()/100000,"")</f>
        <v/>
      </c>
    </row>
    <row r="1486">
      <c r="C1486" s="11" t="n"/>
      <c r="J1486" s="7">
        <f>IF($B1486="","",I1486*Q1486/100)</f>
        <v/>
      </c>
      <c r="P1486" s="7" t="n"/>
      <c r="Q1486" s="7" t="n"/>
      <c r="R1486" s="7">
        <f>IF($B1486="","",Q1486*W1486/100)</f>
        <v/>
      </c>
      <c r="S1486" s="7">
        <f>IF($B1486="","",Q1486-R1486)</f>
        <v/>
      </c>
      <c r="T1486" s="7">
        <f>IF($B1486="","",S1486-J1486)</f>
        <v/>
      </c>
      <c r="W1486">
        <f>IF($B1486="","",IF($AI1486=1,0,IF($AH1486=1,Settings!$C$6,Settings!$C$7))*100)</f>
        <v/>
      </c>
      <c r="AA1486" s="7" t="n"/>
      <c r="AD1486" s="11" t="n"/>
      <c r="AF1486">
        <f>IF($B1486="","",IF(COUNTIF($B$2:$B1486,$B1486)=1,1,0))</f>
        <v/>
      </c>
      <c r="AG1486">
        <f>IF($AF1486=1,SUMPRODUCT(--($AJ$2:$AJ$1501&lt;$AJ1486))+1,"")</f>
        <v/>
      </c>
      <c r="AH1486">
        <f>IF($B1486="","",IF(OR($M1486=TRUE(),$M1486="TRUE"),1,0))</f>
        <v/>
      </c>
      <c r="AI1486">
        <f>IF($B1486="","",IF($V1486="Yes",1,0))</f>
        <v/>
      </c>
      <c r="AJ1486">
        <f>IF($AF1486=1,IFERROR(IF(VALUE($B1486)&lt;100000000,VALUE($B1486),1000000000),IFERROR(IF(VALUE(MID($B1486,2,20))&lt;100000000,VALUE(MID($B1486,2,20)),1000000000),1000000000))+ROW()/100000,"")</f>
        <v/>
      </c>
    </row>
    <row r="1487">
      <c r="C1487" s="11" t="n"/>
      <c r="J1487" s="7">
        <f>IF($B1487="","",I1487*Q1487/100)</f>
        <v/>
      </c>
      <c r="P1487" s="7" t="n"/>
      <c r="Q1487" s="7" t="n"/>
      <c r="R1487" s="7">
        <f>IF($B1487="","",Q1487*W1487/100)</f>
        <v/>
      </c>
      <c r="S1487" s="7">
        <f>IF($B1487="","",Q1487-R1487)</f>
        <v/>
      </c>
      <c r="T1487" s="7">
        <f>IF($B1487="","",S1487-J1487)</f>
        <v/>
      </c>
      <c r="W1487">
        <f>IF($B1487="","",IF($AI1487=1,0,IF($AH1487=1,Settings!$C$6,Settings!$C$7))*100)</f>
        <v/>
      </c>
      <c r="AA1487" s="7" t="n"/>
      <c r="AD1487" s="11" t="n"/>
      <c r="AF1487">
        <f>IF($B1487="","",IF(COUNTIF($B$2:$B1487,$B1487)=1,1,0))</f>
        <v/>
      </c>
      <c r="AG1487">
        <f>IF($AF1487=1,SUMPRODUCT(--($AJ$2:$AJ$1501&lt;$AJ1487))+1,"")</f>
        <v/>
      </c>
      <c r="AH1487">
        <f>IF($B1487="","",IF(OR($M1487=TRUE(),$M1487="TRUE"),1,0))</f>
        <v/>
      </c>
      <c r="AI1487">
        <f>IF($B1487="","",IF($V1487="Yes",1,0))</f>
        <v/>
      </c>
      <c r="AJ1487">
        <f>IF($AF1487=1,IFERROR(IF(VALUE($B1487)&lt;100000000,VALUE($B1487),1000000000),IFERROR(IF(VALUE(MID($B1487,2,20))&lt;100000000,VALUE(MID($B1487,2,20)),1000000000),1000000000))+ROW()/100000,"")</f>
        <v/>
      </c>
    </row>
    <row r="1488">
      <c r="C1488" s="11" t="n"/>
      <c r="J1488" s="7">
        <f>IF($B1488="","",I1488*Q1488/100)</f>
        <v/>
      </c>
      <c r="P1488" s="7" t="n"/>
      <c r="Q1488" s="7" t="n"/>
      <c r="R1488" s="7">
        <f>IF($B1488="","",Q1488*W1488/100)</f>
        <v/>
      </c>
      <c r="S1488" s="7">
        <f>IF($B1488="","",Q1488-R1488)</f>
        <v/>
      </c>
      <c r="T1488" s="7">
        <f>IF($B1488="","",S1488-J1488)</f>
        <v/>
      </c>
      <c r="W1488">
        <f>IF($B1488="","",IF($AI1488=1,0,IF($AH1488=1,Settings!$C$6,Settings!$C$7))*100)</f>
        <v/>
      </c>
      <c r="AA1488" s="7" t="n"/>
      <c r="AD1488" s="11" t="n"/>
      <c r="AF1488">
        <f>IF($B1488="","",IF(COUNTIF($B$2:$B1488,$B1488)=1,1,0))</f>
        <v/>
      </c>
      <c r="AG1488">
        <f>IF($AF1488=1,SUMPRODUCT(--($AJ$2:$AJ$1501&lt;$AJ1488))+1,"")</f>
        <v/>
      </c>
      <c r="AH1488">
        <f>IF($B1488="","",IF(OR($M1488=TRUE(),$M1488="TRUE"),1,0))</f>
        <v/>
      </c>
      <c r="AI1488">
        <f>IF($B1488="","",IF($V1488="Yes",1,0))</f>
        <v/>
      </c>
      <c r="AJ1488">
        <f>IF($AF1488=1,IFERROR(IF(VALUE($B1488)&lt;100000000,VALUE($B1488),1000000000),IFERROR(IF(VALUE(MID($B1488,2,20))&lt;100000000,VALUE(MID($B1488,2,20)),1000000000),1000000000))+ROW()/100000,"")</f>
        <v/>
      </c>
    </row>
    <row r="1489">
      <c r="C1489" s="11" t="n"/>
      <c r="J1489" s="7">
        <f>IF($B1489="","",I1489*Q1489/100)</f>
        <v/>
      </c>
      <c r="P1489" s="7" t="n"/>
      <c r="Q1489" s="7" t="n"/>
      <c r="R1489" s="7">
        <f>IF($B1489="","",Q1489*W1489/100)</f>
        <v/>
      </c>
      <c r="S1489" s="7">
        <f>IF($B1489="","",Q1489-R1489)</f>
        <v/>
      </c>
      <c r="T1489" s="7">
        <f>IF($B1489="","",S1489-J1489)</f>
        <v/>
      </c>
      <c r="W1489">
        <f>IF($B1489="","",IF($AI1489=1,0,IF($AH1489=1,Settings!$C$6,Settings!$C$7))*100)</f>
        <v/>
      </c>
      <c r="AA1489" s="7" t="n"/>
      <c r="AD1489" s="11" t="n"/>
      <c r="AF1489">
        <f>IF($B1489="","",IF(COUNTIF($B$2:$B1489,$B1489)=1,1,0))</f>
        <v/>
      </c>
      <c r="AG1489">
        <f>IF($AF1489=1,SUMPRODUCT(--($AJ$2:$AJ$1501&lt;$AJ1489))+1,"")</f>
        <v/>
      </c>
      <c r="AH1489">
        <f>IF($B1489="","",IF(OR($M1489=TRUE(),$M1489="TRUE"),1,0))</f>
        <v/>
      </c>
      <c r="AI1489">
        <f>IF($B1489="","",IF($V1489="Yes",1,0))</f>
        <v/>
      </c>
      <c r="AJ1489">
        <f>IF($AF1489=1,IFERROR(IF(VALUE($B1489)&lt;100000000,VALUE($B1489),1000000000),IFERROR(IF(VALUE(MID($B1489,2,20))&lt;100000000,VALUE(MID($B1489,2,20)),1000000000),1000000000))+ROW()/100000,"")</f>
        <v/>
      </c>
    </row>
    <row r="1490">
      <c r="C1490" s="11" t="n"/>
      <c r="J1490" s="7">
        <f>IF($B1490="","",I1490*Q1490/100)</f>
        <v/>
      </c>
      <c r="P1490" s="7" t="n"/>
      <c r="Q1490" s="7" t="n"/>
      <c r="R1490" s="7">
        <f>IF($B1490="","",Q1490*W1490/100)</f>
        <v/>
      </c>
      <c r="S1490" s="7">
        <f>IF($B1490="","",Q1490-R1490)</f>
        <v/>
      </c>
      <c r="T1490" s="7">
        <f>IF($B1490="","",S1490-J1490)</f>
        <v/>
      </c>
      <c r="W1490">
        <f>IF($B1490="","",IF($AI1490=1,0,IF($AH1490=1,Settings!$C$6,Settings!$C$7))*100)</f>
        <v/>
      </c>
      <c r="AA1490" s="7" t="n"/>
      <c r="AD1490" s="11" t="n"/>
      <c r="AF1490">
        <f>IF($B1490="","",IF(COUNTIF($B$2:$B1490,$B1490)=1,1,0))</f>
        <v/>
      </c>
      <c r="AG1490">
        <f>IF($AF1490=1,SUMPRODUCT(--($AJ$2:$AJ$1501&lt;$AJ1490))+1,"")</f>
        <v/>
      </c>
      <c r="AH1490">
        <f>IF($B1490="","",IF(OR($M1490=TRUE(),$M1490="TRUE"),1,0))</f>
        <v/>
      </c>
      <c r="AI1490">
        <f>IF($B1490="","",IF($V1490="Yes",1,0))</f>
        <v/>
      </c>
      <c r="AJ1490">
        <f>IF($AF1490=1,IFERROR(IF(VALUE($B1490)&lt;100000000,VALUE($B1490),1000000000),IFERROR(IF(VALUE(MID($B1490,2,20))&lt;100000000,VALUE(MID($B1490,2,20)),1000000000),1000000000))+ROW()/100000,"")</f>
        <v/>
      </c>
    </row>
    <row r="1491">
      <c r="C1491" s="11" t="n"/>
      <c r="J1491" s="7">
        <f>IF($B1491="","",I1491*Q1491/100)</f>
        <v/>
      </c>
      <c r="P1491" s="7" t="n"/>
      <c r="Q1491" s="7" t="n"/>
      <c r="R1491" s="7">
        <f>IF($B1491="","",Q1491*W1491/100)</f>
        <v/>
      </c>
      <c r="S1491" s="7">
        <f>IF($B1491="","",Q1491-R1491)</f>
        <v/>
      </c>
      <c r="T1491" s="7">
        <f>IF($B1491="","",S1491-J1491)</f>
        <v/>
      </c>
      <c r="W1491">
        <f>IF($B1491="","",IF($AI1491=1,0,IF($AH1491=1,Settings!$C$6,Settings!$C$7))*100)</f>
        <v/>
      </c>
      <c r="AA1491" s="7" t="n"/>
      <c r="AD1491" s="11" t="n"/>
      <c r="AF1491">
        <f>IF($B1491="","",IF(COUNTIF($B$2:$B1491,$B1491)=1,1,0))</f>
        <v/>
      </c>
      <c r="AG1491">
        <f>IF($AF1491=1,SUMPRODUCT(--($AJ$2:$AJ$1501&lt;$AJ1491))+1,"")</f>
        <v/>
      </c>
      <c r="AH1491">
        <f>IF($B1491="","",IF(OR($M1491=TRUE(),$M1491="TRUE"),1,0))</f>
        <v/>
      </c>
      <c r="AI1491">
        <f>IF($B1491="","",IF($V1491="Yes",1,0))</f>
        <v/>
      </c>
      <c r="AJ1491">
        <f>IF($AF1491=1,IFERROR(IF(VALUE($B1491)&lt;100000000,VALUE($B1491),1000000000),IFERROR(IF(VALUE(MID($B1491,2,20))&lt;100000000,VALUE(MID($B1491,2,20)),1000000000),1000000000))+ROW()/100000,"")</f>
        <v/>
      </c>
    </row>
    <row r="1492">
      <c r="C1492" s="11" t="n"/>
      <c r="J1492" s="7">
        <f>IF($B1492="","",I1492*Q1492/100)</f>
        <v/>
      </c>
      <c r="P1492" s="7" t="n"/>
      <c r="Q1492" s="7" t="n"/>
      <c r="R1492" s="7">
        <f>IF($B1492="","",Q1492*W1492/100)</f>
        <v/>
      </c>
      <c r="S1492" s="7">
        <f>IF($B1492="","",Q1492-R1492)</f>
        <v/>
      </c>
      <c r="T1492" s="7">
        <f>IF($B1492="","",S1492-J1492)</f>
        <v/>
      </c>
      <c r="W1492">
        <f>IF($B1492="","",IF($AI1492=1,0,IF($AH1492=1,Settings!$C$6,Settings!$C$7))*100)</f>
        <v/>
      </c>
      <c r="AA1492" s="7" t="n"/>
      <c r="AD1492" s="11" t="n"/>
      <c r="AF1492">
        <f>IF($B1492="","",IF(COUNTIF($B$2:$B1492,$B1492)=1,1,0))</f>
        <v/>
      </c>
      <c r="AG1492">
        <f>IF($AF1492=1,SUMPRODUCT(--($AJ$2:$AJ$1501&lt;$AJ1492))+1,"")</f>
        <v/>
      </c>
      <c r="AH1492">
        <f>IF($B1492="","",IF(OR($M1492=TRUE(),$M1492="TRUE"),1,0))</f>
        <v/>
      </c>
      <c r="AI1492">
        <f>IF($B1492="","",IF($V1492="Yes",1,0))</f>
        <v/>
      </c>
      <c r="AJ1492">
        <f>IF($AF1492=1,IFERROR(IF(VALUE($B1492)&lt;100000000,VALUE($B1492),1000000000),IFERROR(IF(VALUE(MID($B1492,2,20))&lt;100000000,VALUE(MID($B1492,2,20)),1000000000),1000000000))+ROW()/100000,"")</f>
        <v/>
      </c>
    </row>
    <row r="1493">
      <c r="C1493" s="11" t="n"/>
      <c r="J1493" s="7">
        <f>IF($B1493="","",I1493*Q1493/100)</f>
        <v/>
      </c>
      <c r="P1493" s="7" t="n"/>
      <c r="Q1493" s="7" t="n"/>
      <c r="R1493" s="7">
        <f>IF($B1493="","",Q1493*W1493/100)</f>
        <v/>
      </c>
      <c r="S1493" s="7">
        <f>IF($B1493="","",Q1493-R1493)</f>
        <v/>
      </c>
      <c r="T1493" s="7">
        <f>IF($B1493="","",S1493-J1493)</f>
        <v/>
      </c>
      <c r="W1493">
        <f>IF($B1493="","",IF($AI1493=1,0,IF($AH1493=1,Settings!$C$6,Settings!$C$7))*100)</f>
        <v/>
      </c>
      <c r="AA1493" s="7" t="n"/>
      <c r="AD1493" s="11" t="n"/>
      <c r="AF1493">
        <f>IF($B1493="","",IF(COUNTIF($B$2:$B1493,$B1493)=1,1,0))</f>
        <v/>
      </c>
      <c r="AG1493">
        <f>IF($AF1493=1,SUMPRODUCT(--($AJ$2:$AJ$1501&lt;$AJ1493))+1,"")</f>
        <v/>
      </c>
      <c r="AH1493">
        <f>IF($B1493="","",IF(OR($M1493=TRUE(),$M1493="TRUE"),1,0))</f>
        <v/>
      </c>
      <c r="AI1493">
        <f>IF($B1493="","",IF($V1493="Yes",1,0))</f>
        <v/>
      </c>
      <c r="AJ1493">
        <f>IF($AF1493=1,IFERROR(IF(VALUE($B1493)&lt;100000000,VALUE($B1493),1000000000),IFERROR(IF(VALUE(MID($B1493,2,20))&lt;100000000,VALUE(MID($B1493,2,20)),1000000000),1000000000))+ROW()/100000,"")</f>
        <v/>
      </c>
    </row>
    <row r="1494">
      <c r="C1494" s="11" t="n"/>
      <c r="J1494" s="7">
        <f>IF($B1494="","",I1494*Q1494/100)</f>
        <v/>
      </c>
      <c r="P1494" s="7" t="n"/>
      <c r="Q1494" s="7" t="n"/>
      <c r="R1494" s="7">
        <f>IF($B1494="","",Q1494*W1494/100)</f>
        <v/>
      </c>
      <c r="S1494" s="7">
        <f>IF($B1494="","",Q1494-R1494)</f>
        <v/>
      </c>
      <c r="T1494" s="7">
        <f>IF($B1494="","",S1494-J1494)</f>
        <v/>
      </c>
      <c r="W1494">
        <f>IF($B1494="","",IF($AI1494=1,0,IF($AH1494=1,Settings!$C$6,Settings!$C$7))*100)</f>
        <v/>
      </c>
      <c r="AA1494" s="7" t="n"/>
      <c r="AD1494" s="11" t="n"/>
      <c r="AF1494">
        <f>IF($B1494="","",IF(COUNTIF($B$2:$B1494,$B1494)=1,1,0))</f>
        <v/>
      </c>
      <c r="AG1494">
        <f>IF($AF1494=1,SUMPRODUCT(--($AJ$2:$AJ$1501&lt;$AJ1494))+1,"")</f>
        <v/>
      </c>
      <c r="AH1494">
        <f>IF($B1494="","",IF(OR($M1494=TRUE(),$M1494="TRUE"),1,0))</f>
        <v/>
      </c>
      <c r="AI1494">
        <f>IF($B1494="","",IF($V1494="Yes",1,0))</f>
        <v/>
      </c>
      <c r="AJ1494">
        <f>IF($AF1494=1,IFERROR(IF(VALUE($B1494)&lt;100000000,VALUE($B1494),1000000000),IFERROR(IF(VALUE(MID($B1494,2,20))&lt;100000000,VALUE(MID($B1494,2,20)),1000000000),1000000000))+ROW()/100000,"")</f>
        <v/>
      </c>
    </row>
    <row r="1495">
      <c r="C1495" s="11" t="n"/>
      <c r="J1495" s="7">
        <f>IF($B1495="","",I1495*Q1495/100)</f>
        <v/>
      </c>
      <c r="P1495" s="7" t="n"/>
      <c r="Q1495" s="7" t="n"/>
      <c r="R1495" s="7">
        <f>IF($B1495="","",Q1495*W1495/100)</f>
        <v/>
      </c>
      <c r="S1495" s="7">
        <f>IF($B1495="","",Q1495-R1495)</f>
        <v/>
      </c>
      <c r="T1495" s="7">
        <f>IF($B1495="","",S1495-J1495)</f>
        <v/>
      </c>
      <c r="W1495">
        <f>IF($B1495="","",IF($AI1495=1,0,IF($AH1495=1,Settings!$C$6,Settings!$C$7))*100)</f>
        <v/>
      </c>
      <c r="AA1495" s="7" t="n"/>
      <c r="AD1495" s="11" t="n"/>
      <c r="AF1495">
        <f>IF($B1495="","",IF(COUNTIF($B$2:$B1495,$B1495)=1,1,0))</f>
        <v/>
      </c>
      <c r="AG1495">
        <f>IF($AF1495=1,SUMPRODUCT(--($AJ$2:$AJ$1501&lt;$AJ1495))+1,"")</f>
        <v/>
      </c>
      <c r="AH1495">
        <f>IF($B1495="","",IF(OR($M1495=TRUE(),$M1495="TRUE"),1,0))</f>
        <v/>
      </c>
      <c r="AI1495">
        <f>IF($B1495="","",IF($V1495="Yes",1,0))</f>
        <v/>
      </c>
      <c r="AJ1495">
        <f>IF($AF1495=1,IFERROR(IF(VALUE($B1495)&lt;100000000,VALUE($B1495),1000000000),IFERROR(IF(VALUE(MID($B1495,2,20))&lt;100000000,VALUE(MID($B1495,2,20)),1000000000),1000000000))+ROW()/100000,"")</f>
        <v/>
      </c>
    </row>
    <row r="1496">
      <c r="C1496" s="11" t="n"/>
      <c r="J1496" s="7">
        <f>IF($B1496="","",I1496*Q1496/100)</f>
        <v/>
      </c>
      <c r="P1496" s="7" t="n"/>
      <c r="Q1496" s="7" t="n"/>
      <c r="R1496" s="7">
        <f>IF($B1496="","",Q1496*W1496/100)</f>
        <v/>
      </c>
      <c r="S1496" s="7">
        <f>IF($B1496="","",Q1496-R1496)</f>
        <v/>
      </c>
      <c r="T1496" s="7">
        <f>IF($B1496="","",S1496-J1496)</f>
        <v/>
      </c>
      <c r="W1496">
        <f>IF($B1496="","",IF($AI1496=1,0,IF($AH1496=1,Settings!$C$6,Settings!$C$7))*100)</f>
        <v/>
      </c>
      <c r="AA1496" s="7" t="n"/>
      <c r="AD1496" s="11" t="n"/>
      <c r="AF1496">
        <f>IF($B1496="","",IF(COUNTIF($B$2:$B1496,$B1496)=1,1,0))</f>
        <v/>
      </c>
      <c r="AG1496">
        <f>IF($AF1496=1,SUMPRODUCT(--($AJ$2:$AJ$1501&lt;$AJ1496))+1,"")</f>
        <v/>
      </c>
      <c r="AH1496">
        <f>IF($B1496="","",IF(OR($M1496=TRUE(),$M1496="TRUE"),1,0))</f>
        <v/>
      </c>
      <c r="AI1496">
        <f>IF($B1496="","",IF($V1496="Yes",1,0))</f>
        <v/>
      </c>
      <c r="AJ1496">
        <f>IF($AF1496=1,IFERROR(IF(VALUE($B1496)&lt;100000000,VALUE($B1496),1000000000),IFERROR(IF(VALUE(MID($B1496,2,20))&lt;100000000,VALUE(MID($B1496,2,20)),1000000000),1000000000))+ROW()/100000,"")</f>
        <v/>
      </c>
    </row>
    <row r="1497">
      <c r="C1497" s="11" t="n"/>
      <c r="J1497" s="7">
        <f>IF($B1497="","",I1497*Q1497/100)</f>
        <v/>
      </c>
      <c r="P1497" s="7" t="n"/>
      <c r="Q1497" s="7" t="n"/>
      <c r="R1497" s="7">
        <f>IF($B1497="","",Q1497*W1497/100)</f>
        <v/>
      </c>
      <c r="S1497" s="7">
        <f>IF($B1497="","",Q1497-R1497)</f>
        <v/>
      </c>
      <c r="T1497" s="7">
        <f>IF($B1497="","",S1497-J1497)</f>
        <v/>
      </c>
      <c r="W1497">
        <f>IF($B1497="","",IF($AI1497=1,0,IF($AH1497=1,Settings!$C$6,Settings!$C$7))*100)</f>
        <v/>
      </c>
      <c r="AA1497" s="7" t="n"/>
      <c r="AD1497" s="11" t="n"/>
      <c r="AF1497">
        <f>IF($B1497="","",IF(COUNTIF($B$2:$B1497,$B1497)=1,1,0))</f>
        <v/>
      </c>
      <c r="AG1497">
        <f>IF($AF1497=1,SUMPRODUCT(--($AJ$2:$AJ$1501&lt;$AJ1497))+1,"")</f>
        <v/>
      </c>
      <c r="AH1497">
        <f>IF($B1497="","",IF(OR($M1497=TRUE(),$M1497="TRUE"),1,0))</f>
        <v/>
      </c>
      <c r="AI1497">
        <f>IF($B1497="","",IF($V1497="Yes",1,0))</f>
        <v/>
      </c>
      <c r="AJ1497">
        <f>IF($AF1497=1,IFERROR(IF(VALUE($B1497)&lt;100000000,VALUE($B1497),1000000000),IFERROR(IF(VALUE(MID($B1497,2,20))&lt;100000000,VALUE(MID($B1497,2,20)),1000000000),1000000000))+ROW()/100000,"")</f>
        <v/>
      </c>
    </row>
    <row r="1498">
      <c r="C1498" s="11" t="n"/>
      <c r="J1498" s="7">
        <f>IF($B1498="","",I1498*Q1498/100)</f>
        <v/>
      </c>
      <c r="P1498" s="7" t="n"/>
      <c r="Q1498" s="7" t="n"/>
      <c r="R1498" s="7">
        <f>IF($B1498="","",Q1498*W1498/100)</f>
        <v/>
      </c>
      <c r="S1498" s="7">
        <f>IF($B1498="","",Q1498-R1498)</f>
        <v/>
      </c>
      <c r="T1498" s="7">
        <f>IF($B1498="","",S1498-J1498)</f>
        <v/>
      </c>
      <c r="W1498">
        <f>IF($B1498="","",IF($AI1498=1,0,IF($AH1498=1,Settings!$C$6,Settings!$C$7))*100)</f>
        <v/>
      </c>
      <c r="AA1498" s="7" t="n"/>
      <c r="AD1498" s="11" t="n"/>
      <c r="AF1498">
        <f>IF($B1498="","",IF(COUNTIF($B$2:$B1498,$B1498)=1,1,0))</f>
        <v/>
      </c>
      <c r="AG1498">
        <f>IF($AF1498=1,SUMPRODUCT(--($AJ$2:$AJ$1501&lt;$AJ1498))+1,"")</f>
        <v/>
      </c>
      <c r="AH1498">
        <f>IF($B1498="","",IF(OR($M1498=TRUE(),$M1498="TRUE"),1,0))</f>
        <v/>
      </c>
      <c r="AI1498">
        <f>IF($B1498="","",IF($V1498="Yes",1,0))</f>
        <v/>
      </c>
      <c r="AJ1498">
        <f>IF($AF1498=1,IFERROR(IF(VALUE($B1498)&lt;100000000,VALUE($B1498),1000000000),IFERROR(IF(VALUE(MID($B1498,2,20))&lt;100000000,VALUE(MID($B1498,2,20)),1000000000),1000000000))+ROW()/100000,"")</f>
        <v/>
      </c>
    </row>
    <row r="1499">
      <c r="C1499" s="11" t="n"/>
      <c r="J1499" s="7">
        <f>IF($B1499="","",I1499*Q1499/100)</f>
        <v/>
      </c>
      <c r="P1499" s="7" t="n"/>
      <c r="Q1499" s="7" t="n"/>
      <c r="R1499" s="7">
        <f>IF($B1499="","",Q1499*W1499/100)</f>
        <v/>
      </c>
      <c r="S1499" s="7">
        <f>IF($B1499="","",Q1499-R1499)</f>
        <v/>
      </c>
      <c r="T1499" s="7">
        <f>IF($B1499="","",S1499-J1499)</f>
        <v/>
      </c>
      <c r="W1499">
        <f>IF($B1499="","",IF($AI1499=1,0,IF($AH1499=1,Settings!$C$6,Settings!$C$7))*100)</f>
        <v/>
      </c>
      <c r="AA1499" s="7" t="n"/>
      <c r="AD1499" s="11" t="n"/>
      <c r="AF1499">
        <f>IF($B1499="","",IF(COUNTIF($B$2:$B1499,$B1499)=1,1,0))</f>
        <v/>
      </c>
      <c r="AG1499">
        <f>IF($AF1499=1,SUMPRODUCT(--($AJ$2:$AJ$1501&lt;$AJ1499))+1,"")</f>
        <v/>
      </c>
      <c r="AH1499">
        <f>IF($B1499="","",IF(OR($M1499=TRUE(),$M1499="TRUE"),1,0))</f>
        <v/>
      </c>
      <c r="AI1499">
        <f>IF($B1499="","",IF($V1499="Yes",1,0))</f>
        <v/>
      </c>
      <c r="AJ1499">
        <f>IF($AF1499=1,IFERROR(IF(VALUE($B1499)&lt;100000000,VALUE($B1499),1000000000),IFERROR(IF(VALUE(MID($B1499,2,20))&lt;100000000,VALUE(MID($B1499,2,20)),1000000000),1000000000))+ROW()/100000,"")</f>
        <v/>
      </c>
    </row>
    <row r="1500">
      <c r="C1500" s="11" t="n"/>
      <c r="J1500" s="7">
        <f>IF($B1500="","",I1500*Q1500/100)</f>
        <v/>
      </c>
      <c r="P1500" s="7" t="n"/>
      <c r="Q1500" s="7" t="n"/>
      <c r="R1500" s="7">
        <f>IF($B1500="","",Q1500*W1500/100)</f>
        <v/>
      </c>
      <c r="S1500" s="7">
        <f>IF($B1500="","",Q1500-R1500)</f>
        <v/>
      </c>
      <c r="T1500" s="7">
        <f>IF($B1500="","",S1500-J1500)</f>
        <v/>
      </c>
      <c r="W1500">
        <f>IF($B1500="","",IF($AI1500=1,0,IF($AH1500=1,Settings!$C$6,Settings!$C$7))*100)</f>
        <v/>
      </c>
      <c r="AA1500" s="7" t="n"/>
      <c r="AD1500" s="11" t="n"/>
      <c r="AF1500">
        <f>IF($B1500="","",IF(COUNTIF($B$2:$B1500,$B1500)=1,1,0))</f>
        <v/>
      </c>
      <c r="AG1500">
        <f>IF($AF1500=1,SUMPRODUCT(--($AJ$2:$AJ$1501&lt;$AJ1500))+1,"")</f>
        <v/>
      </c>
      <c r="AH1500">
        <f>IF($B1500="","",IF(OR($M1500=TRUE(),$M1500="TRUE"),1,0))</f>
        <v/>
      </c>
      <c r="AI1500">
        <f>IF($B1500="","",IF($V1500="Yes",1,0))</f>
        <v/>
      </c>
      <c r="AJ1500">
        <f>IF($AF1500=1,IFERROR(IF(VALUE($B1500)&lt;100000000,VALUE($B1500),1000000000),IFERROR(IF(VALUE(MID($B1500,2,20))&lt;100000000,VALUE(MID($B1500,2,20)),1000000000),1000000000))+ROW()/100000,"")</f>
        <v/>
      </c>
    </row>
    <row r="1501">
      <c r="C1501" s="11" t="n"/>
      <c r="J1501" s="7">
        <f>IF($B1501="","",I1501*Q1501/100)</f>
        <v/>
      </c>
      <c r="P1501" s="7" t="n"/>
      <c r="Q1501" s="7" t="n"/>
      <c r="R1501" s="7">
        <f>IF($B1501="","",Q1501*W1501/100)</f>
        <v/>
      </c>
      <c r="S1501" s="7">
        <f>IF($B1501="","",Q1501-R1501)</f>
        <v/>
      </c>
      <c r="T1501" s="7">
        <f>IF($B1501="","",S1501-J1501)</f>
        <v/>
      </c>
      <c r="W1501">
        <f>IF($B1501="","",IF($AI1501=1,0,IF($AH1501=1,Settings!$C$6,Settings!$C$7))*100)</f>
        <v/>
      </c>
      <c r="AA1501" s="7" t="n"/>
      <c r="AD1501" s="11" t="n"/>
      <c r="AF1501">
        <f>IF($B1501="","",IF(COUNTIF($B$2:$B1501,$B1501)=1,1,0))</f>
        <v/>
      </c>
      <c r="AG1501">
        <f>IF($AF1501=1,SUMPRODUCT(--($AJ$2:$AJ$1501&lt;$AJ1501))+1,"")</f>
        <v/>
      </c>
      <c r="AH1501">
        <f>IF($B1501="","",IF(OR($M1501=TRUE(),$M1501="TRUE"),1,0))</f>
        <v/>
      </c>
      <c r="AI1501">
        <f>IF($B1501="","",IF($V1501="Yes",1,0))</f>
        <v/>
      </c>
      <c r="AJ1501">
        <f>IF($AF1501=1,IFERROR(IF(VALUE($B1501)&lt;100000000,VALUE($B1501),1000000000),IFERROR(IF(VALUE(MID($B1501,2,20))&lt;100000000,VALUE(MID($B1501,2,20)),1000000000),1000000000))+ROW()/100000,"")</f>
        <v/>
      </c>
    </row>
  </sheetData>
  <autoFilter ref="A1:AJ1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7" customWidth="1" min="4" max="4"/>
    <col width="18" customWidth="1" min="5" max="5"/>
    <col width="24" customWidth="1" min="6" max="6"/>
    <col width="12" customWidth="1" min="7" max="7"/>
    <col width="26" customWidth="1" min="8" max="8"/>
    <col width="12" customWidth="1" min="9" max="9"/>
    <col width="12" customWidth="1" min="10" max="10"/>
    <col width="36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3" customWidth="1" min="23" max="23"/>
  </cols>
  <sheetData>
    <row r="1" ht="32" customHeight="1">
      <c r="A1" s="8" t="inlineStr">
        <is>
          <t>Invoice</t>
        </is>
      </c>
      <c r="B1" s="9" t="inlineStr">
        <is>
          <t>Order #</t>
        </is>
      </c>
      <c r="C1" s="9" t="inlineStr">
        <is>
          <t>Ticket #</t>
        </is>
      </c>
      <c r="D1" s="9" t="inlineStr">
        <is>
          <t>Create At</t>
        </is>
      </c>
      <c r="E1" s="9" t="inlineStr">
        <is>
          <t>Insurance Company</t>
        </is>
      </c>
      <c r="F1" s="9" t="inlineStr">
        <is>
          <t>Corporate</t>
        </is>
      </c>
      <c r="G1" s="9" t="inlineStr">
        <is>
          <t>Card</t>
        </is>
      </c>
      <c r="H1" s="9" t="inlineStr">
        <is>
          <t>Name</t>
        </is>
      </c>
      <c r="I1" s="9" t="inlineStr">
        <is>
          <t>Order Co Payment</t>
        </is>
      </c>
      <c r="J1" s="9" t="inlineStr">
        <is>
          <t>Co val</t>
        </is>
      </c>
      <c r="K1" s="9" t="inlineStr">
        <is>
          <t>ERX ID</t>
        </is>
      </c>
      <c r="L1" s="9" t="inlineStr">
        <is>
          <t>SP</t>
        </is>
      </c>
      <c r="M1" s="9" t="inlineStr">
        <is>
          <t>IMP%</t>
        </is>
      </c>
      <c r="N1" s="9" t="inlineStr">
        <is>
          <t>IMP</t>
        </is>
      </c>
      <c r="O1" s="9" t="inlineStr">
        <is>
          <t>IM VAL</t>
        </is>
      </c>
      <c r="P1" s="9" t="inlineStr">
        <is>
          <t>LOCAL%</t>
        </is>
      </c>
      <c r="Q1" s="9" t="inlineStr">
        <is>
          <t>LOCAL</t>
        </is>
      </c>
      <c r="R1" s="9" t="inlineStr">
        <is>
          <t>LOCAL VAL</t>
        </is>
      </c>
      <c r="S1" s="9" t="inlineStr">
        <is>
          <t>TOTAL VAL</t>
        </is>
      </c>
      <c r="T1" s="9" t="inlineStr">
        <is>
          <t>SUBTOTAL</t>
        </is>
      </c>
      <c r="U1" s="9" t="inlineStr">
        <is>
          <t>Grand Total</t>
        </is>
      </c>
      <c r="V1" s="9" t="inlineStr">
        <is>
          <t>NET</t>
        </is>
      </c>
      <c r="W1" s="10" t="inlineStr">
        <is>
          <t>Src Row (helper)</t>
        </is>
      </c>
    </row>
    <row r="2">
      <c r="A2" s="12" t="n"/>
      <c r="B2">
        <f>IF($W2="","",INDEX('Per Line'!$B$2:$B$1501,$W2)&amp;"")</f>
        <v/>
      </c>
      <c r="C2">
        <f>IF($W2="","",INDEX('Per Line'!$A$2:$A$1501,$W2))</f>
        <v/>
      </c>
      <c r="D2" s="11">
        <f>IF($W2="","",INDEX('Per Line'!$C$2:$C$1501,$W2))</f>
        <v/>
      </c>
      <c r="E2">
        <f>IF($W2="","",INDEX('Per Line'!$D$2:$D$1501,$W2)&amp;"")</f>
        <v/>
      </c>
      <c r="F2">
        <f>IF($W2="","",INDEX('Per Line'!$F$2:$F$1501,$W2)&amp;"")</f>
        <v/>
      </c>
      <c r="G2">
        <f>IF($W2="","",INDEX('Per Line'!$G$2:$G$1501,$W2)&amp;"")</f>
        <v/>
      </c>
      <c r="H2">
        <f>IF($W2="","",INDEX('Per Line'!$H$2:$H$1501,$W2)&amp;"")</f>
        <v/>
      </c>
      <c r="I2">
        <f>IF($W2="","",INDEX('Per Line'!$I$2:$I$1501,$W2))</f>
        <v/>
      </c>
      <c r="J2" s="7">
        <f>IF($W2="","",I2*U2/100)</f>
        <v/>
      </c>
      <c r="K2">
        <f>IF($W2="","",INDEX('Per Line'!$U$2:$U$1501,$W2)&amp;"")</f>
        <v/>
      </c>
      <c r="L2" s="7">
        <f>IF($W2="","",SUMIFS('Per Line'!$Q$2:$Q$1501,'Per Line'!$B$2:$B$1501,$B2,'Per Line'!$AI$2:$AI$1501,1))</f>
        <v/>
      </c>
      <c r="M2">
        <f>IF($W2="","",Settings!$C$7)</f>
        <v/>
      </c>
      <c r="N2" s="7">
        <f>IF($W2="","",SUMIFS('Per Line'!$Q$2:$Q$1501,'Per Line'!$B$2:$B$1501,$B2,'Per Line'!$AH$2:$AH$1501,0,'Per Line'!$AI$2:$AI$1501,0))</f>
        <v/>
      </c>
      <c r="O2" s="7">
        <f>IF($W2="","",N2*M2)</f>
        <v/>
      </c>
      <c r="P2">
        <f>IF($W2="","",Settings!$C$6)</f>
        <v/>
      </c>
      <c r="Q2" s="7">
        <f>IF($W2="","",SUMIFS('Per Line'!$Q$2:$Q$1501,'Per Line'!$B$2:$B$1501,$B2,'Per Line'!$AH$2:$AH$1501,1,'Per Line'!$AI$2:$AI$1501,0))</f>
        <v/>
      </c>
      <c r="R2" s="7">
        <f>IF($W2="","",Q2*P2)</f>
        <v/>
      </c>
      <c r="S2" s="7">
        <f>IF($W2="","",R2+O2)</f>
        <v/>
      </c>
      <c r="T2" s="7">
        <f>IF($W2="","",U2-S2)</f>
        <v/>
      </c>
      <c r="U2" s="7">
        <f>IF($W2="","",N2+Q2+L2)</f>
        <v/>
      </c>
      <c r="V2" s="7">
        <f>IF($W2="","",U2-S2-J2)</f>
        <v/>
      </c>
      <c r="W2" s="13">
        <f>IF(ROWS($W$2:$W2)&lt;=MAX('Per Line'!$AG$2:$AG$1501),MATCH(ROWS($W$2:$W2),'Per Line'!$AG$2:$AG$1501,0),"")</f>
        <v/>
      </c>
    </row>
    <row r="3">
      <c r="A3" s="12" t="n"/>
      <c r="B3">
        <f>IF($W3="","",INDEX('Per Line'!$B$2:$B$1501,$W3)&amp;"")</f>
        <v/>
      </c>
      <c r="C3">
        <f>IF($W3="","",INDEX('Per Line'!$A$2:$A$1501,$W3))</f>
        <v/>
      </c>
      <c r="D3" s="11">
        <f>IF($W3="","",INDEX('Per Line'!$C$2:$C$1501,$W3))</f>
        <v/>
      </c>
      <c r="E3">
        <f>IF($W3="","",INDEX('Per Line'!$D$2:$D$1501,$W3)&amp;"")</f>
        <v/>
      </c>
      <c r="F3">
        <f>IF($W3="","",INDEX('Per Line'!$F$2:$F$1501,$W3)&amp;"")</f>
        <v/>
      </c>
      <c r="G3">
        <f>IF($W3="","",INDEX('Per Line'!$G$2:$G$1501,$W3)&amp;"")</f>
        <v/>
      </c>
      <c r="H3">
        <f>IF($W3="","",INDEX('Per Line'!$H$2:$H$1501,$W3)&amp;"")</f>
        <v/>
      </c>
      <c r="I3">
        <f>IF($W3="","",INDEX('Per Line'!$I$2:$I$1501,$W3))</f>
        <v/>
      </c>
      <c r="J3" s="7">
        <f>IF($W3="","",I3*U3/100)</f>
        <v/>
      </c>
      <c r="K3">
        <f>IF($W3="","",INDEX('Per Line'!$U$2:$U$1501,$W3)&amp;"")</f>
        <v/>
      </c>
      <c r="L3" s="7">
        <f>IF($W3="","",SUMIFS('Per Line'!$Q$2:$Q$1501,'Per Line'!$B$2:$B$1501,$B3,'Per Line'!$AI$2:$AI$1501,1))</f>
        <v/>
      </c>
      <c r="M3">
        <f>IF($W3="","",Settings!$C$7)</f>
        <v/>
      </c>
      <c r="N3" s="7">
        <f>IF($W3="","",SUMIFS('Per Line'!$Q$2:$Q$1501,'Per Line'!$B$2:$B$1501,$B3,'Per Line'!$AH$2:$AH$1501,0,'Per Line'!$AI$2:$AI$1501,0))</f>
        <v/>
      </c>
      <c r="O3" s="7">
        <f>IF($W3="","",N3*M3)</f>
        <v/>
      </c>
      <c r="P3">
        <f>IF($W3="","",Settings!$C$6)</f>
        <v/>
      </c>
      <c r="Q3" s="7">
        <f>IF($W3="","",SUMIFS('Per Line'!$Q$2:$Q$1501,'Per Line'!$B$2:$B$1501,$B3,'Per Line'!$AH$2:$AH$1501,1,'Per Line'!$AI$2:$AI$1501,0))</f>
        <v/>
      </c>
      <c r="R3" s="7">
        <f>IF($W3="","",Q3*P3)</f>
        <v/>
      </c>
      <c r="S3" s="7">
        <f>IF($W3="","",R3+O3)</f>
        <v/>
      </c>
      <c r="T3" s="7">
        <f>IF($W3="","",U3-S3)</f>
        <v/>
      </c>
      <c r="U3" s="7">
        <f>IF($W3="","",N3+Q3+L3)</f>
        <v/>
      </c>
      <c r="V3" s="7">
        <f>IF($W3="","",U3-S3-J3)</f>
        <v/>
      </c>
      <c r="W3" s="13">
        <f>IF(ROWS($W$2:$W3)&lt;=MAX('Per Line'!$AG$2:$AG$1501),MATCH(ROWS($W$2:$W3),'Per Line'!$AG$2:$AG$1501,0),"")</f>
        <v/>
      </c>
    </row>
    <row r="4">
      <c r="A4" s="12" t="n"/>
      <c r="B4">
        <f>IF($W4="","",INDEX('Per Line'!$B$2:$B$1501,$W4)&amp;"")</f>
        <v/>
      </c>
      <c r="C4">
        <f>IF($W4="","",INDEX('Per Line'!$A$2:$A$1501,$W4))</f>
        <v/>
      </c>
      <c r="D4" s="11">
        <f>IF($W4="","",INDEX('Per Line'!$C$2:$C$1501,$W4))</f>
        <v/>
      </c>
      <c r="E4">
        <f>IF($W4="","",INDEX('Per Line'!$D$2:$D$1501,$W4)&amp;"")</f>
        <v/>
      </c>
      <c r="F4">
        <f>IF($W4="","",INDEX('Per Line'!$F$2:$F$1501,$W4)&amp;"")</f>
        <v/>
      </c>
      <c r="G4">
        <f>IF($W4="","",INDEX('Per Line'!$G$2:$G$1501,$W4)&amp;"")</f>
        <v/>
      </c>
      <c r="H4">
        <f>IF($W4="","",INDEX('Per Line'!$H$2:$H$1501,$W4)&amp;"")</f>
        <v/>
      </c>
      <c r="I4">
        <f>IF($W4="","",INDEX('Per Line'!$I$2:$I$1501,$W4))</f>
        <v/>
      </c>
      <c r="J4" s="7">
        <f>IF($W4="","",I4*U4/100)</f>
        <v/>
      </c>
      <c r="K4">
        <f>IF($W4="","",INDEX('Per Line'!$U$2:$U$1501,$W4)&amp;"")</f>
        <v/>
      </c>
      <c r="L4" s="7">
        <f>IF($W4="","",SUMIFS('Per Line'!$Q$2:$Q$1501,'Per Line'!$B$2:$B$1501,$B4,'Per Line'!$AI$2:$AI$1501,1))</f>
        <v/>
      </c>
      <c r="M4">
        <f>IF($W4="","",Settings!$C$7)</f>
        <v/>
      </c>
      <c r="N4" s="7">
        <f>IF($W4="","",SUMIFS('Per Line'!$Q$2:$Q$1501,'Per Line'!$B$2:$B$1501,$B4,'Per Line'!$AH$2:$AH$1501,0,'Per Line'!$AI$2:$AI$1501,0))</f>
        <v/>
      </c>
      <c r="O4" s="7">
        <f>IF($W4="","",N4*M4)</f>
        <v/>
      </c>
      <c r="P4">
        <f>IF($W4="","",Settings!$C$6)</f>
        <v/>
      </c>
      <c r="Q4" s="7">
        <f>IF($W4="","",SUMIFS('Per Line'!$Q$2:$Q$1501,'Per Line'!$B$2:$B$1501,$B4,'Per Line'!$AH$2:$AH$1501,1,'Per Line'!$AI$2:$AI$1501,0))</f>
        <v/>
      </c>
      <c r="R4" s="7">
        <f>IF($W4="","",Q4*P4)</f>
        <v/>
      </c>
      <c r="S4" s="7">
        <f>IF($W4="","",R4+O4)</f>
        <v/>
      </c>
      <c r="T4" s="7">
        <f>IF($W4="","",U4-S4)</f>
        <v/>
      </c>
      <c r="U4" s="7">
        <f>IF($W4="","",N4+Q4+L4)</f>
        <v/>
      </c>
      <c r="V4" s="7">
        <f>IF($W4="","",U4-S4-J4)</f>
        <v/>
      </c>
      <c r="W4" s="13">
        <f>IF(ROWS($W$2:$W4)&lt;=MAX('Per Line'!$AG$2:$AG$1501),MATCH(ROWS($W$2:$W4),'Per Line'!$AG$2:$AG$1501,0),"")</f>
        <v/>
      </c>
    </row>
    <row r="5">
      <c r="A5" s="12" t="n"/>
      <c r="B5">
        <f>IF($W5="","",INDEX('Per Line'!$B$2:$B$1501,$W5)&amp;"")</f>
        <v/>
      </c>
      <c r="C5">
        <f>IF($W5="","",INDEX('Per Line'!$A$2:$A$1501,$W5))</f>
        <v/>
      </c>
      <c r="D5" s="11">
        <f>IF($W5="","",INDEX('Per Line'!$C$2:$C$1501,$W5))</f>
        <v/>
      </c>
      <c r="E5">
        <f>IF($W5="","",INDEX('Per Line'!$D$2:$D$1501,$W5)&amp;"")</f>
        <v/>
      </c>
      <c r="F5">
        <f>IF($W5="","",INDEX('Per Line'!$F$2:$F$1501,$W5)&amp;"")</f>
        <v/>
      </c>
      <c r="G5">
        <f>IF($W5="","",INDEX('Per Line'!$G$2:$G$1501,$W5)&amp;"")</f>
        <v/>
      </c>
      <c r="H5">
        <f>IF($W5="","",INDEX('Per Line'!$H$2:$H$1501,$W5)&amp;"")</f>
        <v/>
      </c>
      <c r="I5">
        <f>IF($W5="","",INDEX('Per Line'!$I$2:$I$1501,$W5))</f>
        <v/>
      </c>
      <c r="J5" s="7">
        <f>IF($W5="","",I5*U5/100)</f>
        <v/>
      </c>
      <c r="K5">
        <f>IF($W5="","",INDEX('Per Line'!$U$2:$U$1501,$W5)&amp;"")</f>
        <v/>
      </c>
      <c r="L5" s="7">
        <f>IF($W5="","",SUMIFS('Per Line'!$Q$2:$Q$1501,'Per Line'!$B$2:$B$1501,$B5,'Per Line'!$AI$2:$AI$1501,1))</f>
        <v/>
      </c>
      <c r="M5">
        <f>IF($W5="","",Settings!$C$7)</f>
        <v/>
      </c>
      <c r="N5" s="7">
        <f>IF($W5="","",SUMIFS('Per Line'!$Q$2:$Q$1501,'Per Line'!$B$2:$B$1501,$B5,'Per Line'!$AH$2:$AH$1501,0,'Per Line'!$AI$2:$AI$1501,0))</f>
        <v/>
      </c>
      <c r="O5" s="7">
        <f>IF($W5="","",N5*M5)</f>
        <v/>
      </c>
      <c r="P5">
        <f>IF($W5="","",Settings!$C$6)</f>
        <v/>
      </c>
      <c r="Q5" s="7">
        <f>IF($W5="","",SUMIFS('Per Line'!$Q$2:$Q$1501,'Per Line'!$B$2:$B$1501,$B5,'Per Line'!$AH$2:$AH$1501,1,'Per Line'!$AI$2:$AI$1501,0))</f>
        <v/>
      </c>
      <c r="R5" s="7">
        <f>IF($W5="","",Q5*P5)</f>
        <v/>
      </c>
      <c r="S5" s="7">
        <f>IF($W5="","",R5+O5)</f>
        <v/>
      </c>
      <c r="T5" s="7">
        <f>IF($W5="","",U5-S5)</f>
        <v/>
      </c>
      <c r="U5" s="7">
        <f>IF($W5="","",N5+Q5+L5)</f>
        <v/>
      </c>
      <c r="V5" s="7">
        <f>IF($W5="","",U5-S5-J5)</f>
        <v/>
      </c>
      <c r="W5" s="13">
        <f>IF(ROWS($W$2:$W5)&lt;=MAX('Per Line'!$AG$2:$AG$1501),MATCH(ROWS($W$2:$W5),'Per Line'!$AG$2:$AG$1501,0),"")</f>
        <v/>
      </c>
    </row>
    <row r="6">
      <c r="A6" s="12" t="n"/>
      <c r="B6">
        <f>IF($W6="","",INDEX('Per Line'!$B$2:$B$1501,$W6)&amp;"")</f>
        <v/>
      </c>
      <c r="C6">
        <f>IF($W6="","",INDEX('Per Line'!$A$2:$A$1501,$W6))</f>
        <v/>
      </c>
      <c r="D6" s="11">
        <f>IF($W6="","",INDEX('Per Line'!$C$2:$C$1501,$W6))</f>
        <v/>
      </c>
      <c r="E6">
        <f>IF($W6="","",INDEX('Per Line'!$D$2:$D$1501,$W6)&amp;"")</f>
        <v/>
      </c>
      <c r="F6">
        <f>IF($W6="","",INDEX('Per Line'!$F$2:$F$1501,$W6)&amp;"")</f>
        <v/>
      </c>
      <c r="G6">
        <f>IF($W6="","",INDEX('Per Line'!$G$2:$G$1501,$W6)&amp;"")</f>
        <v/>
      </c>
      <c r="H6">
        <f>IF($W6="","",INDEX('Per Line'!$H$2:$H$1501,$W6)&amp;"")</f>
        <v/>
      </c>
      <c r="I6">
        <f>IF($W6="","",INDEX('Per Line'!$I$2:$I$1501,$W6))</f>
        <v/>
      </c>
      <c r="J6" s="7">
        <f>IF($W6="","",I6*U6/100)</f>
        <v/>
      </c>
      <c r="K6">
        <f>IF($W6="","",INDEX('Per Line'!$U$2:$U$1501,$W6)&amp;"")</f>
        <v/>
      </c>
      <c r="L6" s="7">
        <f>IF($W6="","",SUMIFS('Per Line'!$Q$2:$Q$1501,'Per Line'!$B$2:$B$1501,$B6,'Per Line'!$AI$2:$AI$1501,1))</f>
        <v/>
      </c>
      <c r="M6">
        <f>IF($W6="","",Settings!$C$7)</f>
        <v/>
      </c>
      <c r="N6" s="7">
        <f>IF($W6="","",SUMIFS('Per Line'!$Q$2:$Q$1501,'Per Line'!$B$2:$B$1501,$B6,'Per Line'!$AH$2:$AH$1501,0,'Per Line'!$AI$2:$AI$1501,0))</f>
        <v/>
      </c>
      <c r="O6" s="7">
        <f>IF($W6="","",N6*M6)</f>
        <v/>
      </c>
      <c r="P6">
        <f>IF($W6="","",Settings!$C$6)</f>
        <v/>
      </c>
      <c r="Q6" s="7">
        <f>IF($W6="","",SUMIFS('Per Line'!$Q$2:$Q$1501,'Per Line'!$B$2:$B$1501,$B6,'Per Line'!$AH$2:$AH$1501,1,'Per Line'!$AI$2:$AI$1501,0))</f>
        <v/>
      </c>
      <c r="R6" s="7">
        <f>IF($W6="","",Q6*P6)</f>
        <v/>
      </c>
      <c r="S6" s="7">
        <f>IF($W6="","",R6+O6)</f>
        <v/>
      </c>
      <c r="T6" s="7">
        <f>IF($W6="","",U6-S6)</f>
        <v/>
      </c>
      <c r="U6" s="7">
        <f>IF($W6="","",N6+Q6+L6)</f>
        <v/>
      </c>
      <c r="V6" s="7">
        <f>IF($W6="","",U6-S6-J6)</f>
        <v/>
      </c>
      <c r="W6" s="13">
        <f>IF(ROWS($W$2:$W6)&lt;=MAX('Per Line'!$AG$2:$AG$1501),MATCH(ROWS($W$2:$W6),'Per Line'!$AG$2:$AG$1501,0),"")</f>
        <v/>
      </c>
    </row>
    <row r="7">
      <c r="A7" s="12" t="n"/>
      <c r="B7">
        <f>IF($W7="","",INDEX('Per Line'!$B$2:$B$1501,$W7)&amp;"")</f>
        <v/>
      </c>
      <c r="C7">
        <f>IF($W7="","",INDEX('Per Line'!$A$2:$A$1501,$W7))</f>
        <v/>
      </c>
      <c r="D7" s="11">
        <f>IF($W7="","",INDEX('Per Line'!$C$2:$C$1501,$W7))</f>
        <v/>
      </c>
      <c r="E7">
        <f>IF($W7="","",INDEX('Per Line'!$D$2:$D$1501,$W7)&amp;"")</f>
        <v/>
      </c>
      <c r="F7">
        <f>IF($W7="","",INDEX('Per Line'!$F$2:$F$1501,$W7)&amp;"")</f>
        <v/>
      </c>
      <c r="G7">
        <f>IF($W7="","",INDEX('Per Line'!$G$2:$G$1501,$W7)&amp;"")</f>
        <v/>
      </c>
      <c r="H7">
        <f>IF($W7="","",INDEX('Per Line'!$H$2:$H$1501,$W7)&amp;"")</f>
        <v/>
      </c>
      <c r="I7">
        <f>IF($W7="","",INDEX('Per Line'!$I$2:$I$1501,$W7))</f>
        <v/>
      </c>
      <c r="J7" s="7">
        <f>IF($W7="","",I7*U7/100)</f>
        <v/>
      </c>
      <c r="K7">
        <f>IF($W7="","",INDEX('Per Line'!$U$2:$U$1501,$W7)&amp;"")</f>
        <v/>
      </c>
      <c r="L7" s="7">
        <f>IF($W7="","",SUMIFS('Per Line'!$Q$2:$Q$1501,'Per Line'!$B$2:$B$1501,$B7,'Per Line'!$AI$2:$AI$1501,1))</f>
        <v/>
      </c>
      <c r="M7">
        <f>IF($W7="","",Settings!$C$7)</f>
        <v/>
      </c>
      <c r="N7" s="7">
        <f>IF($W7="","",SUMIFS('Per Line'!$Q$2:$Q$1501,'Per Line'!$B$2:$B$1501,$B7,'Per Line'!$AH$2:$AH$1501,0,'Per Line'!$AI$2:$AI$1501,0))</f>
        <v/>
      </c>
      <c r="O7" s="7">
        <f>IF($W7="","",N7*M7)</f>
        <v/>
      </c>
      <c r="P7">
        <f>IF($W7="","",Settings!$C$6)</f>
        <v/>
      </c>
      <c r="Q7" s="7">
        <f>IF($W7="","",SUMIFS('Per Line'!$Q$2:$Q$1501,'Per Line'!$B$2:$B$1501,$B7,'Per Line'!$AH$2:$AH$1501,1,'Per Line'!$AI$2:$AI$1501,0))</f>
        <v/>
      </c>
      <c r="R7" s="7">
        <f>IF($W7="","",Q7*P7)</f>
        <v/>
      </c>
      <c r="S7" s="7">
        <f>IF($W7="","",R7+O7)</f>
        <v/>
      </c>
      <c r="T7" s="7">
        <f>IF($W7="","",U7-S7)</f>
        <v/>
      </c>
      <c r="U7" s="7">
        <f>IF($W7="","",N7+Q7+L7)</f>
        <v/>
      </c>
      <c r="V7" s="7">
        <f>IF($W7="","",U7-S7-J7)</f>
        <v/>
      </c>
      <c r="W7" s="13">
        <f>IF(ROWS($W$2:$W7)&lt;=MAX('Per Line'!$AG$2:$AG$1501),MATCH(ROWS($W$2:$W7),'Per Line'!$AG$2:$AG$1501,0),"")</f>
        <v/>
      </c>
    </row>
    <row r="8">
      <c r="A8" s="12" t="n"/>
      <c r="B8">
        <f>IF($W8="","",INDEX('Per Line'!$B$2:$B$1501,$W8)&amp;"")</f>
        <v/>
      </c>
      <c r="C8">
        <f>IF($W8="","",INDEX('Per Line'!$A$2:$A$1501,$W8))</f>
        <v/>
      </c>
      <c r="D8" s="11">
        <f>IF($W8="","",INDEX('Per Line'!$C$2:$C$1501,$W8))</f>
        <v/>
      </c>
      <c r="E8">
        <f>IF($W8="","",INDEX('Per Line'!$D$2:$D$1501,$W8)&amp;"")</f>
        <v/>
      </c>
      <c r="F8">
        <f>IF($W8="","",INDEX('Per Line'!$F$2:$F$1501,$W8)&amp;"")</f>
        <v/>
      </c>
      <c r="G8">
        <f>IF($W8="","",INDEX('Per Line'!$G$2:$G$1501,$W8)&amp;"")</f>
        <v/>
      </c>
      <c r="H8">
        <f>IF($W8="","",INDEX('Per Line'!$H$2:$H$1501,$W8)&amp;"")</f>
        <v/>
      </c>
      <c r="I8">
        <f>IF($W8="","",INDEX('Per Line'!$I$2:$I$1501,$W8))</f>
        <v/>
      </c>
      <c r="J8" s="7">
        <f>IF($W8="","",I8*U8/100)</f>
        <v/>
      </c>
      <c r="K8">
        <f>IF($W8="","",INDEX('Per Line'!$U$2:$U$1501,$W8)&amp;"")</f>
        <v/>
      </c>
      <c r="L8" s="7">
        <f>IF($W8="","",SUMIFS('Per Line'!$Q$2:$Q$1501,'Per Line'!$B$2:$B$1501,$B8,'Per Line'!$AI$2:$AI$1501,1))</f>
        <v/>
      </c>
      <c r="M8">
        <f>IF($W8="","",Settings!$C$7)</f>
        <v/>
      </c>
      <c r="N8" s="7">
        <f>IF($W8="","",SUMIFS('Per Line'!$Q$2:$Q$1501,'Per Line'!$B$2:$B$1501,$B8,'Per Line'!$AH$2:$AH$1501,0,'Per Line'!$AI$2:$AI$1501,0))</f>
        <v/>
      </c>
      <c r="O8" s="7">
        <f>IF($W8="","",N8*M8)</f>
        <v/>
      </c>
      <c r="P8">
        <f>IF($W8="","",Settings!$C$6)</f>
        <v/>
      </c>
      <c r="Q8" s="7">
        <f>IF($W8="","",SUMIFS('Per Line'!$Q$2:$Q$1501,'Per Line'!$B$2:$B$1501,$B8,'Per Line'!$AH$2:$AH$1501,1,'Per Line'!$AI$2:$AI$1501,0))</f>
        <v/>
      </c>
      <c r="R8" s="7">
        <f>IF($W8="","",Q8*P8)</f>
        <v/>
      </c>
      <c r="S8" s="7">
        <f>IF($W8="","",R8+O8)</f>
        <v/>
      </c>
      <c r="T8" s="7">
        <f>IF($W8="","",U8-S8)</f>
        <v/>
      </c>
      <c r="U8" s="7">
        <f>IF($W8="","",N8+Q8+L8)</f>
        <v/>
      </c>
      <c r="V8" s="7">
        <f>IF($W8="","",U8-S8-J8)</f>
        <v/>
      </c>
      <c r="W8" s="13">
        <f>IF(ROWS($W$2:$W8)&lt;=MAX('Per Line'!$AG$2:$AG$1501),MATCH(ROWS($W$2:$W8),'Per Line'!$AG$2:$AG$1501,0),"")</f>
        <v/>
      </c>
    </row>
    <row r="9">
      <c r="A9" s="12" t="n"/>
      <c r="B9">
        <f>IF($W9="","",INDEX('Per Line'!$B$2:$B$1501,$W9)&amp;"")</f>
        <v/>
      </c>
      <c r="C9">
        <f>IF($W9="","",INDEX('Per Line'!$A$2:$A$1501,$W9))</f>
        <v/>
      </c>
      <c r="D9" s="11">
        <f>IF($W9="","",INDEX('Per Line'!$C$2:$C$1501,$W9))</f>
        <v/>
      </c>
      <c r="E9">
        <f>IF($W9="","",INDEX('Per Line'!$D$2:$D$1501,$W9)&amp;"")</f>
        <v/>
      </c>
      <c r="F9">
        <f>IF($W9="","",INDEX('Per Line'!$F$2:$F$1501,$W9)&amp;"")</f>
        <v/>
      </c>
      <c r="G9">
        <f>IF($W9="","",INDEX('Per Line'!$G$2:$G$1501,$W9)&amp;"")</f>
        <v/>
      </c>
      <c r="H9">
        <f>IF($W9="","",INDEX('Per Line'!$H$2:$H$1501,$W9)&amp;"")</f>
        <v/>
      </c>
      <c r="I9">
        <f>IF($W9="","",INDEX('Per Line'!$I$2:$I$1501,$W9))</f>
        <v/>
      </c>
      <c r="J9" s="7">
        <f>IF($W9="","",I9*U9/100)</f>
        <v/>
      </c>
      <c r="K9">
        <f>IF($W9="","",INDEX('Per Line'!$U$2:$U$1501,$W9)&amp;"")</f>
        <v/>
      </c>
      <c r="L9" s="7">
        <f>IF($W9="","",SUMIFS('Per Line'!$Q$2:$Q$1501,'Per Line'!$B$2:$B$1501,$B9,'Per Line'!$AI$2:$AI$1501,1))</f>
        <v/>
      </c>
      <c r="M9">
        <f>IF($W9="","",Settings!$C$7)</f>
        <v/>
      </c>
      <c r="N9" s="7">
        <f>IF($W9="","",SUMIFS('Per Line'!$Q$2:$Q$1501,'Per Line'!$B$2:$B$1501,$B9,'Per Line'!$AH$2:$AH$1501,0,'Per Line'!$AI$2:$AI$1501,0))</f>
        <v/>
      </c>
      <c r="O9" s="7">
        <f>IF($W9="","",N9*M9)</f>
        <v/>
      </c>
      <c r="P9">
        <f>IF($W9="","",Settings!$C$6)</f>
        <v/>
      </c>
      <c r="Q9" s="7">
        <f>IF($W9="","",SUMIFS('Per Line'!$Q$2:$Q$1501,'Per Line'!$B$2:$B$1501,$B9,'Per Line'!$AH$2:$AH$1501,1,'Per Line'!$AI$2:$AI$1501,0))</f>
        <v/>
      </c>
      <c r="R9" s="7">
        <f>IF($W9="","",Q9*P9)</f>
        <v/>
      </c>
      <c r="S9" s="7">
        <f>IF($W9="","",R9+O9)</f>
        <v/>
      </c>
      <c r="T9" s="7">
        <f>IF($W9="","",U9-S9)</f>
        <v/>
      </c>
      <c r="U9" s="7">
        <f>IF($W9="","",N9+Q9+L9)</f>
        <v/>
      </c>
      <c r="V9" s="7">
        <f>IF($W9="","",U9-S9-J9)</f>
        <v/>
      </c>
      <c r="W9" s="13">
        <f>IF(ROWS($W$2:$W9)&lt;=MAX('Per Line'!$AG$2:$AG$1501),MATCH(ROWS($W$2:$W9),'Per Line'!$AG$2:$AG$1501,0),"")</f>
        <v/>
      </c>
    </row>
    <row r="10">
      <c r="A10" s="12" t="n"/>
      <c r="B10">
        <f>IF($W10="","",INDEX('Per Line'!$B$2:$B$1501,$W10)&amp;"")</f>
        <v/>
      </c>
      <c r="C10">
        <f>IF($W10="","",INDEX('Per Line'!$A$2:$A$1501,$W10))</f>
        <v/>
      </c>
      <c r="D10" s="11">
        <f>IF($W10="","",INDEX('Per Line'!$C$2:$C$1501,$W10))</f>
        <v/>
      </c>
      <c r="E10">
        <f>IF($W10="","",INDEX('Per Line'!$D$2:$D$1501,$W10)&amp;"")</f>
        <v/>
      </c>
      <c r="F10">
        <f>IF($W10="","",INDEX('Per Line'!$F$2:$F$1501,$W10)&amp;"")</f>
        <v/>
      </c>
      <c r="G10">
        <f>IF($W10="","",INDEX('Per Line'!$G$2:$G$1501,$W10)&amp;"")</f>
        <v/>
      </c>
      <c r="H10">
        <f>IF($W10="","",INDEX('Per Line'!$H$2:$H$1501,$W10)&amp;"")</f>
        <v/>
      </c>
      <c r="I10">
        <f>IF($W10="","",INDEX('Per Line'!$I$2:$I$1501,$W10))</f>
        <v/>
      </c>
      <c r="J10" s="7">
        <f>IF($W10="","",I10*U10/100)</f>
        <v/>
      </c>
      <c r="K10">
        <f>IF($W10="","",INDEX('Per Line'!$U$2:$U$1501,$W10)&amp;"")</f>
        <v/>
      </c>
      <c r="L10" s="7">
        <f>IF($W10="","",SUMIFS('Per Line'!$Q$2:$Q$1501,'Per Line'!$B$2:$B$1501,$B10,'Per Line'!$AI$2:$AI$1501,1))</f>
        <v/>
      </c>
      <c r="M10">
        <f>IF($W10="","",Settings!$C$7)</f>
        <v/>
      </c>
      <c r="N10" s="7">
        <f>IF($W10="","",SUMIFS('Per Line'!$Q$2:$Q$1501,'Per Line'!$B$2:$B$1501,$B10,'Per Line'!$AH$2:$AH$1501,0,'Per Line'!$AI$2:$AI$1501,0))</f>
        <v/>
      </c>
      <c r="O10" s="7">
        <f>IF($W10="","",N10*M10)</f>
        <v/>
      </c>
      <c r="P10">
        <f>IF($W10="","",Settings!$C$6)</f>
        <v/>
      </c>
      <c r="Q10" s="7">
        <f>IF($W10="","",SUMIFS('Per Line'!$Q$2:$Q$1501,'Per Line'!$B$2:$B$1501,$B10,'Per Line'!$AH$2:$AH$1501,1,'Per Line'!$AI$2:$AI$1501,0))</f>
        <v/>
      </c>
      <c r="R10" s="7">
        <f>IF($W10="","",Q10*P10)</f>
        <v/>
      </c>
      <c r="S10" s="7">
        <f>IF($W10="","",R10+O10)</f>
        <v/>
      </c>
      <c r="T10" s="7">
        <f>IF($W10="","",U10-S10)</f>
        <v/>
      </c>
      <c r="U10" s="7">
        <f>IF($W10="","",N10+Q10+L10)</f>
        <v/>
      </c>
      <c r="V10" s="7">
        <f>IF($W10="","",U10-S10-J10)</f>
        <v/>
      </c>
      <c r="W10" s="13">
        <f>IF(ROWS($W$2:$W10)&lt;=MAX('Per Line'!$AG$2:$AG$1501),MATCH(ROWS($W$2:$W10),'Per Line'!$AG$2:$AG$1501,0),"")</f>
        <v/>
      </c>
    </row>
    <row r="11">
      <c r="A11" s="12" t="n"/>
      <c r="B11">
        <f>IF($W11="","",INDEX('Per Line'!$B$2:$B$1501,$W11)&amp;"")</f>
        <v/>
      </c>
      <c r="C11">
        <f>IF($W11="","",INDEX('Per Line'!$A$2:$A$1501,$W11))</f>
        <v/>
      </c>
      <c r="D11" s="11">
        <f>IF($W11="","",INDEX('Per Line'!$C$2:$C$1501,$W11))</f>
        <v/>
      </c>
      <c r="E11">
        <f>IF($W11="","",INDEX('Per Line'!$D$2:$D$1501,$W11)&amp;"")</f>
        <v/>
      </c>
      <c r="F11">
        <f>IF($W11="","",INDEX('Per Line'!$F$2:$F$1501,$W11)&amp;"")</f>
        <v/>
      </c>
      <c r="G11">
        <f>IF($W11="","",INDEX('Per Line'!$G$2:$G$1501,$W11)&amp;"")</f>
        <v/>
      </c>
      <c r="H11">
        <f>IF($W11="","",INDEX('Per Line'!$H$2:$H$1501,$W11)&amp;"")</f>
        <v/>
      </c>
      <c r="I11">
        <f>IF($W11="","",INDEX('Per Line'!$I$2:$I$1501,$W11))</f>
        <v/>
      </c>
      <c r="J11" s="7">
        <f>IF($W11="","",I11*U11/100)</f>
        <v/>
      </c>
      <c r="K11">
        <f>IF($W11="","",INDEX('Per Line'!$U$2:$U$1501,$W11)&amp;"")</f>
        <v/>
      </c>
      <c r="L11" s="7">
        <f>IF($W11="","",SUMIFS('Per Line'!$Q$2:$Q$1501,'Per Line'!$B$2:$B$1501,$B11,'Per Line'!$AI$2:$AI$1501,1))</f>
        <v/>
      </c>
      <c r="M11">
        <f>IF($W11="","",Settings!$C$7)</f>
        <v/>
      </c>
      <c r="N11" s="7">
        <f>IF($W11="","",SUMIFS('Per Line'!$Q$2:$Q$1501,'Per Line'!$B$2:$B$1501,$B11,'Per Line'!$AH$2:$AH$1501,0,'Per Line'!$AI$2:$AI$1501,0))</f>
        <v/>
      </c>
      <c r="O11" s="7">
        <f>IF($W11="","",N11*M11)</f>
        <v/>
      </c>
      <c r="P11">
        <f>IF($W11="","",Settings!$C$6)</f>
        <v/>
      </c>
      <c r="Q11" s="7">
        <f>IF($W11="","",SUMIFS('Per Line'!$Q$2:$Q$1501,'Per Line'!$B$2:$B$1501,$B11,'Per Line'!$AH$2:$AH$1501,1,'Per Line'!$AI$2:$AI$1501,0))</f>
        <v/>
      </c>
      <c r="R11" s="7">
        <f>IF($W11="","",Q11*P11)</f>
        <v/>
      </c>
      <c r="S11" s="7">
        <f>IF($W11="","",R11+O11)</f>
        <v/>
      </c>
      <c r="T11" s="7">
        <f>IF($W11="","",U11-S11)</f>
        <v/>
      </c>
      <c r="U11" s="7">
        <f>IF($W11="","",N11+Q11+L11)</f>
        <v/>
      </c>
      <c r="V11" s="7">
        <f>IF($W11="","",U11-S11-J11)</f>
        <v/>
      </c>
      <c r="W11" s="13">
        <f>IF(ROWS($W$2:$W11)&lt;=MAX('Per Line'!$AG$2:$AG$1501),MATCH(ROWS($W$2:$W11),'Per Line'!$AG$2:$AG$1501,0),"")</f>
        <v/>
      </c>
    </row>
    <row r="12">
      <c r="A12" s="12" t="n"/>
      <c r="B12">
        <f>IF($W12="","",INDEX('Per Line'!$B$2:$B$1501,$W12)&amp;"")</f>
        <v/>
      </c>
      <c r="C12">
        <f>IF($W12="","",INDEX('Per Line'!$A$2:$A$1501,$W12))</f>
        <v/>
      </c>
      <c r="D12" s="11">
        <f>IF($W12="","",INDEX('Per Line'!$C$2:$C$1501,$W12))</f>
        <v/>
      </c>
      <c r="E12">
        <f>IF($W12="","",INDEX('Per Line'!$D$2:$D$1501,$W12)&amp;"")</f>
        <v/>
      </c>
      <c r="F12">
        <f>IF($W12="","",INDEX('Per Line'!$F$2:$F$1501,$W12)&amp;"")</f>
        <v/>
      </c>
      <c r="G12">
        <f>IF($W12="","",INDEX('Per Line'!$G$2:$G$1501,$W12)&amp;"")</f>
        <v/>
      </c>
      <c r="H12">
        <f>IF($W12="","",INDEX('Per Line'!$H$2:$H$1501,$W12)&amp;"")</f>
        <v/>
      </c>
      <c r="I12">
        <f>IF($W12="","",INDEX('Per Line'!$I$2:$I$1501,$W12))</f>
        <v/>
      </c>
      <c r="J12" s="7">
        <f>IF($W12="","",I12*U12/100)</f>
        <v/>
      </c>
      <c r="K12">
        <f>IF($W12="","",INDEX('Per Line'!$U$2:$U$1501,$W12)&amp;"")</f>
        <v/>
      </c>
      <c r="L12" s="7">
        <f>IF($W12="","",SUMIFS('Per Line'!$Q$2:$Q$1501,'Per Line'!$B$2:$B$1501,$B12,'Per Line'!$AI$2:$AI$1501,1))</f>
        <v/>
      </c>
      <c r="M12">
        <f>IF($W12="","",Settings!$C$7)</f>
        <v/>
      </c>
      <c r="N12" s="7">
        <f>IF($W12="","",SUMIFS('Per Line'!$Q$2:$Q$1501,'Per Line'!$B$2:$B$1501,$B12,'Per Line'!$AH$2:$AH$1501,0,'Per Line'!$AI$2:$AI$1501,0))</f>
        <v/>
      </c>
      <c r="O12" s="7">
        <f>IF($W12="","",N12*M12)</f>
        <v/>
      </c>
      <c r="P12">
        <f>IF($W12="","",Settings!$C$6)</f>
        <v/>
      </c>
      <c r="Q12" s="7">
        <f>IF($W12="","",SUMIFS('Per Line'!$Q$2:$Q$1501,'Per Line'!$B$2:$B$1501,$B12,'Per Line'!$AH$2:$AH$1501,1,'Per Line'!$AI$2:$AI$1501,0))</f>
        <v/>
      </c>
      <c r="R12" s="7">
        <f>IF($W12="","",Q12*P12)</f>
        <v/>
      </c>
      <c r="S12" s="7">
        <f>IF($W12="","",R12+O12)</f>
        <v/>
      </c>
      <c r="T12" s="7">
        <f>IF($W12="","",U12-S12)</f>
        <v/>
      </c>
      <c r="U12" s="7">
        <f>IF($W12="","",N12+Q12+L12)</f>
        <v/>
      </c>
      <c r="V12" s="7">
        <f>IF($W12="","",U12-S12-J12)</f>
        <v/>
      </c>
      <c r="W12" s="13">
        <f>IF(ROWS($W$2:$W12)&lt;=MAX('Per Line'!$AG$2:$AG$1501),MATCH(ROWS($W$2:$W12),'Per Line'!$AG$2:$AG$1501,0),"")</f>
        <v/>
      </c>
    </row>
    <row r="13">
      <c r="A13" s="12" t="n"/>
      <c r="B13">
        <f>IF($W13="","",INDEX('Per Line'!$B$2:$B$1501,$W13)&amp;"")</f>
        <v/>
      </c>
      <c r="C13">
        <f>IF($W13="","",INDEX('Per Line'!$A$2:$A$1501,$W13))</f>
        <v/>
      </c>
      <c r="D13" s="11">
        <f>IF($W13="","",INDEX('Per Line'!$C$2:$C$1501,$W13))</f>
        <v/>
      </c>
      <c r="E13">
        <f>IF($W13="","",INDEX('Per Line'!$D$2:$D$1501,$W13)&amp;"")</f>
        <v/>
      </c>
      <c r="F13">
        <f>IF($W13="","",INDEX('Per Line'!$F$2:$F$1501,$W13)&amp;"")</f>
        <v/>
      </c>
      <c r="G13">
        <f>IF($W13="","",INDEX('Per Line'!$G$2:$G$1501,$W13)&amp;"")</f>
        <v/>
      </c>
      <c r="H13">
        <f>IF($W13="","",INDEX('Per Line'!$H$2:$H$1501,$W13)&amp;"")</f>
        <v/>
      </c>
      <c r="I13">
        <f>IF($W13="","",INDEX('Per Line'!$I$2:$I$1501,$W13))</f>
        <v/>
      </c>
      <c r="J13" s="7">
        <f>IF($W13="","",I13*U13/100)</f>
        <v/>
      </c>
      <c r="K13">
        <f>IF($W13="","",INDEX('Per Line'!$U$2:$U$1501,$W13)&amp;"")</f>
        <v/>
      </c>
      <c r="L13" s="7">
        <f>IF($W13="","",SUMIFS('Per Line'!$Q$2:$Q$1501,'Per Line'!$B$2:$B$1501,$B13,'Per Line'!$AI$2:$AI$1501,1))</f>
        <v/>
      </c>
      <c r="M13">
        <f>IF($W13="","",Settings!$C$7)</f>
        <v/>
      </c>
      <c r="N13" s="7">
        <f>IF($W13="","",SUMIFS('Per Line'!$Q$2:$Q$1501,'Per Line'!$B$2:$B$1501,$B13,'Per Line'!$AH$2:$AH$1501,0,'Per Line'!$AI$2:$AI$1501,0))</f>
        <v/>
      </c>
      <c r="O13" s="7">
        <f>IF($W13="","",N13*M13)</f>
        <v/>
      </c>
      <c r="P13">
        <f>IF($W13="","",Settings!$C$6)</f>
        <v/>
      </c>
      <c r="Q13" s="7">
        <f>IF($W13="","",SUMIFS('Per Line'!$Q$2:$Q$1501,'Per Line'!$B$2:$B$1501,$B13,'Per Line'!$AH$2:$AH$1501,1,'Per Line'!$AI$2:$AI$1501,0))</f>
        <v/>
      </c>
      <c r="R13" s="7">
        <f>IF($W13="","",Q13*P13)</f>
        <v/>
      </c>
      <c r="S13" s="7">
        <f>IF($W13="","",R13+O13)</f>
        <v/>
      </c>
      <c r="T13" s="7">
        <f>IF($W13="","",U13-S13)</f>
        <v/>
      </c>
      <c r="U13" s="7">
        <f>IF($W13="","",N13+Q13+L13)</f>
        <v/>
      </c>
      <c r="V13" s="7">
        <f>IF($W13="","",U13-S13-J13)</f>
        <v/>
      </c>
      <c r="W13" s="13">
        <f>IF(ROWS($W$2:$W13)&lt;=MAX('Per Line'!$AG$2:$AG$1501),MATCH(ROWS($W$2:$W13),'Per Line'!$AG$2:$AG$1501,0),"")</f>
        <v/>
      </c>
    </row>
    <row r="14">
      <c r="A14" s="12" t="n"/>
      <c r="B14">
        <f>IF($W14="","",INDEX('Per Line'!$B$2:$B$1501,$W14)&amp;"")</f>
        <v/>
      </c>
      <c r="C14">
        <f>IF($W14="","",INDEX('Per Line'!$A$2:$A$1501,$W14))</f>
        <v/>
      </c>
      <c r="D14" s="11">
        <f>IF($W14="","",INDEX('Per Line'!$C$2:$C$1501,$W14))</f>
        <v/>
      </c>
      <c r="E14">
        <f>IF($W14="","",INDEX('Per Line'!$D$2:$D$1501,$W14)&amp;"")</f>
        <v/>
      </c>
      <c r="F14">
        <f>IF($W14="","",INDEX('Per Line'!$F$2:$F$1501,$W14)&amp;"")</f>
        <v/>
      </c>
      <c r="G14">
        <f>IF($W14="","",INDEX('Per Line'!$G$2:$G$1501,$W14)&amp;"")</f>
        <v/>
      </c>
      <c r="H14">
        <f>IF($W14="","",INDEX('Per Line'!$H$2:$H$1501,$W14)&amp;"")</f>
        <v/>
      </c>
      <c r="I14">
        <f>IF($W14="","",INDEX('Per Line'!$I$2:$I$1501,$W14))</f>
        <v/>
      </c>
      <c r="J14" s="7">
        <f>IF($W14="","",I14*U14/100)</f>
        <v/>
      </c>
      <c r="K14">
        <f>IF($W14="","",INDEX('Per Line'!$U$2:$U$1501,$W14)&amp;"")</f>
        <v/>
      </c>
      <c r="L14" s="7">
        <f>IF($W14="","",SUMIFS('Per Line'!$Q$2:$Q$1501,'Per Line'!$B$2:$B$1501,$B14,'Per Line'!$AI$2:$AI$1501,1))</f>
        <v/>
      </c>
      <c r="M14">
        <f>IF($W14="","",Settings!$C$7)</f>
        <v/>
      </c>
      <c r="N14" s="7">
        <f>IF($W14="","",SUMIFS('Per Line'!$Q$2:$Q$1501,'Per Line'!$B$2:$B$1501,$B14,'Per Line'!$AH$2:$AH$1501,0,'Per Line'!$AI$2:$AI$1501,0))</f>
        <v/>
      </c>
      <c r="O14" s="7">
        <f>IF($W14="","",N14*M14)</f>
        <v/>
      </c>
      <c r="P14">
        <f>IF($W14="","",Settings!$C$6)</f>
        <v/>
      </c>
      <c r="Q14" s="7">
        <f>IF($W14="","",SUMIFS('Per Line'!$Q$2:$Q$1501,'Per Line'!$B$2:$B$1501,$B14,'Per Line'!$AH$2:$AH$1501,1,'Per Line'!$AI$2:$AI$1501,0))</f>
        <v/>
      </c>
      <c r="R14" s="7">
        <f>IF($W14="","",Q14*P14)</f>
        <v/>
      </c>
      <c r="S14" s="7">
        <f>IF($W14="","",R14+O14)</f>
        <v/>
      </c>
      <c r="T14" s="7">
        <f>IF($W14="","",U14-S14)</f>
        <v/>
      </c>
      <c r="U14" s="7">
        <f>IF($W14="","",N14+Q14+L14)</f>
        <v/>
      </c>
      <c r="V14" s="7">
        <f>IF($W14="","",U14-S14-J14)</f>
        <v/>
      </c>
      <c r="W14" s="13">
        <f>IF(ROWS($W$2:$W14)&lt;=MAX('Per Line'!$AG$2:$AG$1501),MATCH(ROWS($W$2:$W14),'Per Line'!$AG$2:$AG$1501,0),"")</f>
        <v/>
      </c>
    </row>
    <row r="15">
      <c r="A15" s="12" t="n"/>
      <c r="B15">
        <f>IF($W15="","",INDEX('Per Line'!$B$2:$B$1501,$W15)&amp;"")</f>
        <v/>
      </c>
      <c r="C15">
        <f>IF($W15="","",INDEX('Per Line'!$A$2:$A$1501,$W15))</f>
        <v/>
      </c>
      <c r="D15" s="11">
        <f>IF($W15="","",INDEX('Per Line'!$C$2:$C$1501,$W15))</f>
        <v/>
      </c>
      <c r="E15">
        <f>IF($W15="","",INDEX('Per Line'!$D$2:$D$1501,$W15)&amp;"")</f>
        <v/>
      </c>
      <c r="F15">
        <f>IF($W15="","",INDEX('Per Line'!$F$2:$F$1501,$W15)&amp;"")</f>
        <v/>
      </c>
      <c r="G15">
        <f>IF($W15="","",INDEX('Per Line'!$G$2:$G$1501,$W15)&amp;"")</f>
        <v/>
      </c>
      <c r="H15">
        <f>IF($W15="","",INDEX('Per Line'!$H$2:$H$1501,$W15)&amp;"")</f>
        <v/>
      </c>
      <c r="I15">
        <f>IF($W15="","",INDEX('Per Line'!$I$2:$I$1501,$W15))</f>
        <v/>
      </c>
      <c r="J15" s="7">
        <f>IF($W15="","",I15*U15/100)</f>
        <v/>
      </c>
      <c r="K15">
        <f>IF($W15="","",INDEX('Per Line'!$U$2:$U$1501,$W15)&amp;"")</f>
        <v/>
      </c>
      <c r="L15" s="7">
        <f>IF($W15="","",SUMIFS('Per Line'!$Q$2:$Q$1501,'Per Line'!$B$2:$B$1501,$B15,'Per Line'!$AI$2:$AI$1501,1))</f>
        <v/>
      </c>
      <c r="M15">
        <f>IF($W15="","",Settings!$C$7)</f>
        <v/>
      </c>
      <c r="N15" s="7">
        <f>IF($W15="","",SUMIFS('Per Line'!$Q$2:$Q$1501,'Per Line'!$B$2:$B$1501,$B15,'Per Line'!$AH$2:$AH$1501,0,'Per Line'!$AI$2:$AI$1501,0))</f>
        <v/>
      </c>
      <c r="O15" s="7">
        <f>IF($W15="","",N15*M15)</f>
        <v/>
      </c>
      <c r="P15">
        <f>IF($W15="","",Settings!$C$6)</f>
        <v/>
      </c>
      <c r="Q15" s="7">
        <f>IF($W15="","",SUMIFS('Per Line'!$Q$2:$Q$1501,'Per Line'!$B$2:$B$1501,$B15,'Per Line'!$AH$2:$AH$1501,1,'Per Line'!$AI$2:$AI$1501,0))</f>
        <v/>
      </c>
      <c r="R15" s="7">
        <f>IF($W15="","",Q15*P15)</f>
        <v/>
      </c>
      <c r="S15" s="7">
        <f>IF($W15="","",R15+O15)</f>
        <v/>
      </c>
      <c r="T15" s="7">
        <f>IF($W15="","",U15-S15)</f>
        <v/>
      </c>
      <c r="U15" s="7">
        <f>IF($W15="","",N15+Q15+L15)</f>
        <v/>
      </c>
      <c r="V15" s="7">
        <f>IF($W15="","",U15-S15-J15)</f>
        <v/>
      </c>
      <c r="W15" s="13">
        <f>IF(ROWS($W$2:$W15)&lt;=MAX('Per Line'!$AG$2:$AG$1501),MATCH(ROWS($W$2:$W15),'Per Line'!$AG$2:$AG$1501,0),"")</f>
        <v/>
      </c>
    </row>
    <row r="16">
      <c r="A16" s="12" t="n"/>
      <c r="B16">
        <f>IF($W16="","",INDEX('Per Line'!$B$2:$B$1501,$W16)&amp;"")</f>
        <v/>
      </c>
      <c r="C16">
        <f>IF($W16="","",INDEX('Per Line'!$A$2:$A$1501,$W16))</f>
        <v/>
      </c>
      <c r="D16" s="11">
        <f>IF($W16="","",INDEX('Per Line'!$C$2:$C$1501,$W16))</f>
        <v/>
      </c>
      <c r="E16">
        <f>IF($W16="","",INDEX('Per Line'!$D$2:$D$1501,$W16)&amp;"")</f>
        <v/>
      </c>
      <c r="F16">
        <f>IF($W16="","",INDEX('Per Line'!$F$2:$F$1501,$W16)&amp;"")</f>
        <v/>
      </c>
      <c r="G16">
        <f>IF($W16="","",INDEX('Per Line'!$G$2:$G$1501,$W16)&amp;"")</f>
        <v/>
      </c>
      <c r="H16">
        <f>IF($W16="","",INDEX('Per Line'!$H$2:$H$1501,$W16)&amp;"")</f>
        <v/>
      </c>
      <c r="I16">
        <f>IF($W16="","",INDEX('Per Line'!$I$2:$I$1501,$W16))</f>
        <v/>
      </c>
      <c r="J16" s="7">
        <f>IF($W16="","",I16*U16/100)</f>
        <v/>
      </c>
      <c r="K16">
        <f>IF($W16="","",INDEX('Per Line'!$U$2:$U$1501,$W16)&amp;"")</f>
        <v/>
      </c>
      <c r="L16" s="7">
        <f>IF($W16="","",SUMIFS('Per Line'!$Q$2:$Q$1501,'Per Line'!$B$2:$B$1501,$B16,'Per Line'!$AI$2:$AI$1501,1))</f>
        <v/>
      </c>
      <c r="M16">
        <f>IF($W16="","",Settings!$C$7)</f>
        <v/>
      </c>
      <c r="N16" s="7">
        <f>IF($W16="","",SUMIFS('Per Line'!$Q$2:$Q$1501,'Per Line'!$B$2:$B$1501,$B16,'Per Line'!$AH$2:$AH$1501,0,'Per Line'!$AI$2:$AI$1501,0))</f>
        <v/>
      </c>
      <c r="O16" s="7">
        <f>IF($W16="","",N16*M16)</f>
        <v/>
      </c>
      <c r="P16">
        <f>IF($W16="","",Settings!$C$6)</f>
        <v/>
      </c>
      <c r="Q16" s="7">
        <f>IF($W16="","",SUMIFS('Per Line'!$Q$2:$Q$1501,'Per Line'!$B$2:$B$1501,$B16,'Per Line'!$AH$2:$AH$1501,1,'Per Line'!$AI$2:$AI$1501,0))</f>
        <v/>
      </c>
      <c r="R16" s="7">
        <f>IF($W16="","",Q16*P16)</f>
        <v/>
      </c>
      <c r="S16" s="7">
        <f>IF($W16="","",R16+O16)</f>
        <v/>
      </c>
      <c r="T16" s="7">
        <f>IF($W16="","",U16-S16)</f>
        <v/>
      </c>
      <c r="U16" s="7">
        <f>IF($W16="","",N16+Q16+L16)</f>
        <v/>
      </c>
      <c r="V16" s="7">
        <f>IF($W16="","",U16-S16-J16)</f>
        <v/>
      </c>
      <c r="W16" s="13">
        <f>IF(ROWS($W$2:$W16)&lt;=MAX('Per Line'!$AG$2:$AG$1501),MATCH(ROWS($W$2:$W16),'Per Line'!$AG$2:$AG$1501,0),"")</f>
        <v/>
      </c>
    </row>
    <row r="17">
      <c r="A17" s="12" t="n"/>
      <c r="B17">
        <f>IF($W17="","",INDEX('Per Line'!$B$2:$B$1501,$W17)&amp;"")</f>
        <v/>
      </c>
      <c r="C17">
        <f>IF($W17="","",INDEX('Per Line'!$A$2:$A$1501,$W17))</f>
        <v/>
      </c>
      <c r="D17" s="11">
        <f>IF($W17="","",INDEX('Per Line'!$C$2:$C$1501,$W17))</f>
        <v/>
      </c>
      <c r="E17">
        <f>IF($W17="","",INDEX('Per Line'!$D$2:$D$1501,$W17)&amp;"")</f>
        <v/>
      </c>
      <c r="F17">
        <f>IF($W17="","",INDEX('Per Line'!$F$2:$F$1501,$W17)&amp;"")</f>
        <v/>
      </c>
      <c r="G17">
        <f>IF($W17="","",INDEX('Per Line'!$G$2:$G$1501,$W17)&amp;"")</f>
        <v/>
      </c>
      <c r="H17">
        <f>IF($W17="","",INDEX('Per Line'!$H$2:$H$1501,$W17)&amp;"")</f>
        <v/>
      </c>
      <c r="I17">
        <f>IF($W17="","",INDEX('Per Line'!$I$2:$I$1501,$W17))</f>
        <v/>
      </c>
      <c r="J17" s="7">
        <f>IF($W17="","",I17*U17/100)</f>
        <v/>
      </c>
      <c r="K17">
        <f>IF($W17="","",INDEX('Per Line'!$U$2:$U$1501,$W17)&amp;"")</f>
        <v/>
      </c>
      <c r="L17" s="7">
        <f>IF($W17="","",SUMIFS('Per Line'!$Q$2:$Q$1501,'Per Line'!$B$2:$B$1501,$B17,'Per Line'!$AI$2:$AI$1501,1))</f>
        <v/>
      </c>
      <c r="M17">
        <f>IF($W17="","",Settings!$C$7)</f>
        <v/>
      </c>
      <c r="N17" s="7">
        <f>IF($W17="","",SUMIFS('Per Line'!$Q$2:$Q$1501,'Per Line'!$B$2:$B$1501,$B17,'Per Line'!$AH$2:$AH$1501,0,'Per Line'!$AI$2:$AI$1501,0))</f>
        <v/>
      </c>
      <c r="O17" s="7">
        <f>IF($W17="","",N17*M17)</f>
        <v/>
      </c>
      <c r="P17">
        <f>IF($W17="","",Settings!$C$6)</f>
        <v/>
      </c>
      <c r="Q17" s="7">
        <f>IF($W17="","",SUMIFS('Per Line'!$Q$2:$Q$1501,'Per Line'!$B$2:$B$1501,$B17,'Per Line'!$AH$2:$AH$1501,1,'Per Line'!$AI$2:$AI$1501,0))</f>
        <v/>
      </c>
      <c r="R17" s="7">
        <f>IF($W17="","",Q17*P17)</f>
        <v/>
      </c>
      <c r="S17" s="7">
        <f>IF($W17="","",R17+O17)</f>
        <v/>
      </c>
      <c r="T17" s="7">
        <f>IF($W17="","",U17-S17)</f>
        <v/>
      </c>
      <c r="U17" s="7">
        <f>IF($W17="","",N17+Q17+L17)</f>
        <v/>
      </c>
      <c r="V17" s="7">
        <f>IF($W17="","",U17-S17-J17)</f>
        <v/>
      </c>
      <c r="W17" s="13">
        <f>IF(ROWS($W$2:$W17)&lt;=MAX('Per Line'!$AG$2:$AG$1501),MATCH(ROWS($W$2:$W17),'Per Line'!$AG$2:$AG$1501,0),"")</f>
        <v/>
      </c>
    </row>
    <row r="18">
      <c r="A18" s="12" t="n"/>
      <c r="B18">
        <f>IF($W18="","",INDEX('Per Line'!$B$2:$B$1501,$W18)&amp;"")</f>
        <v/>
      </c>
      <c r="C18">
        <f>IF($W18="","",INDEX('Per Line'!$A$2:$A$1501,$W18))</f>
        <v/>
      </c>
      <c r="D18" s="11">
        <f>IF($W18="","",INDEX('Per Line'!$C$2:$C$1501,$W18))</f>
        <v/>
      </c>
      <c r="E18">
        <f>IF($W18="","",INDEX('Per Line'!$D$2:$D$1501,$W18)&amp;"")</f>
        <v/>
      </c>
      <c r="F18">
        <f>IF($W18="","",INDEX('Per Line'!$F$2:$F$1501,$W18)&amp;"")</f>
        <v/>
      </c>
      <c r="G18">
        <f>IF($W18="","",INDEX('Per Line'!$G$2:$G$1501,$W18)&amp;"")</f>
        <v/>
      </c>
      <c r="H18">
        <f>IF($W18="","",INDEX('Per Line'!$H$2:$H$1501,$W18)&amp;"")</f>
        <v/>
      </c>
      <c r="I18">
        <f>IF($W18="","",INDEX('Per Line'!$I$2:$I$1501,$W18))</f>
        <v/>
      </c>
      <c r="J18" s="7">
        <f>IF($W18="","",I18*U18/100)</f>
        <v/>
      </c>
      <c r="K18">
        <f>IF($W18="","",INDEX('Per Line'!$U$2:$U$1501,$W18)&amp;"")</f>
        <v/>
      </c>
      <c r="L18" s="7">
        <f>IF($W18="","",SUMIFS('Per Line'!$Q$2:$Q$1501,'Per Line'!$B$2:$B$1501,$B18,'Per Line'!$AI$2:$AI$1501,1))</f>
        <v/>
      </c>
      <c r="M18">
        <f>IF($W18="","",Settings!$C$7)</f>
        <v/>
      </c>
      <c r="N18" s="7">
        <f>IF($W18="","",SUMIFS('Per Line'!$Q$2:$Q$1501,'Per Line'!$B$2:$B$1501,$B18,'Per Line'!$AH$2:$AH$1501,0,'Per Line'!$AI$2:$AI$1501,0))</f>
        <v/>
      </c>
      <c r="O18" s="7">
        <f>IF($W18="","",N18*M18)</f>
        <v/>
      </c>
      <c r="P18">
        <f>IF($W18="","",Settings!$C$6)</f>
        <v/>
      </c>
      <c r="Q18" s="7">
        <f>IF($W18="","",SUMIFS('Per Line'!$Q$2:$Q$1501,'Per Line'!$B$2:$B$1501,$B18,'Per Line'!$AH$2:$AH$1501,1,'Per Line'!$AI$2:$AI$1501,0))</f>
        <v/>
      </c>
      <c r="R18" s="7">
        <f>IF($W18="","",Q18*P18)</f>
        <v/>
      </c>
      <c r="S18" s="7">
        <f>IF($W18="","",R18+O18)</f>
        <v/>
      </c>
      <c r="T18" s="7">
        <f>IF($W18="","",U18-S18)</f>
        <v/>
      </c>
      <c r="U18" s="7">
        <f>IF($W18="","",N18+Q18+L18)</f>
        <v/>
      </c>
      <c r="V18" s="7">
        <f>IF($W18="","",U18-S18-J18)</f>
        <v/>
      </c>
      <c r="W18" s="13">
        <f>IF(ROWS($W$2:$W18)&lt;=MAX('Per Line'!$AG$2:$AG$1501),MATCH(ROWS($W$2:$W18),'Per Line'!$AG$2:$AG$1501,0),"")</f>
        <v/>
      </c>
    </row>
    <row r="19">
      <c r="A19" s="12" t="n"/>
      <c r="B19">
        <f>IF($W19="","",INDEX('Per Line'!$B$2:$B$1501,$W19)&amp;"")</f>
        <v/>
      </c>
      <c r="C19">
        <f>IF($W19="","",INDEX('Per Line'!$A$2:$A$1501,$W19))</f>
        <v/>
      </c>
      <c r="D19" s="11">
        <f>IF($W19="","",INDEX('Per Line'!$C$2:$C$1501,$W19))</f>
        <v/>
      </c>
      <c r="E19">
        <f>IF($W19="","",INDEX('Per Line'!$D$2:$D$1501,$W19)&amp;"")</f>
        <v/>
      </c>
      <c r="F19">
        <f>IF($W19="","",INDEX('Per Line'!$F$2:$F$1501,$W19)&amp;"")</f>
        <v/>
      </c>
      <c r="G19">
        <f>IF($W19="","",INDEX('Per Line'!$G$2:$G$1501,$W19)&amp;"")</f>
        <v/>
      </c>
      <c r="H19">
        <f>IF($W19="","",INDEX('Per Line'!$H$2:$H$1501,$W19)&amp;"")</f>
        <v/>
      </c>
      <c r="I19">
        <f>IF($W19="","",INDEX('Per Line'!$I$2:$I$1501,$W19))</f>
        <v/>
      </c>
      <c r="J19" s="7">
        <f>IF($W19="","",I19*U19/100)</f>
        <v/>
      </c>
      <c r="K19">
        <f>IF($W19="","",INDEX('Per Line'!$U$2:$U$1501,$W19)&amp;"")</f>
        <v/>
      </c>
      <c r="L19" s="7">
        <f>IF($W19="","",SUMIFS('Per Line'!$Q$2:$Q$1501,'Per Line'!$B$2:$B$1501,$B19,'Per Line'!$AI$2:$AI$1501,1))</f>
        <v/>
      </c>
      <c r="M19">
        <f>IF($W19="","",Settings!$C$7)</f>
        <v/>
      </c>
      <c r="N19" s="7">
        <f>IF($W19="","",SUMIFS('Per Line'!$Q$2:$Q$1501,'Per Line'!$B$2:$B$1501,$B19,'Per Line'!$AH$2:$AH$1501,0,'Per Line'!$AI$2:$AI$1501,0))</f>
        <v/>
      </c>
      <c r="O19" s="7">
        <f>IF($W19="","",N19*M19)</f>
        <v/>
      </c>
      <c r="P19">
        <f>IF($W19="","",Settings!$C$6)</f>
        <v/>
      </c>
      <c r="Q19" s="7">
        <f>IF($W19="","",SUMIFS('Per Line'!$Q$2:$Q$1501,'Per Line'!$B$2:$B$1501,$B19,'Per Line'!$AH$2:$AH$1501,1,'Per Line'!$AI$2:$AI$1501,0))</f>
        <v/>
      </c>
      <c r="R19" s="7">
        <f>IF($W19="","",Q19*P19)</f>
        <v/>
      </c>
      <c r="S19" s="7">
        <f>IF($W19="","",R19+O19)</f>
        <v/>
      </c>
      <c r="T19" s="7">
        <f>IF($W19="","",U19-S19)</f>
        <v/>
      </c>
      <c r="U19" s="7">
        <f>IF($W19="","",N19+Q19+L19)</f>
        <v/>
      </c>
      <c r="V19" s="7">
        <f>IF($W19="","",U19-S19-J19)</f>
        <v/>
      </c>
      <c r="W19" s="13">
        <f>IF(ROWS($W$2:$W19)&lt;=MAX('Per Line'!$AG$2:$AG$1501),MATCH(ROWS($W$2:$W19),'Per Line'!$AG$2:$AG$1501,0),"")</f>
        <v/>
      </c>
    </row>
    <row r="20">
      <c r="A20" s="12" t="n"/>
      <c r="B20">
        <f>IF($W20="","",INDEX('Per Line'!$B$2:$B$1501,$W20)&amp;"")</f>
        <v/>
      </c>
      <c r="C20">
        <f>IF($W20="","",INDEX('Per Line'!$A$2:$A$1501,$W20))</f>
        <v/>
      </c>
      <c r="D20" s="11">
        <f>IF($W20="","",INDEX('Per Line'!$C$2:$C$1501,$W20))</f>
        <v/>
      </c>
      <c r="E20">
        <f>IF($W20="","",INDEX('Per Line'!$D$2:$D$1501,$W20)&amp;"")</f>
        <v/>
      </c>
      <c r="F20">
        <f>IF($W20="","",INDEX('Per Line'!$F$2:$F$1501,$W20)&amp;"")</f>
        <v/>
      </c>
      <c r="G20">
        <f>IF($W20="","",INDEX('Per Line'!$G$2:$G$1501,$W20)&amp;"")</f>
        <v/>
      </c>
      <c r="H20">
        <f>IF($W20="","",INDEX('Per Line'!$H$2:$H$1501,$W20)&amp;"")</f>
        <v/>
      </c>
      <c r="I20">
        <f>IF($W20="","",INDEX('Per Line'!$I$2:$I$1501,$W20))</f>
        <v/>
      </c>
      <c r="J20" s="7">
        <f>IF($W20="","",I20*U20/100)</f>
        <v/>
      </c>
      <c r="K20">
        <f>IF($W20="","",INDEX('Per Line'!$U$2:$U$1501,$W20)&amp;"")</f>
        <v/>
      </c>
      <c r="L20" s="7">
        <f>IF($W20="","",SUMIFS('Per Line'!$Q$2:$Q$1501,'Per Line'!$B$2:$B$1501,$B20,'Per Line'!$AI$2:$AI$1501,1))</f>
        <v/>
      </c>
      <c r="M20">
        <f>IF($W20="","",Settings!$C$7)</f>
        <v/>
      </c>
      <c r="N20" s="7">
        <f>IF($W20="","",SUMIFS('Per Line'!$Q$2:$Q$1501,'Per Line'!$B$2:$B$1501,$B20,'Per Line'!$AH$2:$AH$1501,0,'Per Line'!$AI$2:$AI$1501,0))</f>
        <v/>
      </c>
      <c r="O20" s="7">
        <f>IF($W20="","",N20*M20)</f>
        <v/>
      </c>
      <c r="P20">
        <f>IF($W20="","",Settings!$C$6)</f>
        <v/>
      </c>
      <c r="Q20" s="7">
        <f>IF($W20="","",SUMIFS('Per Line'!$Q$2:$Q$1501,'Per Line'!$B$2:$B$1501,$B20,'Per Line'!$AH$2:$AH$1501,1,'Per Line'!$AI$2:$AI$1501,0))</f>
        <v/>
      </c>
      <c r="R20" s="7">
        <f>IF($W20="","",Q20*P20)</f>
        <v/>
      </c>
      <c r="S20" s="7">
        <f>IF($W20="","",R20+O20)</f>
        <v/>
      </c>
      <c r="T20" s="7">
        <f>IF($W20="","",U20-S20)</f>
        <v/>
      </c>
      <c r="U20" s="7">
        <f>IF($W20="","",N20+Q20+L20)</f>
        <v/>
      </c>
      <c r="V20" s="7">
        <f>IF($W20="","",U20-S20-J20)</f>
        <v/>
      </c>
      <c r="W20" s="13">
        <f>IF(ROWS($W$2:$W20)&lt;=MAX('Per Line'!$AG$2:$AG$1501),MATCH(ROWS($W$2:$W20),'Per Line'!$AG$2:$AG$1501,0),"")</f>
        <v/>
      </c>
    </row>
    <row r="21">
      <c r="A21" s="12" t="n"/>
      <c r="B21">
        <f>IF($W21="","",INDEX('Per Line'!$B$2:$B$1501,$W21)&amp;"")</f>
        <v/>
      </c>
      <c r="C21">
        <f>IF($W21="","",INDEX('Per Line'!$A$2:$A$1501,$W21))</f>
        <v/>
      </c>
      <c r="D21" s="11">
        <f>IF($W21="","",INDEX('Per Line'!$C$2:$C$1501,$W21))</f>
        <v/>
      </c>
      <c r="E21">
        <f>IF($W21="","",INDEX('Per Line'!$D$2:$D$1501,$W21)&amp;"")</f>
        <v/>
      </c>
      <c r="F21">
        <f>IF($W21="","",INDEX('Per Line'!$F$2:$F$1501,$W21)&amp;"")</f>
        <v/>
      </c>
      <c r="G21">
        <f>IF($W21="","",INDEX('Per Line'!$G$2:$G$1501,$W21)&amp;"")</f>
        <v/>
      </c>
      <c r="H21">
        <f>IF($W21="","",INDEX('Per Line'!$H$2:$H$1501,$W21)&amp;"")</f>
        <v/>
      </c>
      <c r="I21">
        <f>IF($W21="","",INDEX('Per Line'!$I$2:$I$1501,$W21))</f>
        <v/>
      </c>
      <c r="J21" s="7">
        <f>IF($W21="","",I21*U21/100)</f>
        <v/>
      </c>
      <c r="K21">
        <f>IF($W21="","",INDEX('Per Line'!$U$2:$U$1501,$W21)&amp;"")</f>
        <v/>
      </c>
      <c r="L21" s="7">
        <f>IF($W21="","",SUMIFS('Per Line'!$Q$2:$Q$1501,'Per Line'!$B$2:$B$1501,$B21,'Per Line'!$AI$2:$AI$1501,1))</f>
        <v/>
      </c>
      <c r="M21">
        <f>IF($W21="","",Settings!$C$7)</f>
        <v/>
      </c>
      <c r="N21" s="7">
        <f>IF($W21="","",SUMIFS('Per Line'!$Q$2:$Q$1501,'Per Line'!$B$2:$B$1501,$B21,'Per Line'!$AH$2:$AH$1501,0,'Per Line'!$AI$2:$AI$1501,0))</f>
        <v/>
      </c>
      <c r="O21" s="7">
        <f>IF($W21="","",N21*M21)</f>
        <v/>
      </c>
      <c r="P21">
        <f>IF($W21="","",Settings!$C$6)</f>
        <v/>
      </c>
      <c r="Q21" s="7">
        <f>IF($W21="","",SUMIFS('Per Line'!$Q$2:$Q$1501,'Per Line'!$B$2:$B$1501,$B21,'Per Line'!$AH$2:$AH$1501,1,'Per Line'!$AI$2:$AI$1501,0))</f>
        <v/>
      </c>
      <c r="R21" s="7">
        <f>IF($W21="","",Q21*P21)</f>
        <v/>
      </c>
      <c r="S21" s="7">
        <f>IF($W21="","",R21+O21)</f>
        <v/>
      </c>
      <c r="T21" s="7">
        <f>IF($W21="","",U21-S21)</f>
        <v/>
      </c>
      <c r="U21" s="7">
        <f>IF($W21="","",N21+Q21+L21)</f>
        <v/>
      </c>
      <c r="V21" s="7">
        <f>IF($W21="","",U21-S21-J21)</f>
        <v/>
      </c>
      <c r="W21" s="13">
        <f>IF(ROWS($W$2:$W21)&lt;=MAX('Per Line'!$AG$2:$AG$1501),MATCH(ROWS($W$2:$W21),'Per Line'!$AG$2:$AG$1501,0),"")</f>
        <v/>
      </c>
    </row>
    <row r="22">
      <c r="A22" s="12" t="n"/>
      <c r="B22">
        <f>IF($W22="","",INDEX('Per Line'!$B$2:$B$1501,$W22)&amp;"")</f>
        <v/>
      </c>
      <c r="C22">
        <f>IF($W22="","",INDEX('Per Line'!$A$2:$A$1501,$W22))</f>
        <v/>
      </c>
      <c r="D22" s="11">
        <f>IF($W22="","",INDEX('Per Line'!$C$2:$C$1501,$W22))</f>
        <v/>
      </c>
      <c r="E22">
        <f>IF($W22="","",INDEX('Per Line'!$D$2:$D$1501,$W22)&amp;"")</f>
        <v/>
      </c>
      <c r="F22">
        <f>IF($W22="","",INDEX('Per Line'!$F$2:$F$1501,$W22)&amp;"")</f>
        <v/>
      </c>
      <c r="G22">
        <f>IF($W22="","",INDEX('Per Line'!$G$2:$G$1501,$W22)&amp;"")</f>
        <v/>
      </c>
      <c r="H22">
        <f>IF($W22="","",INDEX('Per Line'!$H$2:$H$1501,$W22)&amp;"")</f>
        <v/>
      </c>
      <c r="I22">
        <f>IF($W22="","",INDEX('Per Line'!$I$2:$I$1501,$W22))</f>
        <v/>
      </c>
      <c r="J22" s="7">
        <f>IF($W22="","",I22*U22/100)</f>
        <v/>
      </c>
      <c r="K22">
        <f>IF($W22="","",INDEX('Per Line'!$U$2:$U$1501,$W22)&amp;"")</f>
        <v/>
      </c>
      <c r="L22" s="7">
        <f>IF($W22="","",SUMIFS('Per Line'!$Q$2:$Q$1501,'Per Line'!$B$2:$B$1501,$B22,'Per Line'!$AI$2:$AI$1501,1))</f>
        <v/>
      </c>
      <c r="M22">
        <f>IF($W22="","",Settings!$C$7)</f>
        <v/>
      </c>
      <c r="N22" s="7">
        <f>IF($W22="","",SUMIFS('Per Line'!$Q$2:$Q$1501,'Per Line'!$B$2:$B$1501,$B22,'Per Line'!$AH$2:$AH$1501,0,'Per Line'!$AI$2:$AI$1501,0))</f>
        <v/>
      </c>
      <c r="O22" s="7">
        <f>IF($W22="","",N22*M22)</f>
        <v/>
      </c>
      <c r="P22">
        <f>IF($W22="","",Settings!$C$6)</f>
        <v/>
      </c>
      <c r="Q22" s="7">
        <f>IF($W22="","",SUMIFS('Per Line'!$Q$2:$Q$1501,'Per Line'!$B$2:$B$1501,$B22,'Per Line'!$AH$2:$AH$1501,1,'Per Line'!$AI$2:$AI$1501,0))</f>
        <v/>
      </c>
      <c r="R22" s="7">
        <f>IF($W22="","",Q22*P22)</f>
        <v/>
      </c>
      <c r="S22" s="7">
        <f>IF($W22="","",R22+O22)</f>
        <v/>
      </c>
      <c r="T22" s="7">
        <f>IF($W22="","",U22-S22)</f>
        <v/>
      </c>
      <c r="U22" s="7">
        <f>IF($W22="","",N22+Q22+L22)</f>
        <v/>
      </c>
      <c r="V22" s="7">
        <f>IF($W22="","",U22-S22-J22)</f>
        <v/>
      </c>
      <c r="W22" s="13">
        <f>IF(ROWS($W$2:$W22)&lt;=MAX('Per Line'!$AG$2:$AG$1501),MATCH(ROWS($W$2:$W22),'Per Line'!$AG$2:$AG$1501,0),"")</f>
        <v/>
      </c>
    </row>
    <row r="23">
      <c r="A23" s="12" t="n"/>
      <c r="B23">
        <f>IF($W23="","",INDEX('Per Line'!$B$2:$B$1501,$W23)&amp;"")</f>
        <v/>
      </c>
      <c r="C23">
        <f>IF($W23="","",INDEX('Per Line'!$A$2:$A$1501,$W23))</f>
        <v/>
      </c>
      <c r="D23" s="11">
        <f>IF($W23="","",INDEX('Per Line'!$C$2:$C$1501,$W23))</f>
        <v/>
      </c>
      <c r="E23">
        <f>IF($W23="","",INDEX('Per Line'!$D$2:$D$1501,$W23)&amp;"")</f>
        <v/>
      </c>
      <c r="F23">
        <f>IF($W23="","",INDEX('Per Line'!$F$2:$F$1501,$W23)&amp;"")</f>
        <v/>
      </c>
      <c r="G23">
        <f>IF($W23="","",INDEX('Per Line'!$G$2:$G$1501,$W23)&amp;"")</f>
        <v/>
      </c>
      <c r="H23">
        <f>IF($W23="","",INDEX('Per Line'!$H$2:$H$1501,$W23)&amp;"")</f>
        <v/>
      </c>
      <c r="I23">
        <f>IF($W23="","",INDEX('Per Line'!$I$2:$I$1501,$W23))</f>
        <v/>
      </c>
      <c r="J23" s="7">
        <f>IF($W23="","",I23*U23/100)</f>
        <v/>
      </c>
      <c r="K23">
        <f>IF($W23="","",INDEX('Per Line'!$U$2:$U$1501,$W23)&amp;"")</f>
        <v/>
      </c>
      <c r="L23" s="7">
        <f>IF($W23="","",SUMIFS('Per Line'!$Q$2:$Q$1501,'Per Line'!$B$2:$B$1501,$B23,'Per Line'!$AI$2:$AI$1501,1))</f>
        <v/>
      </c>
      <c r="M23">
        <f>IF($W23="","",Settings!$C$7)</f>
        <v/>
      </c>
      <c r="N23" s="7">
        <f>IF($W23="","",SUMIFS('Per Line'!$Q$2:$Q$1501,'Per Line'!$B$2:$B$1501,$B23,'Per Line'!$AH$2:$AH$1501,0,'Per Line'!$AI$2:$AI$1501,0))</f>
        <v/>
      </c>
      <c r="O23" s="7">
        <f>IF($W23="","",N23*M23)</f>
        <v/>
      </c>
      <c r="P23">
        <f>IF($W23="","",Settings!$C$6)</f>
        <v/>
      </c>
      <c r="Q23" s="7">
        <f>IF($W23="","",SUMIFS('Per Line'!$Q$2:$Q$1501,'Per Line'!$B$2:$B$1501,$B23,'Per Line'!$AH$2:$AH$1501,1,'Per Line'!$AI$2:$AI$1501,0))</f>
        <v/>
      </c>
      <c r="R23" s="7">
        <f>IF($W23="","",Q23*P23)</f>
        <v/>
      </c>
      <c r="S23" s="7">
        <f>IF($W23="","",R23+O23)</f>
        <v/>
      </c>
      <c r="T23" s="7">
        <f>IF($W23="","",U23-S23)</f>
        <v/>
      </c>
      <c r="U23" s="7">
        <f>IF($W23="","",N23+Q23+L23)</f>
        <v/>
      </c>
      <c r="V23" s="7">
        <f>IF($W23="","",U23-S23-J23)</f>
        <v/>
      </c>
      <c r="W23" s="13">
        <f>IF(ROWS($W$2:$W23)&lt;=MAX('Per Line'!$AG$2:$AG$1501),MATCH(ROWS($W$2:$W23),'Per Line'!$AG$2:$AG$1501,0),"")</f>
        <v/>
      </c>
    </row>
    <row r="24">
      <c r="A24" s="12" t="n"/>
      <c r="B24">
        <f>IF($W24="","",INDEX('Per Line'!$B$2:$B$1501,$W24)&amp;"")</f>
        <v/>
      </c>
      <c r="C24">
        <f>IF($W24="","",INDEX('Per Line'!$A$2:$A$1501,$W24))</f>
        <v/>
      </c>
      <c r="D24" s="11">
        <f>IF($W24="","",INDEX('Per Line'!$C$2:$C$1501,$W24))</f>
        <v/>
      </c>
      <c r="E24">
        <f>IF($W24="","",INDEX('Per Line'!$D$2:$D$1501,$W24)&amp;"")</f>
        <v/>
      </c>
      <c r="F24">
        <f>IF($W24="","",INDEX('Per Line'!$F$2:$F$1501,$W24)&amp;"")</f>
        <v/>
      </c>
      <c r="G24">
        <f>IF($W24="","",INDEX('Per Line'!$G$2:$G$1501,$W24)&amp;"")</f>
        <v/>
      </c>
      <c r="H24">
        <f>IF($W24="","",INDEX('Per Line'!$H$2:$H$1501,$W24)&amp;"")</f>
        <v/>
      </c>
      <c r="I24">
        <f>IF($W24="","",INDEX('Per Line'!$I$2:$I$1501,$W24))</f>
        <v/>
      </c>
      <c r="J24" s="7">
        <f>IF($W24="","",I24*U24/100)</f>
        <v/>
      </c>
      <c r="K24">
        <f>IF($W24="","",INDEX('Per Line'!$U$2:$U$1501,$W24)&amp;"")</f>
        <v/>
      </c>
      <c r="L24" s="7">
        <f>IF($W24="","",SUMIFS('Per Line'!$Q$2:$Q$1501,'Per Line'!$B$2:$B$1501,$B24,'Per Line'!$AI$2:$AI$1501,1))</f>
        <v/>
      </c>
      <c r="M24">
        <f>IF($W24="","",Settings!$C$7)</f>
        <v/>
      </c>
      <c r="N24" s="7">
        <f>IF($W24="","",SUMIFS('Per Line'!$Q$2:$Q$1501,'Per Line'!$B$2:$B$1501,$B24,'Per Line'!$AH$2:$AH$1501,0,'Per Line'!$AI$2:$AI$1501,0))</f>
        <v/>
      </c>
      <c r="O24" s="7">
        <f>IF($W24="","",N24*M24)</f>
        <v/>
      </c>
      <c r="P24">
        <f>IF($W24="","",Settings!$C$6)</f>
        <v/>
      </c>
      <c r="Q24" s="7">
        <f>IF($W24="","",SUMIFS('Per Line'!$Q$2:$Q$1501,'Per Line'!$B$2:$B$1501,$B24,'Per Line'!$AH$2:$AH$1501,1,'Per Line'!$AI$2:$AI$1501,0))</f>
        <v/>
      </c>
      <c r="R24" s="7">
        <f>IF($W24="","",Q24*P24)</f>
        <v/>
      </c>
      <c r="S24" s="7">
        <f>IF($W24="","",R24+O24)</f>
        <v/>
      </c>
      <c r="T24" s="7">
        <f>IF($W24="","",U24-S24)</f>
        <v/>
      </c>
      <c r="U24" s="7">
        <f>IF($W24="","",N24+Q24+L24)</f>
        <v/>
      </c>
      <c r="V24" s="7">
        <f>IF($W24="","",U24-S24-J24)</f>
        <v/>
      </c>
      <c r="W24" s="13">
        <f>IF(ROWS($W$2:$W24)&lt;=MAX('Per Line'!$AG$2:$AG$1501),MATCH(ROWS($W$2:$W24),'Per Line'!$AG$2:$AG$1501,0),"")</f>
        <v/>
      </c>
    </row>
    <row r="25">
      <c r="A25" s="12" t="n"/>
      <c r="B25">
        <f>IF($W25="","",INDEX('Per Line'!$B$2:$B$1501,$W25)&amp;"")</f>
        <v/>
      </c>
      <c r="C25">
        <f>IF($W25="","",INDEX('Per Line'!$A$2:$A$1501,$W25))</f>
        <v/>
      </c>
      <c r="D25" s="11">
        <f>IF($W25="","",INDEX('Per Line'!$C$2:$C$1501,$W25))</f>
        <v/>
      </c>
      <c r="E25">
        <f>IF($W25="","",INDEX('Per Line'!$D$2:$D$1501,$W25)&amp;"")</f>
        <v/>
      </c>
      <c r="F25">
        <f>IF($W25="","",INDEX('Per Line'!$F$2:$F$1501,$W25)&amp;"")</f>
        <v/>
      </c>
      <c r="G25">
        <f>IF($W25="","",INDEX('Per Line'!$G$2:$G$1501,$W25)&amp;"")</f>
        <v/>
      </c>
      <c r="H25">
        <f>IF($W25="","",INDEX('Per Line'!$H$2:$H$1501,$W25)&amp;"")</f>
        <v/>
      </c>
      <c r="I25">
        <f>IF($W25="","",INDEX('Per Line'!$I$2:$I$1501,$W25))</f>
        <v/>
      </c>
      <c r="J25" s="7">
        <f>IF($W25="","",I25*U25/100)</f>
        <v/>
      </c>
      <c r="K25">
        <f>IF($W25="","",INDEX('Per Line'!$U$2:$U$1501,$W25)&amp;"")</f>
        <v/>
      </c>
      <c r="L25" s="7">
        <f>IF($W25="","",SUMIFS('Per Line'!$Q$2:$Q$1501,'Per Line'!$B$2:$B$1501,$B25,'Per Line'!$AI$2:$AI$1501,1))</f>
        <v/>
      </c>
      <c r="M25">
        <f>IF($W25="","",Settings!$C$7)</f>
        <v/>
      </c>
      <c r="N25" s="7">
        <f>IF($W25="","",SUMIFS('Per Line'!$Q$2:$Q$1501,'Per Line'!$B$2:$B$1501,$B25,'Per Line'!$AH$2:$AH$1501,0,'Per Line'!$AI$2:$AI$1501,0))</f>
        <v/>
      </c>
      <c r="O25" s="7">
        <f>IF($W25="","",N25*M25)</f>
        <v/>
      </c>
      <c r="P25">
        <f>IF($W25="","",Settings!$C$6)</f>
        <v/>
      </c>
      <c r="Q25" s="7">
        <f>IF($W25="","",SUMIFS('Per Line'!$Q$2:$Q$1501,'Per Line'!$B$2:$B$1501,$B25,'Per Line'!$AH$2:$AH$1501,1,'Per Line'!$AI$2:$AI$1501,0))</f>
        <v/>
      </c>
      <c r="R25" s="7">
        <f>IF($W25="","",Q25*P25)</f>
        <v/>
      </c>
      <c r="S25" s="7">
        <f>IF($W25="","",R25+O25)</f>
        <v/>
      </c>
      <c r="T25" s="7">
        <f>IF($W25="","",U25-S25)</f>
        <v/>
      </c>
      <c r="U25" s="7">
        <f>IF($W25="","",N25+Q25+L25)</f>
        <v/>
      </c>
      <c r="V25" s="7">
        <f>IF($W25="","",U25-S25-J25)</f>
        <v/>
      </c>
      <c r="W25" s="13">
        <f>IF(ROWS($W$2:$W25)&lt;=MAX('Per Line'!$AG$2:$AG$1501),MATCH(ROWS($W$2:$W25),'Per Line'!$AG$2:$AG$1501,0),"")</f>
        <v/>
      </c>
    </row>
    <row r="26">
      <c r="A26" s="12" t="n"/>
      <c r="B26">
        <f>IF($W26="","",INDEX('Per Line'!$B$2:$B$1501,$W26)&amp;"")</f>
        <v/>
      </c>
      <c r="C26">
        <f>IF($W26="","",INDEX('Per Line'!$A$2:$A$1501,$W26))</f>
        <v/>
      </c>
      <c r="D26" s="11">
        <f>IF($W26="","",INDEX('Per Line'!$C$2:$C$1501,$W26))</f>
        <v/>
      </c>
      <c r="E26">
        <f>IF($W26="","",INDEX('Per Line'!$D$2:$D$1501,$W26)&amp;"")</f>
        <v/>
      </c>
      <c r="F26">
        <f>IF($W26="","",INDEX('Per Line'!$F$2:$F$1501,$W26)&amp;"")</f>
        <v/>
      </c>
      <c r="G26">
        <f>IF($W26="","",INDEX('Per Line'!$G$2:$G$1501,$W26)&amp;"")</f>
        <v/>
      </c>
      <c r="H26">
        <f>IF($W26="","",INDEX('Per Line'!$H$2:$H$1501,$W26)&amp;"")</f>
        <v/>
      </c>
      <c r="I26">
        <f>IF($W26="","",INDEX('Per Line'!$I$2:$I$1501,$W26))</f>
        <v/>
      </c>
      <c r="J26" s="7">
        <f>IF($W26="","",I26*U26/100)</f>
        <v/>
      </c>
      <c r="K26">
        <f>IF($W26="","",INDEX('Per Line'!$U$2:$U$1501,$W26)&amp;"")</f>
        <v/>
      </c>
      <c r="L26" s="7">
        <f>IF($W26="","",SUMIFS('Per Line'!$Q$2:$Q$1501,'Per Line'!$B$2:$B$1501,$B26,'Per Line'!$AI$2:$AI$1501,1))</f>
        <v/>
      </c>
      <c r="M26">
        <f>IF($W26="","",Settings!$C$7)</f>
        <v/>
      </c>
      <c r="N26" s="7">
        <f>IF($W26="","",SUMIFS('Per Line'!$Q$2:$Q$1501,'Per Line'!$B$2:$B$1501,$B26,'Per Line'!$AH$2:$AH$1501,0,'Per Line'!$AI$2:$AI$1501,0))</f>
        <v/>
      </c>
      <c r="O26" s="7">
        <f>IF($W26="","",N26*M26)</f>
        <v/>
      </c>
      <c r="P26">
        <f>IF($W26="","",Settings!$C$6)</f>
        <v/>
      </c>
      <c r="Q26" s="7">
        <f>IF($W26="","",SUMIFS('Per Line'!$Q$2:$Q$1501,'Per Line'!$B$2:$B$1501,$B26,'Per Line'!$AH$2:$AH$1501,1,'Per Line'!$AI$2:$AI$1501,0))</f>
        <v/>
      </c>
      <c r="R26" s="7">
        <f>IF($W26="","",Q26*P26)</f>
        <v/>
      </c>
      <c r="S26" s="7">
        <f>IF($W26="","",R26+O26)</f>
        <v/>
      </c>
      <c r="T26" s="7">
        <f>IF($W26="","",U26-S26)</f>
        <v/>
      </c>
      <c r="U26" s="7">
        <f>IF($W26="","",N26+Q26+L26)</f>
        <v/>
      </c>
      <c r="V26" s="7">
        <f>IF($W26="","",U26-S26-J26)</f>
        <v/>
      </c>
      <c r="W26" s="13">
        <f>IF(ROWS($W$2:$W26)&lt;=MAX('Per Line'!$AG$2:$AG$1501),MATCH(ROWS($W$2:$W26),'Per Line'!$AG$2:$AG$1501,0),"")</f>
        <v/>
      </c>
    </row>
    <row r="27">
      <c r="A27" s="12" t="n"/>
      <c r="B27">
        <f>IF($W27="","",INDEX('Per Line'!$B$2:$B$1501,$W27)&amp;"")</f>
        <v/>
      </c>
      <c r="C27">
        <f>IF($W27="","",INDEX('Per Line'!$A$2:$A$1501,$W27))</f>
        <v/>
      </c>
      <c r="D27" s="11">
        <f>IF($W27="","",INDEX('Per Line'!$C$2:$C$1501,$W27))</f>
        <v/>
      </c>
      <c r="E27">
        <f>IF($W27="","",INDEX('Per Line'!$D$2:$D$1501,$W27)&amp;"")</f>
        <v/>
      </c>
      <c r="F27">
        <f>IF($W27="","",INDEX('Per Line'!$F$2:$F$1501,$W27)&amp;"")</f>
        <v/>
      </c>
      <c r="G27">
        <f>IF($W27="","",INDEX('Per Line'!$G$2:$G$1501,$W27)&amp;"")</f>
        <v/>
      </c>
      <c r="H27">
        <f>IF($W27="","",INDEX('Per Line'!$H$2:$H$1501,$W27)&amp;"")</f>
        <v/>
      </c>
      <c r="I27">
        <f>IF($W27="","",INDEX('Per Line'!$I$2:$I$1501,$W27))</f>
        <v/>
      </c>
      <c r="J27" s="7">
        <f>IF($W27="","",I27*U27/100)</f>
        <v/>
      </c>
      <c r="K27">
        <f>IF($W27="","",INDEX('Per Line'!$U$2:$U$1501,$W27)&amp;"")</f>
        <v/>
      </c>
      <c r="L27" s="7">
        <f>IF($W27="","",SUMIFS('Per Line'!$Q$2:$Q$1501,'Per Line'!$B$2:$B$1501,$B27,'Per Line'!$AI$2:$AI$1501,1))</f>
        <v/>
      </c>
      <c r="M27">
        <f>IF($W27="","",Settings!$C$7)</f>
        <v/>
      </c>
      <c r="N27" s="7">
        <f>IF($W27="","",SUMIFS('Per Line'!$Q$2:$Q$1501,'Per Line'!$B$2:$B$1501,$B27,'Per Line'!$AH$2:$AH$1501,0,'Per Line'!$AI$2:$AI$1501,0))</f>
        <v/>
      </c>
      <c r="O27" s="7">
        <f>IF($W27="","",N27*M27)</f>
        <v/>
      </c>
      <c r="P27">
        <f>IF($W27="","",Settings!$C$6)</f>
        <v/>
      </c>
      <c r="Q27" s="7">
        <f>IF($W27="","",SUMIFS('Per Line'!$Q$2:$Q$1501,'Per Line'!$B$2:$B$1501,$B27,'Per Line'!$AH$2:$AH$1501,1,'Per Line'!$AI$2:$AI$1501,0))</f>
        <v/>
      </c>
      <c r="R27" s="7">
        <f>IF($W27="","",Q27*P27)</f>
        <v/>
      </c>
      <c r="S27" s="7">
        <f>IF($W27="","",R27+O27)</f>
        <v/>
      </c>
      <c r="T27" s="7">
        <f>IF($W27="","",U27-S27)</f>
        <v/>
      </c>
      <c r="U27" s="7">
        <f>IF($W27="","",N27+Q27+L27)</f>
        <v/>
      </c>
      <c r="V27" s="7">
        <f>IF($W27="","",U27-S27-J27)</f>
        <v/>
      </c>
      <c r="W27" s="13">
        <f>IF(ROWS($W$2:$W27)&lt;=MAX('Per Line'!$AG$2:$AG$1501),MATCH(ROWS($W$2:$W27),'Per Line'!$AG$2:$AG$1501,0),"")</f>
        <v/>
      </c>
    </row>
    <row r="28">
      <c r="A28" s="12" t="n"/>
      <c r="B28">
        <f>IF($W28="","",INDEX('Per Line'!$B$2:$B$1501,$W28)&amp;"")</f>
        <v/>
      </c>
      <c r="C28">
        <f>IF($W28="","",INDEX('Per Line'!$A$2:$A$1501,$W28))</f>
        <v/>
      </c>
      <c r="D28" s="11">
        <f>IF($W28="","",INDEX('Per Line'!$C$2:$C$1501,$W28))</f>
        <v/>
      </c>
      <c r="E28">
        <f>IF($W28="","",INDEX('Per Line'!$D$2:$D$1501,$W28)&amp;"")</f>
        <v/>
      </c>
      <c r="F28">
        <f>IF($W28="","",INDEX('Per Line'!$F$2:$F$1501,$W28)&amp;"")</f>
        <v/>
      </c>
      <c r="G28">
        <f>IF($W28="","",INDEX('Per Line'!$G$2:$G$1501,$W28)&amp;"")</f>
        <v/>
      </c>
      <c r="H28">
        <f>IF($W28="","",INDEX('Per Line'!$H$2:$H$1501,$W28)&amp;"")</f>
        <v/>
      </c>
      <c r="I28">
        <f>IF($W28="","",INDEX('Per Line'!$I$2:$I$1501,$W28))</f>
        <v/>
      </c>
      <c r="J28" s="7">
        <f>IF($W28="","",I28*U28/100)</f>
        <v/>
      </c>
      <c r="K28">
        <f>IF($W28="","",INDEX('Per Line'!$U$2:$U$1501,$W28)&amp;"")</f>
        <v/>
      </c>
      <c r="L28" s="7">
        <f>IF($W28="","",SUMIFS('Per Line'!$Q$2:$Q$1501,'Per Line'!$B$2:$B$1501,$B28,'Per Line'!$AI$2:$AI$1501,1))</f>
        <v/>
      </c>
      <c r="M28">
        <f>IF($W28="","",Settings!$C$7)</f>
        <v/>
      </c>
      <c r="N28" s="7">
        <f>IF($W28="","",SUMIFS('Per Line'!$Q$2:$Q$1501,'Per Line'!$B$2:$B$1501,$B28,'Per Line'!$AH$2:$AH$1501,0,'Per Line'!$AI$2:$AI$1501,0))</f>
        <v/>
      </c>
      <c r="O28" s="7">
        <f>IF($W28="","",N28*M28)</f>
        <v/>
      </c>
      <c r="P28">
        <f>IF($W28="","",Settings!$C$6)</f>
        <v/>
      </c>
      <c r="Q28" s="7">
        <f>IF($W28="","",SUMIFS('Per Line'!$Q$2:$Q$1501,'Per Line'!$B$2:$B$1501,$B28,'Per Line'!$AH$2:$AH$1501,1,'Per Line'!$AI$2:$AI$1501,0))</f>
        <v/>
      </c>
      <c r="R28" s="7">
        <f>IF($W28="","",Q28*P28)</f>
        <v/>
      </c>
      <c r="S28" s="7">
        <f>IF($W28="","",R28+O28)</f>
        <v/>
      </c>
      <c r="T28" s="7">
        <f>IF($W28="","",U28-S28)</f>
        <v/>
      </c>
      <c r="U28" s="7">
        <f>IF($W28="","",N28+Q28+L28)</f>
        <v/>
      </c>
      <c r="V28" s="7">
        <f>IF($W28="","",U28-S28-J28)</f>
        <v/>
      </c>
      <c r="W28" s="13">
        <f>IF(ROWS($W$2:$W28)&lt;=MAX('Per Line'!$AG$2:$AG$1501),MATCH(ROWS($W$2:$W28),'Per Line'!$AG$2:$AG$1501,0),"")</f>
        <v/>
      </c>
    </row>
    <row r="29">
      <c r="A29" s="12" t="n"/>
      <c r="B29">
        <f>IF($W29="","",INDEX('Per Line'!$B$2:$B$1501,$W29)&amp;"")</f>
        <v/>
      </c>
      <c r="C29">
        <f>IF($W29="","",INDEX('Per Line'!$A$2:$A$1501,$W29))</f>
        <v/>
      </c>
      <c r="D29" s="11">
        <f>IF($W29="","",INDEX('Per Line'!$C$2:$C$1501,$W29))</f>
        <v/>
      </c>
      <c r="E29">
        <f>IF($W29="","",INDEX('Per Line'!$D$2:$D$1501,$W29)&amp;"")</f>
        <v/>
      </c>
      <c r="F29">
        <f>IF($W29="","",INDEX('Per Line'!$F$2:$F$1501,$W29)&amp;"")</f>
        <v/>
      </c>
      <c r="G29">
        <f>IF($W29="","",INDEX('Per Line'!$G$2:$G$1501,$W29)&amp;"")</f>
        <v/>
      </c>
      <c r="H29">
        <f>IF($W29="","",INDEX('Per Line'!$H$2:$H$1501,$W29)&amp;"")</f>
        <v/>
      </c>
      <c r="I29">
        <f>IF($W29="","",INDEX('Per Line'!$I$2:$I$1501,$W29))</f>
        <v/>
      </c>
      <c r="J29" s="7">
        <f>IF($W29="","",I29*U29/100)</f>
        <v/>
      </c>
      <c r="K29">
        <f>IF($W29="","",INDEX('Per Line'!$U$2:$U$1501,$W29)&amp;"")</f>
        <v/>
      </c>
      <c r="L29" s="7">
        <f>IF($W29="","",SUMIFS('Per Line'!$Q$2:$Q$1501,'Per Line'!$B$2:$B$1501,$B29,'Per Line'!$AI$2:$AI$1501,1))</f>
        <v/>
      </c>
      <c r="M29">
        <f>IF($W29="","",Settings!$C$7)</f>
        <v/>
      </c>
      <c r="N29" s="7">
        <f>IF($W29="","",SUMIFS('Per Line'!$Q$2:$Q$1501,'Per Line'!$B$2:$B$1501,$B29,'Per Line'!$AH$2:$AH$1501,0,'Per Line'!$AI$2:$AI$1501,0))</f>
        <v/>
      </c>
      <c r="O29" s="7">
        <f>IF($W29="","",N29*M29)</f>
        <v/>
      </c>
      <c r="P29">
        <f>IF($W29="","",Settings!$C$6)</f>
        <v/>
      </c>
      <c r="Q29" s="7">
        <f>IF($W29="","",SUMIFS('Per Line'!$Q$2:$Q$1501,'Per Line'!$B$2:$B$1501,$B29,'Per Line'!$AH$2:$AH$1501,1,'Per Line'!$AI$2:$AI$1501,0))</f>
        <v/>
      </c>
      <c r="R29" s="7">
        <f>IF($W29="","",Q29*P29)</f>
        <v/>
      </c>
      <c r="S29" s="7">
        <f>IF($W29="","",R29+O29)</f>
        <v/>
      </c>
      <c r="T29" s="7">
        <f>IF($W29="","",U29-S29)</f>
        <v/>
      </c>
      <c r="U29" s="7">
        <f>IF($W29="","",N29+Q29+L29)</f>
        <v/>
      </c>
      <c r="V29" s="7">
        <f>IF($W29="","",U29-S29-J29)</f>
        <v/>
      </c>
      <c r="W29" s="13">
        <f>IF(ROWS($W$2:$W29)&lt;=MAX('Per Line'!$AG$2:$AG$1501),MATCH(ROWS($W$2:$W29),'Per Line'!$AG$2:$AG$1501,0),"")</f>
        <v/>
      </c>
    </row>
    <row r="30">
      <c r="A30" s="12" t="n"/>
      <c r="B30">
        <f>IF($W30="","",INDEX('Per Line'!$B$2:$B$1501,$W30)&amp;"")</f>
        <v/>
      </c>
      <c r="C30">
        <f>IF($W30="","",INDEX('Per Line'!$A$2:$A$1501,$W30))</f>
        <v/>
      </c>
      <c r="D30" s="11">
        <f>IF($W30="","",INDEX('Per Line'!$C$2:$C$1501,$W30))</f>
        <v/>
      </c>
      <c r="E30">
        <f>IF($W30="","",INDEX('Per Line'!$D$2:$D$1501,$W30)&amp;"")</f>
        <v/>
      </c>
      <c r="F30">
        <f>IF($W30="","",INDEX('Per Line'!$F$2:$F$1501,$W30)&amp;"")</f>
        <v/>
      </c>
      <c r="G30">
        <f>IF($W30="","",INDEX('Per Line'!$G$2:$G$1501,$W30)&amp;"")</f>
        <v/>
      </c>
      <c r="H30">
        <f>IF($W30="","",INDEX('Per Line'!$H$2:$H$1501,$W30)&amp;"")</f>
        <v/>
      </c>
      <c r="I30">
        <f>IF($W30="","",INDEX('Per Line'!$I$2:$I$1501,$W30))</f>
        <v/>
      </c>
      <c r="J30" s="7">
        <f>IF($W30="","",I30*U30/100)</f>
        <v/>
      </c>
      <c r="K30">
        <f>IF($W30="","",INDEX('Per Line'!$U$2:$U$1501,$W30)&amp;"")</f>
        <v/>
      </c>
      <c r="L30" s="7">
        <f>IF($W30="","",SUMIFS('Per Line'!$Q$2:$Q$1501,'Per Line'!$B$2:$B$1501,$B30,'Per Line'!$AI$2:$AI$1501,1))</f>
        <v/>
      </c>
      <c r="M30">
        <f>IF($W30="","",Settings!$C$7)</f>
        <v/>
      </c>
      <c r="N30" s="7">
        <f>IF($W30="","",SUMIFS('Per Line'!$Q$2:$Q$1501,'Per Line'!$B$2:$B$1501,$B30,'Per Line'!$AH$2:$AH$1501,0,'Per Line'!$AI$2:$AI$1501,0))</f>
        <v/>
      </c>
      <c r="O30" s="7">
        <f>IF($W30="","",N30*M30)</f>
        <v/>
      </c>
      <c r="P30">
        <f>IF($W30="","",Settings!$C$6)</f>
        <v/>
      </c>
      <c r="Q30" s="7">
        <f>IF($W30="","",SUMIFS('Per Line'!$Q$2:$Q$1501,'Per Line'!$B$2:$B$1501,$B30,'Per Line'!$AH$2:$AH$1501,1,'Per Line'!$AI$2:$AI$1501,0))</f>
        <v/>
      </c>
      <c r="R30" s="7">
        <f>IF($W30="","",Q30*P30)</f>
        <v/>
      </c>
      <c r="S30" s="7">
        <f>IF($W30="","",R30+O30)</f>
        <v/>
      </c>
      <c r="T30" s="7">
        <f>IF($W30="","",U30-S30)</f>
        <v/>
      </c>
      <c r="U30" s="7">
        <f>IF($W30="","",N30+Q30+L30)</f>
        <v/>
      </c>
      <c r="V30" s="7">
        <f>IF($W30="","",U30-S30-J30)</f>
        <v/>
      </c>
      <c r="W30" s="13">
        <f>IF(ROWS($W$2:$W30)&lt;=MAX('Per Line'!$AG$2:$AG$1501),MATCH(ROWS($W$2:$W30),'Per Line'!$AG$2:$AG$1501,0),"")</f>
        <v/>
      </c>
    </row>
    <row r="31">
      <c r="A31" s="12" t="n"/>
      <c r="B31">
        <f>IF($W31="","",INDEX('Per Line'!$B$2:$B$1501,$W31)&amp;"")</f>
        <v/>
      </c>
      <c r="C31">
        <f>IF($W31="","",INDEX('Per Line'!$A$2:$A$1501,$W31))</f>
        <v/>
      </c>
      <c r="D31" s="11">
        <f>IF($W31="","",INDEX('Per Line'!$C$2:$C$1501,$W31))</f>
        <v/>
      </c>
      <c r="E31">
        <f>IF($W31="","",INDEX('Per Line'!$D$2:$D$1501,$W31)&amp;"")</f>
        <v/>
      </c>
      <c r="F31">
        <f>IF($W31="","",INDEX('Per Line'!$F$2:$F$1501,$W31)&amp;"")</f>
        <v/>
      </c>
      <c r="G31">
        <f>IF($W31="","",INDEX('Per Line'!$G$2:$G$1501,$W31)&amp;"")</f>
        <v/>
      </c>
      <c r="H31">
        <f>IF($W31="","",INDEX('Per Line'!$H$2:$H$1501,$W31)&amp;"")</f>
        <v/>
      </c>
      <c r="I31">
        <f>IF($W31="","",INDEX('Per Line'!$I$2:$I$1501,$W31))</f>
        <v/>
      </c>
      <c r="J31" s="7">
        <f>IF($W31="","",I31*U31/100)</f>
        <v/>
      </c>
      <c r="K31">
        <f>IF($W31="","",INDEX('Per Line'!$U$2:$U$1501,$W31)&amp;"")</f>
        <v/>
      </c>
      <c r="L31" s="7">
        <f>IF($W31="","",SUMIFS('Per Line'!$Q$2:$Q$1501,'Per Line'!$B$2:$B$1501,$B31,'Per Line'!$AI$2:$AI$1501,1))</f>
        <v/>
      </c>
      <c r="M31">
        <f>IF($W31="","",Settings!$C$7)</f>
        <v/>
      </c>
      <c r="N31" s="7">
        <f>IF($W31="","",SUMIFS('Per Line'!$Q$2:$Q$1501,'Per Line'!$B$2:$B$1501,$B31,'Per Line'!$AH$2:$AH$1501,0,'Per Line'!$AI$2:$AI$1501,0))</f>
        <v/>
      </c>
      <c r="O31" s="7">
        <f>IF($W31="","",N31*M31)</f>
        <v/>
      </c>
      <c r="P31">
        <f>IF($W31="","",Settings!$C$6)</f>
        <v/>
      </c>
      <c r="Q31" s="7">
        <f>IF($W31="","",SUMIFS('Per Line'!$Q$2:$Q$1501,'Per Line'!$B$2:$B$1501,$B31,'Per Line'!$AH$2:$AH$1501,1,'Per Line'!$AI$2:$AI$1501,0))</f>
        <v/>
      </c>
      <c r="R31" s="7">
        <f>IF($W31="","",Q31*P31)</f>
        <v/>
      </c>
      <c r="S31" s="7">
        <f>IF($W31="","",R31+O31)</f>
        <v/>
      </c>
      <c r="T31" s="7">
        <f>IF($W31="","",U31-S31)</f>
        <v/>
      </c>
      <c r="U31" s="7">
        <f>IF($W31="","",N31+Q31+L31)</f>
        <v/>
      </c>
      <c r="V31" s="7">
        <f>IF($W31="","",U31-S31-J31)</f>
        <v/>
      </c>
      <c r="W31" s="13">
        <f>IF(ROWS($W$2:$W31)&lt;=MAX('Per Line'!$AG$2:$AG$1501),MATCH(ROWS($W$2:$W31),'Per Line'!$AG$2:$AG$1501,0),"")</f>
        <v/>
      </c>
    </row>
    <row r="32">
      <c r="A32" s="12" t="n"/>
      <c r="B32">
        <f>IF($W32="","",INDEX('Per Line'!$B$2:$B$1501,$W32)&amp;"")</f>
        <v/>
      </c>
      <c r="C32">
        <f>IF($W32="","",INDEX('Per Line'!$A$2:$A$1501,$W32))</f>
        <v/>
      </c>
      <c r="D32" s="11">
        <f>IF($W32="","",INDEX('Per Line'!$C$2:$C$1501,$W32))</f>
        <v/>
      </c>
      <c r="E32">
        <f>IF($W32="","",INDEX('Per Line'!$D$2:$D$1501,$W32)&amp;"")</f>
        <v/>
      </c>
      <c r="F32">
        <f>IF($W32="","",INDEX('Per Line'!$F$2:$F$1501,$W32)&amp;"")</f>
        <v/>
      </c>
      <c r="G32">
        <f>IF($W32="","",INDEX('Per Line'!$G$2:$G$1501,$W32)&amp;"")</f>
        <v/>
      </c>
      <c r="H32">
        <f>IF($W32="","",INDEX('Per Line'!$H$2:$H$1501,$W32)&amp;"")</f>
        <v/>
      </c>
      <c r="I32">
        <f>IF($W32="","",INDEX('Per Line'!$I$2:$I$1501,$W32))</f>
        <v/>
      </c>
      <c r="J32" s="7">
        <f>IF($W32="","",I32*U32/100)</f>
        <v/>
      </c>
      <c r="K32">
        <f>IF($W32="","",INDEX('Per Line'!$U$2:$U$1501,$W32)&amp;"")</f>
        <v/>
      </c>
      <c r="L32" s="7">
        <f>IF($W32="","",SUMIFS('Per Line'!$Q$2:$Q$1501,'Per Line'!$B$2:$B$1501,$B32,'Per Line'!$AI$2:$AI$1501,1))</f>
        <v/>
      </c>
      <c r="M32">
        <f>IF($W32="","",Settings!$C$7)</f>
        <v/>
      </c>
      <c r="N32" s="7">
        <f>IF($W32="","",SUMIFS('Per Line'!$Q$2:$Q$1501,'Per Line'!$B$2:$B$1501,$B32,'Per Line'!$AH$2:$AH$1501,0,'Per Line'!$AI$2:$AI$1501,0))</f>
        <v/>
      </c>
      <c r="O32" s="7">
        <f>IF($W32="","",N32*M32)</f>
        <v/>
      </c>
      <c r="P32">
        <f>IF($W32="","",Settings!$C$6)</f>
        <v/>
      </c>
      <c r="Q32" s="7">
        <f>IF($W32="","",SUMIFS('Per Line'!$Q$2:$Q$1501,'Per Line'!$B$2:$B$1501,$B32,'Per Line'!$AH$2:$AH$1501,1,'Per Line'!$AI$2:$AI$1501,0))</f>
        <v/>
      </c>
      <c r="R32" s="7">
        <f>IF($W32="","",Q32*P32)</f>
        <v/>
      </c>
      <c r="S32" s="7">
        <f>IF($W32="","",R32+O32)</f>
        <v/>
      </c>
      <c r="T32" s="7">
        <f>IF($W32="","",U32-S32)</f>
        <v/>
      </c>
      <c r="U32" s="7">
        <f>IF($W32="","",N32+Q32+L32)</f>
        <v/>
      </c>
      <c r="V32" s="7">
        <f>IF($W32="","",U32-S32-J32)</f>
        <v/>
      </c>
      <c r="W32" s="13">
        <f>IF(ROWS($W$2:$W32)&lt;=MAX('Per Line'!$AG$2:$AG$1501),MATCH(ROWS($W$2:$W32),'Per Line'!$AG$2:$AG$1501,0),"")</f>
        <v/>
      </c>
    </row>
    <row r="33">
      <c r="A33" s="12" t="n"/>
      <c r="B33">
        <f>IF($W33="","",INDEX('Per Line'!$B$2:$B$1501,$W33)&amp;"")</f>
        <v/>
      </c>
      <c r="C33">
        <f>IF($W33="","",INDEX('Per Line'!$A$2:$A$1501,$W33))</f>
        <v/>
      </c>
      <c r="D33" s="11">
        <f>IF($W33="","",INDEX('Per Line'!$C$2:$C$1501,$W33))</f>
        <v/>
      </c>
      <c r="E33">
        <f>IF($W33="","",INDEX('Per Line'!$D$2:$D$1501,$W33)&amp;"")</f>
        <v/>
      </c>
      <c r="F33">
        <f>IF($W33="","",INDEX('Per Line'!$F$2:$F$1501,$W33)&amp;"")</f>
        <v/>
      </c>
      <c r="G33">
        <f>IF($W33="","",INDEX('Per Line'!$G$2:$G$1501,$W33)&amp;"")</f>
        <v/>
      </c>
      <c r="H33">
        <f>IF($W33="","",INDEX('Per Line'!$H$2:$H$1501,$W33)&amp;"")</f>
        <v/>
      </c>
      <c r="I33">
        <f>IF($W33="","",INDEX('Per Line'!$I$2:$I$1501,$W33))</f>
        <v/>
      </c>
      <c r="J33" s="7">
        <f>IF($W33="","",I33*U33/100)</f>
        <v/>
      </c>
      <c r="K33">
        <f>IF($W33="","",INDEX('Per Line'!$U$2:$U$1501,$W33)&amp;"")</f>
        <v/>
      </c>
      <c r="L33" s="7">
        <f>IF($W33="","",SUMIFS('Per Line'!$Q$2:$Q$1501,'Per Line'!$B$2:$B$1501,$B33,'Per Line'!$AI$2:$AI$1501,1))</f>
        <v/>
      </c>
      <c r="M33">
        <f>IF($W33="","",Settings!$C$7)</f>
        <v/>
      </c>
      <c r="N33" s="7">
        <f>IF($W33="","",SUMIFS('Per Line'!$Q$2:$Q$1501,'Per Line'!$B$2:$B$1501,$B33,'Per Line'!$AH$2:$AH$1501,0,'Per Line'!$AI$2:$AI$1501,0))</f>
        <v/>
      </c>
      <c r="O33" s="7">
        <f>IF($W33="","",N33*M33)</f>
        <v/>
      </c>
      <c r="P33">
        <f>IF($W33="","",Settings!$C$6)</f>
        <v/>
      </c>
      <c r="Q33" s="7">
        <f>IF($W33="","",SUMIFS('Per Line'!$Q$2:$Q$1501,'Per Line'!$B$2:$B$1501,$B33,'Per Line'!$AH$2:$AH$1501,1,'Per Line'!$AI$2:$AI$1501,0))</f>
        <v/>
      </c>
      <c r="R33" s="7">
        <f>IF($W33="","",Q33*P33)</f>
        <v/>
      </c>
      <c r="S33" s="7">
        <f>IF($W33="","",R33+O33)</f>
        <v/>
      </c>
      <c r="T33" s="7">
        <f>IF($W33="","",U33-S33)</f>
        <v/>
      </c>
      <c r="U33" s="7">
        <f>IF($W33="","",N33+Q33+L33)</f>
        <v/>
      </c>
      <c r="V33" s="7">
        <f>IF($W33="","",U33-S33-J33)</f>
        <v/>
      </c>
      <c r="W33" s="13">
        <f>IF(ROWS($W$2:$W33)&lt;=MAX('Per Line'!$AG$2:$AG$1501),MATCH(ROWS($W$2:$W33),'Per Line'!$AG$2:$AG$1501,0),"")</f>
        <v/>
      </c>
    </row>
    <row r="34">
      <c r="A34" s="12" t="n"/>
      <c r="B34">
        <f>IF($W34="","",INDEX('Per Line'!$B$2:$B$1501,$W34)&amp;"")</f>
        <v/>
      </c>
      <c r="C34">
        <f>IF($W34="","",INDEX('Per Line'!$A$2:$A$1501,$W34))</f>
        <v/>
      </c>
      <c r="D34" s="11">
        <f>IF($W34="","",INDEX('Per Line'!$C$2:$C$1501,$W34))</f>
        <v/>
      </c>
      <c r="E34">
        <f>IF($W34="","",INDEX('Per Line'!$D$2:$D$1501,$W34)&amp;"")</f>
        <v/>
      </c>
      <c r="F34">
        <f>IF($W34="","",INDEX('Per Line'!$F$2:$F$1501,$W34)&amp;"")</f>
        <v/>
      </c>
      <c r="G34">
        <f>IF($W34="","",INDEX('Per Line'!$G$2:$G$1501,$W34)&amp;"")</f>
        <v/>
      </c>
      <c r="H34">
        <f>IF($W34="","",INDEX('Per Line'!$H$2:$H$1501,$W34)&amp;"")</f>
        <v/>
      </c>
      <c r="I34">
        <f>IF($W34="","",INDEX('Per Line'!$I$2:$I$1501,$W34))</f>
        <v/>
      </c>
      <c r="J34" s="7">
        <f>IF($W34="","",I34*U34/100)</f>
        <v/>
      </c>
      <c r="K34">
        <f>IF($W34="","",INDEX('Per Line'!$U$2:$U$1501,$W34)&amp;"")</f>
        <v/>
      </c>
      <c r="L34" s="7">
        <f>IF($W34="","",SUMIFS('Per Line'!$Q$2:$Q$1501,'Per Line'!$B$2:$B$1501,$B34,'Per Line'!$AI$2:$AI$1501,1))</f>
        <v/>
      </c>
      <c r="M34">
        <f>IF($W34="","",Settings!$C$7)</f>
        <v/>
      </c>
      <c r="N34" s="7">
        <f>IF($W34="","",SUMIFS('Per Line'!$Q$2:$Q$1501,'Per Line'!$B$2:$B$1501,$B34,'Per Line'!$AH$2:$AH$1501,0,'Per Line'!$AI$2:$AI$1501,0))</f>
        <v/>
      </c>
      <c r="O34" s="7">
        <f>IF($W34="","",N34*M34)</f>
        <v/>
      </c>
      <c r="P34">
        <f>IF($W34="","",Settings!$C$6)</f>
        <v/>
      </c>
      <c r="Q34" s="7">
        <f>IF($W34="","",SUMIFS('Per Line'!$Q$2:$Q$1501,'Per Line'!$B$2:$B$1501,$B34,'Per Line'!$AH$2:$AH$1501,1,'Per Line'!$AI$2:$AI$1501,0))</f>
        <v/>
      </c>
      <c r="R34" s="7">
        <f>IF($W34="","",Q34*P34)</f>
        <v/>
      </c>
      <c r="S34" s="7">
        <f>IF($W34="","",R34+O34)</f>
        <v/>
      </c>
      <c r="T34" s="7">
        <f>IF($W34="","",U34-S34)</f>
        <v/>
      </c>
      <c r="U34" s="7">
        <f>IF($W34="","",N34+Q34+L34)</f>
        <v/>
      </c>
      <c r="V34" s="7">
        <f>IF($W34="","",U34-S34-J34)</f>
        <v/>
      </c>
      <c r="W34" s="13">
        <f>IF(ROWS($W$2:$W34)&lt;=MAX('Per Line'!$AG$2:$AG$1501),MATCH(ROWS($W$2:$W34),'Per Line'!$AG$2:$AG$1501,0),"")</f>
        <v/>
      </c>
    </row>
    <row r="35">
      <c r="A35" s="12" t="n"/>
      <c r="B35">
        <f>IF($W35="","",INDEX('Per Line'!$B$2:$B$1501,$W35)&amp;"")</f>
        <v/>
      </c>
      <c r="C35">
        <f>IF($W35="","",INDEX('Per Line'!$A$2:$A$1501,$W35))</f>
        <v/>
      </c>
      <c r="D35" s="11">
        <f>IF($W35="","",INDEX('Per Line'!$C$2:$C$1501,$W35))</f>
        <v/>
      </c>
      <c r="E35">
        <f>IF($W35="","",INDEX('Per Line'!$D$2:$D$1501,$W35)&amp;"")</f>
        <v/>
      </c>
      <c r="F35">
        <f>IF($W35="","",INDEX('Per Line'!$F$2:$F$1501,$W35)&amp;"")</f>
        <v/>
      </c>
      <c r="G35">
        <f>IF($W35="","",INDEX('Per Line'!$G$2:$G$1501,$W35)&amp;"")</f>
        <v/>
      </c>
      <c r="H35">
        <f>IF($W35="","",INDEX('Per Line'!$H$2:$H$1501,$W35)&amp;"")</f>
        <v/>
      </c>
      <c r="I35">
        <f>IF($W35="","",INDEX('Per Line'!$I$2:$I$1501,$W35))</f>
        <v/>
      </c>
      <c r="J35" s="7">
        <f>IF($W35="","",I35*U35/100)</f>
        <v/>
      </c>
      <c r="K35">
        <f>IF($W35="","",INDEX('Per Line'!$U$2:$U$1501,$W35)&amp;"")</f>
        <v/>
      </c>
      <c r="L35" s="7">
        <f>IF($W35="","",SUMIFS('Per Line'!$Q$2:$Q$1501,'Per Line'!$B$2:$B$1501,$B35,'Per Line'!$AI$2:$AI$1501,1))</f>
        <v/>
      </c>
      <c r="M35">
        <f>IF($W35="","",Settings!$C$7)</f>
        <v/>
      </c>
      <c r="N35" s="7">
        <f>IF($W35="","",SUMIFS('Per Line'!$Q$2:$Q$1501,'Per Line'!$B$2:$B$1501,$B35,'Per Line'!$AH$2:$AH$1501,0,'Per Line'!$AI$2:$AI$1501,0))</f>
        <v/>
      </c>
      <c r="O35" s="7">
        <f>IF($W35="","",N35*M35)</f>
        <v/>
      </c>
      <c r="P35">
        <f>IF($W35="","",Settings!$C$6)</f>
        <v/>
      </c>
      <c r="Q35" s="7">
        <f>IF($W35="","",SUMIFS('Per Line'!$Q$2:$Q$1501,'Per Line'!$B$2:$B$1501,$B35,'Per Line'!$AH$2:$AH$1501,1,'Per Line'!$AI$2:$AI$1501,0))</f>
        <v/>
      </c>
      <c r="R35" s="7">
        <f>IF($W35="","",Q35*P35)</f>
        <v/>
      </c>
      <c r="S35" s="7">
        <f>IF($W35="","",R35+O35)</f>
        <v/>
      </c>
      <c r="T35" s="7">
        <f>IF($W35="","",U35-S35)</f>
        <v/>
      </c>
      <c r="U35" s="7">
        <f>IF($W35="","",N35+Q35+L35)</f>
        <v/>
      </c>
      <c r="V35" s="7">
        <f>IF($W35="","",U35-S35-J35)</f>
        <v/>
      </c>
      <c r="W35" s="13">
        <f>IF(ROWS($W$2:$W35)&lt;=MAX('Per Line'!$AG$2:$AG$1501),MATCH(ROWS($W$2:$W35),'Per Line'!$AG$2:$AG$1501,0),"")</f>
        <v/>
      </c>
    </row>
    <row r="36">
      <c r="A36" s="12" t="n"/>
      <c r="B36">
        <f>IF($W36="","",INDEX('Per Line'!$B$2:$B$1501,$W36)&amp;"")</f>
        <v/>
      </c>
      <c r="C36">
        <f>IF($W36="","",INDEX('Per Line'!$A$2:$A$1501,$W36))</f>
        <v/>
      </c>
      <c r="D36" s="11">
        <f>IF($W36="","",INDEX('Per Line'!$C$2:$C$1501,$W36))</f>
        <v/>
      </c>
      <c r="E36">
        <f>IF($W36="","",INDEX('Per Line'!$D$2:$D$1501,$W36)&amp;"")</f>
        <v/>
      </c>
      <c r="F36">
        <f>IF($W36="","",INDEX('Per Line'!$F$2:$F$1501,$W36)&amp;"")</f>
        <v/>
      </c>
      <c r="G36">
        <f>IF($W36="","",INDEX('Per Line'!$G$2:$G$1501,$W36)&amp;"")</f>
        <v/>
      </c>
      <c r="H36">
        <f>IF($W36="","",INDEX('Per Line'!$H$2:$H$1501,$W36)&amp;"")</f>
        <v/>
      </c>
      <c r="I36">
        <f>IF($W36="","",INDEX('Per Line'!$I$2:$I$1501,$W36))</f>
        <v/>
      </c>
      <c r="J36" s="7">
        <f>IF($W36="","",I36*U36/100)</f>
        <v/>
      </c>
      <c r="K36">
        <f>IF($W36="","",INDEX('Per Line'!$U$2:$U$1501,$W36)&amp;"")</f>
        <v/>
      </c>
      <c r="L36" s="7">
        <f>IF($W36="","",SUMIFS('Per Line'!$Q$2:$Q$1501,'Per Line'!$B$2:$B$1501,$B36,'Per Line'!$AI$2:$AI$1501,1))</f>
        <v/>
      </c>
      <c r="M36">
        <f>IF($W36="","",Settings!$C$7)</f>
        <v/>
      </c>
      <c r="N36" s="7">
        <f>IF($W36="","",SUMIFS('Per Line'!$Q$2:$Q$1501,'Per Line'!$B$2:$B$1501,$B36,'Per Line'!$AH$2:$AH$1501,0,'Per Line'!$AI$2:$AI$1501,0))</f>
        <v/>
      </c>
      <c r="O36" s="7">
        <f>IF($W36="","",N36*M36)</f>
        <v/>
      </c>
      <c r="P36">
        <f>IF($W36="","",Settings!$C$6)</f>
        <v/>
      </c>
      <c r="Q36" s="7">
        <f>IF($W36="","",SUMIFS('Per Line'!$Q$2:$Q$1501,'Per Line'!$B$2:$B$1501,$B36,'Per Line'!$AH$2:$AH$1501,1,'Per Line'!$AI$2:$AI$1501,0))</f>
        <v/>
      </c>
      <c r="R36" s="7">
        <f>IF($W36="","",Q36*P36)</f>
        <v/>
      </c>
      <c r="S36" s="7">
        <f>IF($W36="","",R36+O36)</f>
        <v/>
      </c>
      <c r="T36" s="7">
        <f>IF($W36="","",U36-S36)</f>
        <v/>
      </c>
      <c r="U36" s="7">
        <f>IF($W36="","",N36+Q36+L36)</f>
        <v/>
      </c>
      <c r="V36" s="7">
        <f>IF($W36="","",U36-S36-J36)</f>
        <v/>
      </c>
      <c r="W36" s="13">
        <f>IF(ROWS($W$2:$W36)&lt;=MAX('Per Line'!$AG$2:$AG$1501),MATCH(ROWS($W$2:$W36),'Per Line'!$AG$2:$AG$1501,0),"")</f>
        <v/>
      </c>
    </row>
    <row r="37">
      <c r="A37" s="12" t="n"/>
      <c r="B37">
        <f>IF($W37="","",INDEX('Per Line'!$B$2:$B$1501,$W37)&amp;"")</f>
        <v/>
      </c>
      <c r="C37">
        <f>IF($W37="","",INDEX('Per Line'!$A$2:$A$1501,$W37))</f>
        <v/>
      </c>
      <c r="D37" s="11">
        <f>IF($W37="","",INDEX('Per Line'!$C$2:$C$1501,$W37))</f>
        <v/>
      </c>
      <c r="E37">
        <f>IF($W37="","",INDEX('Per Line'!$D$2:$D$1501,$W37)&amp;"")</f>
        <v/>
      </c>
      <c r="F37">
        <f>IF($W37="","",INDEX('Per Line'!$F$2:$F$1501,$W37)&amp;"")</f>
        <v/>
      </c>
      <c r="G37">
        <f>IF($W37="","",INDEX('Per Line'!$G$2:$G$1501,$W37)&amp;"")</f>
        <v/>
      </c>
      <c r="H37">
        <f>IF($W37="","",INDEX('Per Line'!$H$2:$H$1501,$W37)&amp;"")</f>
        <v/>
      </c>
      <c r="I37">
        <f>IF($W37="","",INDEX('Per Line'!$I$2:$I$1501,$W37))</f>
        <v/>
      </c>
      <c r="J37" s="7">
        <f>IF($W37="","",I37*U37/100)</f>
        <v/>
      </c>
      <c r="K37">
        <f>IF($W37="","",INDEX('Per Line'!$U$2:$U$1501,$W37)&amp;"")</f>
        <v/>
      </c>
      <c r="L37" s="7">
        <f>IF($W37="","",SUMIFS('Per Line'!$Q$2:$Q$1501,'Per Line'!$B$2:$B$1501,$B37,'Per Line'!$AI$2:$AI$1501,1))</f>
        <v/>
      </c>
      <c r="M37">
        <f>IF($W37="","",Settings!$C$7)</f>
        <v/>
      </c>
      <c r="N37" s="7">
        <f>IF($W37="","",SUMIFS('Per Line'!$Q$2:$Q$1501,'Per Line'!$B$2:$B$1501,$B37,'Per Line'!$AH$2:$AH$1501,0,'Per Line'!$AI$2:$AI$1501,0))</f>
        <v/>
      </c>
      <c r="O37" s="7">
        <f>IF($W37="","",N37*M37)</f>
        <v/>
      </c>
      <c r="P37">
        <f>IF($W37="","",Settings!$C$6)</f>
        <v/>
      </c>
      <c r="Q37" s="7">
        <f>IF($W37="","",SUMIFS('Per Line'!$Q$2:$Q$1501,'Per Line'!$B$2:$B$1501,$B37,'Per Line'!$AH$2:$AH$1501,1,'Per Line'!$AI$2:$AI$1501,0))</f>
        <v/>
      </c>
      <c r="R37" s="7">
        <f>IF($W37="","",Q37*P37)</f>
        <v/>
      </c>
      <c r="S37" s="7">
        <f>IF($W37="","",R37+O37)</f>
        <v/>
      </c>
      <c r="T37" s="7">
        <f>IF($W37="","",U37-S37)</f>
        <v/>
      </c>
      <c r="U37" s="7">
        <f>IF($W37="","",N37+Q37+L37)</f>
        <v/>
      </c>
      <c r="V37" s="7">
        <f>IF($W37="","",U37-S37-J37)</f>
        <v/>
      </c>
      <c r="W37" s="13">
        <f>IF(ROWS($W$2:$W37)&lt;=MAX('Per Line'!$AG$2:$AG$1501),MATCH(ROWS($W$2:$W37),'Per Line'!$AG$2:$AG$1501,0),"")</f>
        <v/>
      </c>
    </row>
    <row r="38">
      <c r="A38" s="12" t="n"/>
      <c r="B38">
        <f>IF($W38="","",INDEX('Per Line'!$B$2:$B$1501,$W38)&amp;"")</f>
        <v/>
      </c>
      <c r="C38">
        <f>IF($W38="","",INDEX('Per Line'!$A$2:$A$1501,$W38))</f>
        <v/>
      </c>
      <c r="D38" s="11">
        <f>IF($W38="","",INDEX('Per Line'!$C$2:$C$1501,$W38))</f>
        <v/>
      </c>
      <c r="E38">
        <f>IF($W38="","",INDEX('Per Line'!$D$2:$D$1501,$W38)&amp;"")</f>
        <v/>
      </c>
      <c r="F38">
        <f>IF($W38="","",INDEX('Per Line'!$F$2:$F$1501,$W38)&amp;"")</f>
        <v/>
      </c>
      <c r="G38">
        <f>IF($W38="","",INDEX('Per Line'!$G$2:$G$1501,$W38)&amp;"")</f>
        <v/>
      </c>
      <c r="H38">
        <f>IF($W38="","",INDEX('Per Line'!$H$2:$H$1501,$W38)&amp;"")</f>
        <v/>
      </c>
      <c r="I38">
        <f>IF($W38="","",INDEX('Per Line'!$I$2:$I$1501,$W38))</f>
        <v/>
      </c>
      <c r="J38" s="7">
        <f>IF($W38="","",I38*U38/100)</f>
        <v/>
      </c>
      <c r="K38">
        <f>IF($W38="","",INDEX('Per Line'!$U$2:$U$1501,$W38)&amp;"")</f>
        <v/>
      </c>
      <c r="L38" s="7">
        <f>IF($W38="","",SUMIFS('Per Line'!$Q$2:$Q$1501,'Per Line'!$B$2:$B$1501,$B38,'Per Line'!$AI$2:$AI$1501,1))</f>
        <v/>
      </c>
      <c r="M38">
        <f>IF($W38="","",Settings!$C$7)</f>
        <v/>
      </c>
      <c r="N38" s="7">
        <f>IF($W38="","",SUMIFS('Per Line'!$Q$2:$Q$1501,'Per Line'!$B$2:$B$1501,$B38,'Per Line'!$AH$2:$AH$1501,0,'Per Line'!$AI$2:$AI$1501,0))</f>
        <v/>
      </c>
      <c r="O38" s="7">
        <f>IF($W38="","",N38*M38)</f>
        <v/>
      </c>
      <c r="P38">
        <f>IF($W38="","",Settings!$C$6)</f>
        <v/>
      </c>
      <c r="Q38" s="7">
        <f>IF($W38="","",SUMIFS('Per Line'!$Q$2:$Q$1501,'Per Line'!$B$2:$B$1501,$B38,'Per Line'!$AH$2:$AH$1501,1,'Per Line'!$AI$2:$AI$1501,0))</f>
        <v/>
      </c>
      <c r="R38" s="7">
        <f>IF($W38="","",Q38*P38)</f>
        <v/>
      </c>
      <c r="S38" s="7">
        <f>IF($W38="","",R38+O38)</f>
        <v/>
      </c>
      <c r="T38" s="7">
        <f>IF($W38="","",U38-S38)</f>
        <v/>
      </c>
      <c r="U38" s="7">
        <f>IF($W38="","",N38+Q38+L38)</f>
        <v/>
      </c>
      <c r="V38" s="7">
        <f>IF($W38="","",U38-S38-J38)</f>
        <v/>
      </c>
      <c r="W38" s="13">
        <f>IF(ROWS($W$2:$W38)&lt;=MAX('Per Line'!$AG$2:$AG$1501),MATCH(ROWS($W$2:$W38),'Per Line'!$AG$2:$AG$1501,0),"")</f>
        <v/>
      </c>
    </row>
    <row r="39">
      <c r="A39" s="12" t="n"/>
      <c r="B39">
        <f>IF($W39="","",INDEX('Per Line'!$B$2:$B$1501,$W39)&amp;"")</f>
        <v/>
      </c>
      <c r="C39">
        <f>IF($W39="","",INDEX('Per Line'!$A$2:$A$1501,$W39))</f>
        <v/>
      </c>
      <c r="D39" s="11">
        <f>IF($W39="","",INDEX('Per Line'!$C$2:$C$1501,$W39))</f>
        <v/>
      </c>
      <c r="E39">
        <f>IF($W39="","",INDEX('Per Line'!$D$2:$D$1501,$W39)&amp;"")</f>
        <v/>
      </c>
      <c r="F39">
        <f>IF($W39="","",INDEX('Per Line'!$F$2:$F$1501,$W39)&amp;"")</f>
        <v/>
      </c>
      <c r="G39">
        <f>IF($W39="","",INDEX('Per Line'!$G$2:$G$1501,$W39)&amp;"")</f>
        <v/>
      </c>
      <c r="H39">
        <f>IF($W39="","",INDEX('Per Line'!$H$2:$H$1501,$W39)&amp;"")</f>
        <v/>
      </c>
      <c r="I39">
        <f>IF($W39="","",INDEX('Per Line'!$I$2:$I$1501,$W39))</f>
        <v/>
      </c>
      <c r="J39" s="7">
        <f>IF($W39="","",I39*U39/100)</f>
        <v/>
      </c>
      <c r="K39">
        <f>IF($W39="","",INDEX('Per Line'!$U$2:$U$1501,$W39)&amp;"")</f>
        <v/>
      </c>
      <c r="L39" s="7">
        <f>IF($W39="","",SUMIFS('Per Line'!$Q$2:$Q$1501,'Per Line'!$B$2:$B$1501,$B39,'Per Line'!$AI$2:$AI$1501,1))</f>
        <v/>
      </c>
      <c r="M39">
        <f>IF($W39="","",Settings!$C$7)</f>
        <v/>
      </c>
      <c r="N39" s="7">
        <f>IF($W39="","",SUMIFS('Per Line'!$Q$2:$Q$1501,'Per Line'!$B$2:$B$1501,$B39,'Per Line'!$AH$2:$AH$1501,0,'Per Line'!$AI$2:$AI$1501,0))</f>
        <v/>
      </c>
      <c r="O39" s="7">
        <f>IF($W39="","",N39*M39)</f>
        <v/>
      </c>
      <c r="P39">
        <f>IF($W39="","",Settings!$C$6)</f>
        <v/>
      </c>
      <c r="Q39" s="7">
        <f>IF($W39="","",SUMIFS('Per Line'!$Q$2:$Q$1501,'Per Line'!$B$2:$B$1501,$B39,'Per Line'!$AH$2:$AH$1501,1,'Per Line'!$AI$2:$AI$1501,0))</f>
        <v/>
      </c>
      <c r="R39" s="7">
        <f>IF($W39="","",Q39*P39)</f>
        <v/>
      </c>
      <c r="S39" s="7">
        <f>IF($W39="","",R39+O39)</f>
        <v/>
      </c>
      <c r="T39" s="7">
        <f>IF($W39="","",U39-S39)</f>
        <v/>
      </c>
      <c r="U39" s="7">
        <f>IF($W39="","",N39+Q39+L39)</f>
        <v/>
      </c>
      <c r="V39" s="7">
        <f>IF($W39="","",U39-S39-J39)</f>
        <v/>
      </c>
      <c r="W39" s="13">
        <f>IF(ROWS($W$2:$W39)&lt;=MAX('Per Line'!$AG$2:$AG$1501),MATCH(ROWS($W$2:$W39),'Per Line'!$AG$2:$AG$1501,0),"")</f>
        <v/>
      </c>
    </row>
    <row r="40">
      <c r="A40" s="12" t="n"/>
      <c r="B40">
        <f>IF($W40="","",INDEX('Per Line'!$B$2:$B$1501,$W40)&amp;"")</f>
        <v/>
      </c>
      <c r="C40">
        <f>IF($W40="","",INDEX('Per Line'!$A$2:$A$1501,$W40))</f>
        <v/>
      </c>
      <c r="D40" s="11">
        <f>IF($W40="","",INDEX('Per Line'!$C$2:$C$1501,$W40))</f>
        <v/>
      </c>
      <c r="E40">
        <f>IF($W40="","",INDEX('Per Line'!$D$2:$D$1501,$W40)&amp;"")</f>
        <v/>
      </c>
      <c r="F40">
        <f>IF($W40="","",INDEX('Per Line'!$F$2:$F$1501,$W40)&amp;"")</f>
        <v/>
      </c>
      <c r="G40">
        <f>IF($W40="","",INDEX('Per Line'!$G$2:$G$1501,$W40)&amp;"")</f>
        <v/>
      </c>
      <c r="H40">
        <f>IF($W40="","",INDEX('Per Line'!$H$2:$H$1501,$W40)&amp;"")</f>
        <v/>
      </c>
      <c r="I40">
        <f>IF($W40="","",INDEX('Per Line'!$I$2:$I$1501,$W40))</f>
        <v/>
      </c>
      <c r="J40" s="7">
        <f>IF($W40="","",I40*U40/100)</f>
        <v/>
      </c>
      <c r="K40">
        <f>IF($W40="","",INDEX('Per Line'!$U$2:$U$1501,$W40)&amp;"")</f>
        <v/>
      </c>
      <c r="L40" s="7">
        <f>IF($W40="","",SUMIFS('Per Line'!$Q$2:$Q$1501,'Per Line'!$B$2:$B$1501,$B40,'Per Line'!$AI$2:$AI$1501,1))</f>
        <v/>
      </c>
      <c r="M40">
        <f>IF($W40="","",Settings!$C$7)</f>
        <v/>
      </c>
      <c r="N40" s="7">
        <f>IF($W40="","",SUMIFS('Per Line'!$Q$2:$Q$1501,'Per Line'!$B$2:$B$1501,$B40,'Per Line'!$AH$2:$AH$1501,0,'Per Line'!$AI$2:$AI$1501,0))</f>
        <v/>
      </c>
      <c r="O40" s="7">
        <f>IF($W40="","",N40*M40)</f>
        <v/>
      </c>
      <c r="P40">
        <f>IF($W40="","",Settings!$C$6)</f>
        <v/>
      </c>
      <c r="Q40" s="7">
        <f>IF($W40="","",SUMIFS('Per Line'!$Q$2:$Q$1501,'Per Line'!$B$2:$B$1501,$B40,'Per Line'!$AH$2:$AH$1501,1,'Per Line'!$AI$2:$AI$1501,0))</f>
        <v/>
      </c>
      <c r="R40" s="7">
        <f>IF($W40="","",Q40*P40)</f>
        <v/>
      </c>
      <c r="S40" s="7">
        <f>IF($W40="","",R40+O40)</f>
        <v/>
      </c>
      <c r="T40" s="7">
        <f>IF($W40="","",U40-S40)</f>
        <v/>
      </c>
      <c r="U40" s="7">
        <f>IF($W40="","",N40+Q40+L40)</f>
        <v/>
      </c>
      <c r="V40" s="7">
        <f>IF($W40="","",U40-S40-J40)</f>
        <v/>
      </c>
      <c r="W40" s="13">
        <f>IF(ROWS($W$2:$W40)&lt;=MAX('Per Line'!$AG$2:$AG$1501),MATCH(ROWS($W$2:$W40),'Per Line'!$AG$2:$AG$1501,0),"")</f>
        <v/>
      </c>
    </row>
    <row r="41">
      <c r="A41" s="12" t="n"/>
      <c r="B41">
        <f>IF($W41="","",INDEX('Per Line'!$B$2:$B$1501,$W41)&amp;"")</f>
        <v/>
      </c>
      <c r="C41">
        <f>IF($W41="","",INDEX('Per Line'!$A$2:$A$1501,$W41))</f>
        <v/>
      </c>
      <c r="D41" s="11">
        <f>IF($W41="","",INDEX('Per Line'!$C$2:$C$1501,$W41))</f>
        <v/>
      </c>
      <c r="E41">
        <f>IF($W41="","",INDEX('Per Line'!$D$2:$D$1501,$W41)&amp;"")</f>
        <v/>
      </c>
      <c r="F41">
        <f>IF($W41="","",INDEX('Per Line'!$F$2:$F$1501,$W41)&amp;"")</f>
        <v/>
      </c>
      <c r="G41">
        <f>IF($W41="","",INDEX('Per Line'!$G$2:$G$1501,$W41)&amp;"")</f>
        <v/>
      </c>
      <c r="H41">
        <f>IF($W41="","",INDEX('Per Line'!$H$2:$H$1501,$W41)&amp;"")</f>
        <v/>
      </c>
      <c r="I41">
        <f>IF($W41="","",INDEX('Per Line'!$I$2:$I$1501,$W41))</f>
        <v/>
      </c>
      <c r="J41" s="7">
        <f>IF($W41="","",I41*U41/100)</f>
        <v/>
      </c>
      <c r="K41">
        <f>IF($W41="","",INDEX('Per Line'!$U$2:$U$1501,$W41)&amp;"")</f>
        <v/>
      </c>
      <c r="L41" s="7">
        <f>IF($W41="","",SUMIFS('Per Line'!$Q$2:$Q$1501,'Per Line'!$B$2:$B$1501,$B41,'Per Line'!$AI$2:$AI$1501,1))</f>
        <v/>
      </c>
      <c r="M41">
        <f>IF($W41="","",Settings!$C$7)</f>
        <v/>
      </c>
      <c r="N41" s="7">
        <f>IF($W41="","",SUMIFS('Per Line'!$Q$2:$Q$1501,'Per Line'!$B$2:$B$1501,$B41,'Per Line'!$AH$2:$AH$1501,0,'Per Line'!$AI$2:$AI$1501,0))</f>
        <v/>
      </c>
      <c r="O41" s="7">
        <f>IF($W41="","",N41*M41)</f>
        <v/>
      </c>
      <c r="P41">
        <f>IF($W41="","",Settings!$C$6)</f>
        <v/>
      </c>
      <c r="Q41" s="7">
        <f>IF($W41="","",SUMIFS('Per Line'!$Q$2:$Q$1501,'Per Line'!$B$2:$B$1501,$B41,'Per Line'!$AH$2:$AH$1501,1,'Per Line'!$AI$2:$AI$1501,0))</f>
        <v/>
      </c>
      <c r="R41" s="7">
        <f>IF($W41="","",Q41*P41)</f>
        <v/>
      </c>
      <c r="S41" s="7">
        <f>IF($W41="","",R41+O41)</f>
        <v/>
      </c>
      <c r="T41" s="7">
        <f>IF($W41="","",U41-S41)</f>
        <v/>
      </c>
      <c r="U41" s="7">
        <f>IF($W41="","",N41+Q41+L41)</f>
        <v/>
      </c>
      <c r="V41" s="7">
        <f>IF($W41="","",U41-S41-J41)</f>
        <v/>
      </c>
      <c r="W41" s="13">
        <f>IF(ROWS($W$2:$W41)&lt;=MAX('Per Line'!$AG$2:$AG$1501),MATCH(ROWS($W$2:$W41),'Per Line'!$AG$2:$AG$1501,0),"")</f>
        <v/>
      </c>
    </row>
    <row r="42">
      <c r="A42" s="12" t="n"/>
      <c r="B42">
        <f>IF($W42="","",INDEX('Per Line'!$B$2:$B$1501,$W42)&amp;"")</f>
        <v/>
      </c>
      <c r="C42">
        <f>IF($W42="","",INDEX('Per Line'!$A$2:$A$1501,$W42))</f>
        <v/>
      </c>
      <c r="D42" s="11">
        <f>IF($W42="","",INDEX('Per Line'!$C$2:$C$1501,$W42))</f>
        <v/>
      </c>
      <c r="E42">
        <f>IF($W42="","",INDEX('Per Line'!$D$2:$D$1501,$W42)&amp;"")</f>
        <v/>
      </c>
      <c r="F42">
        <f>IF($W42="","",INDEX('Per Line'!$F$2:$F$1501,$W42)&amp;"")</f>
        <v/>
      </c>
      <c r="G42">
        <f>IF($W42="","",INDEX('Per Line'!$G$2:$G$1501,$W42)&amp;"")</f>
        <v/>
      </c>
      <c r="H42">
        <f>IF($W42="","",INDEX('Per Line'!$H$2:$H$1501,$W42)&amp;"")</f>
        <v/>
      </c>
      <c r="I42">
        <f>IF($W42="","",INDEX('Per Line'!$I$2:$I$1501,$W42))</f>
        <v/>
      </c>
      <c r="J42" s="7">
        <f>IF($W42="","",I42*U42/100)</f>
        <v/>
      </c>
      <c r="K42">
        <f>IF($W42="","",INDEX('Per Line'!$U$2:$U$1501,$W42)&amp;"")</f>
        <v/>
      </c>
      <c r="L42" s="7">
        <f>IF($W42="","",SUMIFS('Per Line'!$Q$2:$Q$1501,'Per Line'!$B$2:$B$1501,$B42,'Per Line'!$AI$2:$AI$1501,1))</f>
        <v/>
      </c>
      <c r="M42">
        <f>IF($W42="","",Settings!$C$7)</f>
        <v/>
      </c>
      <c r="N42" s="7">
        <f>IF($W42="","",SUMIFS('Per Line'!$Q$2:$Q$1501,'Per Line'!$B$2:$B$1501,$B42,'Per Line'!$AH$2:$AH$1501,0,'Per Line'!$AI$2:$AI$1501,0))</f>
        <v/>
      </c>
      <c r="O42" s="7">
        <f>IF($W42="","",N42*M42)</f>
        <v/>
      </c>
      <c r="P42">
        <f>IF($W42="","",Settings!$C$6)</f>
        <v/>
      </c>
      <c r="Q42" s="7">
        <f>IF($W42="","",SUMIFS('Per Line'!$Q$2:$Q$1501,'Per Line'!$B$2:$B$1501,$B42,'Per Line'!$AH$2:$AH$1501,1,'Per Line'!$AI$2:$AI$1501,0))</f>
        <v/>
      </c>
      <c r="R42" s="7">
        <f>IF($W42="","",Q42*P42)</f>
        <v/>
      </c>
      <c r="S42" s="7">
        <f>IF($W42="","",R42+O42)</f>
        <v/>
      </c>
      <c r="T42" s="7">
        <f>IF($W42="","",U42-S42)</f>
        <v/>
      </c>
      <c r="U42" s="7">
        <f>IF($W42="","",N42+Q42+L42)</f>
        <v/>
      </c>
      <c r="V42" s="7">
        <f>IF($W42="","",U42-S42-J42)</f>
        <v/>
      </c>
      <c r="W42" s="13">
        <f>IF(ROWS($W$2:$W42)&lt;=MAX('Per Line'!$AG$2:$AG$1501),MATCH(ROWS($W$2:$W42),'Per Line'!$AG$2:$AG$1501,0),"")</f>
        <v/>
      </c>
    </row>
    <row r="43">
      <c r="A43" s="12" t="n"/>
      <c r="B43">
        <f>IF($W43="","",INDEX('Per Line'!$B$2:$B$1501,$W43)&amp;"")</f>
        <v/>
      </c>
      <c r="C43">
        <f>IF($W43="","",INDEX('Per Line'!$A$2:$A$1501,$W43))</f>
        <v/>
      </c>
      <c r="D43" s="11">
        <f>IF($W43="","",INDEX('Per Line'!$C$2:$C$1501,$W43))</f>
        <v/>
      </c>
      <c r="E43">
        <f>IF($W43="","",INDEX('Per Line'!$D$2:$D$1501,$W43)&amp;"")</f>
        <v/>
      </c>
      <c r="F43">
        <f>IF($W43="","",INDEX('Per Line'!$F$2:$F$1501,$W43)&amp;"")</f>
        <v/>
      </c>
      <c r="G43">
        <f>IF($W43="","",INDEX('Per Line'!$G$2:$G$1501,$W43)&amp;"")</f>
        <v/>
      </c>
      <c r="H43">
        <f>IF($W43="","",INDEX('Per Line'!$H$2:$H$1501,$W43)&amp;"")</f>
        <v/>
      </c>
      <c r="I43">
        <f>IF($W43="","",INDEX('Per Line'!$I$2:$I$1501,$W43))</f>
        <v/>
      </c>
      <c r="J43" s="7">
        <f>IF($W43="","",I43*U43/100)</f>
        <v/>
      </c>
      <c r="K43">
        <f>IF($W43="","",INDEX('Per Line'!$U$2:$U$1501,$W43)&amp;"")</f>
        <v/>
      </c>
      <c r="L43" s="7">
        <f>IF($W43="","",SUMIFS('Per Line'!$Q$2:$Q$1501,'Per Line'!$B$2:$B$1501,$B43,'Per Line'!$AI$2:$AI$1501,1))</f>
        <v/>
      </c>
      <c r="M43">
        <f>IF($W43="","",Settings!$C$7)</f>
        <v/>
      </c>
      <c r="N43" s="7">
        <f>IF($W43="","",SUMIFS('Per Line'!$Q$2:$Q$1501,'Per Line'!$B$2:$B$1501,$B43,'Per Line'!$AH$2:$AH$1501,0,'Per Line'!$AI$2:$AI$1501,0))</f>
        <v/>
      </c>
      <c r="O43" s="7">
        <f>IF($W43="","",N43*M43)</f>
        <v/>
      </c>
      <c r="P43">
        <f>IF($W43="","",Settings!$C$6)</f>
        <v/>
      </c>
      <c r="Q43" s="7">
        <f>IF($W43="","",SUMIFS('Per Line'!$Q$2:$Q$1501,'Per Line'!$B$2:$B$1501,$B43,'Per Line'!$AH$2:$AH$1501,1,'Per Line'!$AI$2:$AI$1501,0))</f>
        <v/>
      </c>
      <c r="R43" s="7">
        <f>IF($W43="","",Q43*P43)</f>
        <v/>
      </c>
      <c r="S43" s="7">
        <f>IF($W43="","",R43+O43)</f>
        <v/>
      </c>
      <c r="T43" s="7">
        <f>IF($W43="","",U43-S43)</f>
        <v/>
      </c>
      <c r="U43" s="7">
        <f>IF($W43="","",N43+Q43+L43)</f>
        <v/>
      </c>
      <c r="V43" s="7">
        <f>IF($W43="","",U43-S43-J43)</f>
        <v/>
      </c>
      <c r="W43" s="13">
        <f>IF(ROWS($W$2:$W43)&lt;=MAX('Per Line'!$AG$2:$AG$1501),MATCH(ROWS($W$2:$W43),'Per Line'!$AG$2:$AG$1501,0),"")</f>
        <v/>
      </c>
    </row>
    <row r="44">
      <c r="A44" s="12" t="n"/>
      <c r="B44">
        <f>IF($W44="","",INDEX('Per Line'!$B$2:$B$1501,$W44)&amp;"")</f>
        <v/>
      </c>
      <c r="C44">
        <f>IF($W44="","",INDEX('Per Line'!$A$2:$A$1501,$W44))</f>
        <v/>
      </c>
      <c r="D44" s="11">
        <f>IF($W44="","",INDEX('Per Line'!$C$2:$C$1501,$W44))</f>
        <v/>
      </c>
      <c r="E44">
        <f>IF($W44="","",INDEX('Per Line'!$D$2:$D$1501,$W44)&amp;"")</f>
        <v/>
      </c>
      <c r="F44">
        <f>IF($W44="","",INDEX('Per Line'!$F$2:$F$1501,$W44)&amp;"")</f>
        <v/>
      </c>
      <c r="G44">
        <f>IF($W44="","",INDEX('Per Line'!$G$2:$G$1501,$W44)&amp;"")</f>
        <v/>
      </c>
      <c r="H44">
        <f>IF($W44="","",INDEX('Per Line'!$H$2:$H$1501,$W44)&amp;"")</f>
        <v/>
      </c>
      <c r="I44">
        <f>IF($W44="","",INDEX('Per Line'!$I$2:$I$1501,$W44))</f>
        <v/>
      </c>
      <c r="J44" s="7">
        <f>IF($W44="","",I44*U44/100)</f>
        <v/>
      </c>
      <c r="K44">
        <f>IF($W44="","",INDEX('Per Line'!$U$2:$U$1501,$W44)&amp;"")</f>
        <v/>
      </c>
      <c r="L44" s="7">
        <f>IF($W44="","",SUMIFS('Per Line'!$Q$2:$Q$1501,'Per Line'!$B$2:$B$1501,$B44,'Per Line'!$AI$2:$AI$1501,1))</f>
        <v/>
      </c>
      <c r="M44">
        <f>IF($W44="","",Settings!$C$7)</f>
        <v/>
      </c>
      <c r="N44" s="7">
        <f>IF($W44="","",SUMIFS('Per Line'!$Q$2:$Q$1501,'Per Line'!$B$2:$B$1501,$B44,'Per Line'!$AH$2:$AH$1501,0,'Per Line'!$AI$2:$AI$1501,0))</f>
        <v/>
      </c>
      <c r="O44" s="7">
        <f>IF($W44="","",N44*M44)</f>
        <v/>
      </c>
      <c r="P44">
        <f>IF($W44="","",Settings!$C$6)</f>
        <v/>
      </c>
      <c r="Q44" s="7">
        <f>IF($W44="","",SUMIFS('Per Line'!$Q$2:$Q$1501,'Per Line'!$B$2:$B$1501,$B44,'Per Line'!$AH$2:$AH$1501,1,'Per Line'!$AI$2:$AI$1501,0))</f>
        <v/>
      </c>
      <c r="R44" s="7">
        <f>IF($W44="","",Q44*P44)</f>
        <v/>
      </c>
      <c r="S44" s="7">
        <f>IF($W44="","",R44+O44)</f>
        <v/>
      </c>
      <c r="T44" s="7">
        <f>IF($W44="","",U44-S44)</f>
        <v/>
      </c>
      <c r="U44" s="7">
        <f>IF($W44="","",N44+Q44+L44)</f>
        <v/>
      </c>
      <c r="V44" s="7">
        <f>IF($W44="","",U44-S44-J44)</f>
        <v/>
      </c>
      <c r="W44" s="13">
        <f>IF(ROWS($W$2:$W44)&lt;=MAX('Per Line'!$AG$2:$AG$1501),MATCH(ROWS($W$2:$W44),'Per Line'!$AG$2:$AG$1501,0),"")</f>
        <v/>
      </c>
    </row>
    <row r="45">
      <c r="A45" s="12" t="n"/>
      <c r="B45">
        <f>IF($W45="","",INDEX('Per Line'!$B$2:$B$1501,$W45)&amp;"")</f>
        <v/>
      </c>
      <c r="C45">
        <f>IF($W45="","",INDEX('Per Line'!$A$2:$A$1501,$W45))</f>
        <v/>
      </c>
      <c r="D45" s="11">
        <f>IF($W45="","",INDEX('Per Line'!$C$2:$C$1501,$W45))</f>
        <v/>
      </c>
      <c r="E45">
        <f>IF($W45="","",INDEX('Per Line'!$D$2:$D$1501,$W45)&amp;"")</f>
        <v/>
      </c>
      <c r="F45">
        <f>IF($W45="","",INDEX('Per Line'!$F$2:$F$1501,$W45)&amp;"")</f>
        <v/>
      </c>
      <c r="G45">
        <f>IF($W45="","",INDEX('Per Line'!$G$2:$G$1501,$W45)&amp;"")</f>
        <v/>
      </c>
      <c r="H45">
        <f>IF($W45="","",INDEX('Per Line'!$H$2:$H$1501,$W45)&amp;"")</f>
        <v/>
      </c>
      <c r="I45">
        <f>IF($W45="","",INDEX('Per Line'!$I$2:$I$1501,$W45))</f>
        <v/>
      </c>
      <c r="J45" s="7">
        <f>IF($W45="","",I45*U45/100)</f>
        <v/>
      </c>
      <c r="K45">
        <f>IF($W45="","",INDEX('Per Line'!$U$2:$U$1501,$W45)&amp;"")</f>
        <v/>
      </c>
      <c r="L45" s="7">
        <f>IF($W45="","",SUMIFS('Per Line'!$Q$2:$Q$1501,'Per Line'!$B$2:$B$1501,$B45,'Per Line'!$AI$2:$AI$1501,1))</f>
        <v/>
      </c>
      <c r="M45">
        <f>IF($W45="","",Settings!$C$7)</f>
        <v/>
      </c>
      <c r="N45" s="7">
        <f>IF($W45="","",SUMIFS('Per Line'!$Q$2:$Q$1501,'Per Line'!$B$2:$B$1501,$B45,'Per Line'!$AH$2:$AH$1501,0,'Per Line'!$AI$2:$AI$1501,0))</f>
        <v/>
      </c>
      <c r="O45" s="7">
        <f>IF($W45="","",N45*M45)</f>
        <v/>
      </c>
      <c r="P45">
        <f>IF($W45="","",Settings!$C$6)</f>
        <v/>
      </c>
      <c r="Q45" s="7">
        <f>IF($W45="","",SUMIFS('Per Line'!$Q$2:$Q$1501,'Per Line'!$B$2:$B$1501,$B45,'Per Line'!$AH$2:$AH$1501,1,'Per Line'!$AI$2:$AI$1501,0))</f>
        <v/>
      </c>
      <c r="R45" s="7">
        <f>IF($W45="","",Q45*P45)</f>
        <v/>
      </c>
      <c r="S45" s="7">
        <f>IF($W45="","",R45+O45)</f>
        <v/>
      </c>
      <c r="T45" s="7">
        <f>IF($W45="","",U45-S45)</f>
        <v/>
      </c>
      <c r="U45" s="7">
        <f>IF($W45="","",N45+Q45+L45)</f>
        <v/>
      </c>
      <c r="V45" s="7">
        <f>IF($W45="","",U45-S45-J45)</f>
        <v/>
      </c>
      <c r="W45" s="13">
        <f>IF(ROWS($W$2:$W45)&lt;=MAX('Per Line'!$AG$2:$AG$1501),MATCH(ROWS($W$2:$W45),'Per Line'!$AG$2:$AG$1501,0),"")</f>
        <v/>
      </c>
    </row>
    <row r="46">
      <c r="A46" s="12" t="n"/>
      <c r="B46">
        <f>IF($W46="","",INDEX('Per Line'!$B$2:$B$1501,$W46)&amp;"")</f>
        <v/>
      </c>
      <c r="C46">
        <f>IF($W46="","",INDEX('Per Line'!$A$2:$A$1501,$W46))</f>
        <v/>
      </c>
      <c r="D46" s="11">
        <f>IF($W46="","",INDEX('Per Line'!$C$2:$C$1501,$W46))</f>
        <v/>
      </c>
      <c r="E46">
        <f>IF($W46="","",INDEX('Per Line'!$D$2:$D$1501,$W46)&amp;"")</f>
        <v/>
      </c>
      <c r="F46">
        <f>IF($W46="","",INDEX('Per Line'!$F$2:$F$1501,$W46)&amp;"")</f>
        <v/>
      </c>
      <c r="G46">
        <f>IF($W46="","",INDEX('Per Line'!$G$2:$G$1501,$W46)&amp;"")</f>
        <v/>
      </c>
      <c r="H46">
        <f>IF($W46="","",INDEX('Per Line'!$H$2:$H$1501,$W46)&amp;"")</f>
        <v/>
      </c>
      <c r="I46">
        <f>IF($W46="","",INDEX('Per Line'!$I$2:$I$1501,$W46))</f>
        <v/>
      </c>
      <c r="J46" s="7">
        <f>IF($W46="","",I46*U46/100)</f>
        <v/>
      </c>
      <c r="K46">
        <f>IF($W46="","",INDEX('Per Line'!$U$2:$U$1501,$W46)&amp;"")</f>
        <v/>
      </c>
      <c r="L46" s="7">
        <f>IF($W46="","",SUMIFS('Per Line'!$Q$2:$Q$1501,'Per Line'!$B$2:$B$1501,$B46,'Per Line'!$AI$2:$AI$1501,1))</f>
        <v/>
      </c>
      <c r="M46">
        <f>IF($W46="","",Settings!$C$7)</f>
        <v/>
      </c>
      <c r="N46" s="7">
        <f>IF($W46="","",SUMIFS('Per Line'!$Q$2:$Q$1501,'Per Line'!$B$2:$B$1501,$B46,'Per Line'!$AH$2:$AH$1501,0,'Per Line'!$AI$2:$AI$1501,0))</f>
        <v/>
      </c>
      <c r="O46" s="7">
        <f>IF($W46="","",N46*M46)</f>
        <v/>
      </c>
      <c r="P46">
        <f>IF($W46="","",Settings!$C$6)</f>
        <v/>
      </c>
      <c r="Q46" s="7">
        <f>IF($W46="","",SUMIFS('Per Line'!$Q$2:$Q$1501,'Per Line'!$B$2:$B$1501,$B46,'Per Line'!$AH$2:$AH$1501,1,'Per Line'!$AI$2:$AI$1501,0))</f>
        <v/>
      </c>
      <c r="R46" s="7">
        <f>IF($W46="","",Q46*P46)</f>
        <v/>
      </c>
      <c r="S46" s="7">
        <f>IF($W46="","",R46+O46)</f>
        <v/>
      </c>
      <c r="T46" s="7">
        <f>IF($W46="","",U46-S46)</f>
        <v/>
      </c>
      <c r="U46" s="7">
        <f>IF($W46="","",N46+Q46+L46)</f>
        <v/>
      </c>
      <c r="V46" s="7">
        <f>IF($W46="","",U46-S46-J46)</f>
        <v/>
      </c>
      <c r="W46" s="13">
        <f>IF(ROWS($W$2:$W46)&lt;=MAX('Per Line'!$AG$2:$AG$1501),MATCH(ROWS($W$2:$W46),'Per Line'!$AG$2:$AG$1501,0),"")</f>
        <v/>
      </c>
    </row>
    <row r="47">
      <c r="A47" s="12" t="n"/>
      <c r="B47">
        <f>IF($W47="","",INDEX('Per Line'!$B$2:$B$1501,$W47)&amp;"")</f>
        <v/>
      </c>
      <c r="C47">
        <f>IF($W47="","",INDEX('Per Line'!$A$2:$A$1501,$W47))</f>
        <v/>
      </c>
      <c r="D47" s="11">
        <f>IF($W47="","",INDEX('Per Line'!$C$2:$C$1501,$W47))</f>
        <v/>
      </c>
      <c r="E47">
        <f>IF($W47="","",INDEX('Per Line'!$D$2:$D$1501,$W47)&amp;"")</f>
        <v/>
      </c>
      <c r="F47">
        <f>IF($W47="","",INDEX('Per Line'!$F$2:$F$1501,$W47)&amp;"")</f>
        <v/>
      </c>
      <c r="G47">
        <f>IF($W47="","",INDEX('Per Line'!$G$2:$G$1501,$W47)&amp;"")</f>
        <v/>
      </c>
      <c r="H47">
        <f>IF($W47="","",INDEX('Per Line'!$H$2:$H$1501,$W47)&amp;"")</f>
        <v/>
      </c>
      <c r="I47">
        <f>IF($W47="","",INDEX('Per Line'!$I$2:$I$1501,$W47))</f>
        <v/>
      </c>
      <c r="J47" s="7">
        <f>IF($W47="","",I47*U47/100)</f>
        <v/>
      </c>
      <c r="K47">
        <f>IF($W47="","",INDEX('Per Line'!$U$2:$U$1501,$W47)&amp;"")</f>
        <v/>
      </c>
      <c r="L47" s="7">
        <f>IF($W47="","",SUMIFS('Per Line'!$Q$2:$Q$1501,'Per Line'!$B$2:$B$1501,$B47,'Per Line'!$AI$2:$AI$1501,1))</f>
        <v/>
      </c>
      <c r="M47">
        <f>IF($W47="","",Settings!$C$7)</f>
        <v/>
      </c>
      <c r="N47" s="7">
        <f>IF($W47="","",SUMIFS('Per Line'!$Q$2:$Q$1501,'Per Line'!$B$2:$B$1501,$B47,'Per Line'!$AH$2:$AH$1501,0,'Per Line'!$AI$2:$AI$1501,0))</f>
        <v/>
      </c>
      <c r="O47" s="7">
        <f>IF($W47="","",N47*M47)</f>
        <v/>
      </c>
      <c r="P47">
        <f>IF($W47="","",Settings!$C$6)</f>
        <v/>
      </c>
      <c r="Q47" s="7">
        <f>IF($W47="","",SUMIFS('Per Line'!$Q$2:$Q$1501,'Per Line'!$B$2:$B$1501,$B47,'Per Line'!$AH$2:$AH$1501,1,'Per Line'!$AI$2:$AI$1501,0))</f>
        <v/>
      </c>
      <c r="R47" s="7">
        <f>IF($W47="","",Q47*P47)</f>
        <v/>
      </c>
      <c r="S47" s="7">
        <f>IF($W47="","",R47+O47)</f>
        <v/>
      </c>
      <c r="T47" s="7">
        <f>IF($W47="","",U47-S47)</f>
        <v/>
      </c>
      <c r="U47" s="7">
        <f>IF($W47="","",N47+Q47+L47)</f>
        <v/>
      </c>
      <c r="V47" s="7">
        <f>IF($W47="","",U47-S47-J47)</f>
        <v/>
      </c>
      <c r="W47" s="13">
        <f>IF(ROWS($W$2:$W47)&lt;=MAX('Per Line'!$AG$2:$AG$1501),MATCH(ROWS($W$2:$W47),'Per Line'!$AG$2:$AG$1501,0),"")</f>
        <v/>
      </c>
    </row>
    <row r="48">
      <c r="A48" s="12" t="n"/>
      <c r="B48">
        <f>IF($W48="","",INDEX('Per Line'!$B$2:$B$1501,$W48)&amp;"")</f>
        <v/>
      </c>
      <c r="C48">
        <f>IF($W48="","",INDEX('Per Line'!$A$2:$A$1501,$W48))</f>
        <v/>
      </c>
      <c r="D48" s="11">
        <f>IF($W48="","",INDEX('Per Line'!$C$2:$C$1501,$W48))</f>
        <v/>
      </c>
      <c r="E48">
        <f>IF($W48="","",INDEX('Per Line'!$D$2:$D$1501,$W48)&amp;"")</f>
        <v/>
      </c>
      <c r="F48">
        <f>IF($W48="","",INDEX('Per Line'!$F$2:$F$1501,$W48)&amp;"")</f>
        <v/>
      </c>
      <c r="G48">
        <f>IF($W48="","",INDEX('Per Line'!$G$2:$G$1501,$W48)&amp;"")</f>
        <v/>
      </c>
      <c r="H48">
        <f>IF($W48="","",INDEX('Per Line'!$H$2:$H$1501,$W48)&amp;"")</f>
        <v/>
      </c>
      <c r="I48">
        <f>IF($W48="","",INDEX('Per Line'!$I$2:$I$1501,$W48))</f>
        <v/>
      </c>
      <c r="J48" s="7">
        <f>IF($W48="","",I48*U48/100)</f>
        <v/>
      </c>
      <c r="K48">
        <f>IF($W48="","",INDEX('Per Line'!$U$2:$U$1501,$W48)&amp;"")</f>
        <v/>
      </c>
      <c r="L48" s="7">
        <f>IF($W48="","",SUMIFS('Per Line'!$Q$2:$Q$1501,'Per Line'!$B$2:$B$1501,$B48,'Per Line'!$AI$2:$AI$1501,1))</f>
        <v/>
      </c>
      <c r="M48">
        <f>IF($W48="","",Settings!$C$7)</f>
        <v/>
      </c>
      <c r="N48" s="7">
        <f>IF($W48="","",SUMIFS('Per Line'!$Q$2:$Q$1501,'Per Line'!$B$2:$B$1501,$B48,'Per Line'!$AH$2:$AH$1501,0,'Per Line'!$AI$2:$AI$1501,0))</f>
        <v/>
      </c>
      <c r="O48" s="7">
        <f>IF($W48="","",N48*M48)</f>
        <v/>
      </c>
      <c r="P48">
        <f>IF($W48="","",Settings!$C$6)</f>
        <v/>
      </c>
      <c r="Q48" s="7">
        <f>IF($W48="","",SUMIFS('Per Line'!$Q$2:$Q$1501,'Per Line'!$B$2:$B$1501,$B48,'Per Line'!$AH$2:$AH$1501,1,'Per Line'!$AI$2:$AI$1501,0))</f>
        <v/>
      </c>
      <c r="R48" s="7">
        <f>IF($W48="","",Q48*P48)</f>
        <v/>
      </c>
      <c r="S48" s="7">
        <f>IF($W48="","",R48+O48)</f>
        <v/>
      </c>
      <c r="T48" s="7">
        <f>IF($W48="","",U48-S48)</f>
        <v/>
      </c>
      <c r="U48" s="7">
        <f>IF($W48="","",N48+Q48+L48)</f>
        <v/>
      </c>
      <c r="V48" s="7">
        <f>IF($W48="","",U48-S48-J48)</f>
        <v/>
      </c>
      <c r="W48" s="13">
        <f>IF(ROWS($W$2:$W48)&lt;=MAX('Per Line'!$AG$2:$AG$1501),MATCH(ROWS($W$2:$W48),'Per Line'!$AG$2:$AG$1501,0),"")</f>
        <v/>
      </c>
    </row>
    <row r="49">
      <c r="A49" s="12" t="n"/>
      <c r="B49">
        <f>IF($W49="","",INDEX('Per Line'!$B$2:$B$1501,$W49)&amp;"")</f>
        <v/>
      </c>
      <c r="C49">
        <f>IF($W49="","",INDEX('Per Line'!$A$2:$A$1501,$W49))</f>
        <v/>
      </c>
      <c r="D49" s="11">
        <f>IF($W49="","",INDEX('Per Line'!$C$2:$C$1501,$W49))</f>
        <v/>
      </c>
      <c r="E49">
        <f>IF($W49="","",INDEX('Per Line'!$D$2:$D$1501,$W49)&amp;"")</f>
        <v/>
      </c>
      <c r="F49">
        <f>IF($W49="","",INDEX('Per Line'!$F$2:$F$1501,$W49)&amp;"")</f>
        <v/>
      </c>
      <c r="G49">
        <f>IF($W49="","",INDEX('Per Line'!$G$2:$G$1501,$W49)&amp;"")</f>
        <v/>
      </c>
      <c r="H49">
        <f>IF($W49="","",INDEX('Per Line'!$H$2:$H$1501,$W49)&amp;"")</f>
        <v/>
      </c>
      <c r="I49">
        <f>IF($W49="","",INDEX('Per Line'!$I$2:$I$1501,$W49))</f>
        <v/>
      </c>
      <c r="J49" s="7">
        <f>IF($W49="","",I49*U49/100)</f>
        <v/>
      </c>
      <c r="K49">
        <f>IF($W49="","",INDEX('Per Line'!$U$2:$U$1501,$W49)&amp;"")</f>
        <v/>
      </c>
      <c r="L49" s="7">
        <f>IF($W49="","",SUMIFS('Per Line'!$Q$2:$Q$1501,'Per Line'!$B$2:$B$1501,$B49,'Per Line'!$AI$2:$AI$1501,1))</f>
        <v/>
      </c>
      <c r="M49">
        <f>IF($W49="","",Settings!$C$7)</f>
        <v/>
      </c>
      <c r="N49" s="7">
        <f>IF($W49="","",SUMIFS('Per Line'!$Q$2:$Q$1501,'Per Line'!$B$2:$B$1501,$B49,'Per Line'!$AH$2:$AH$1501,0,'Per Line'!$AI$2:$AI$1501,0))</f>
        <v/>
      </c>
      <c r="O49" s="7">
        <f>IF($W49="","",N49*M49)</f>
        <v/>
      </c>
      <c r="P49">
        <f>IF($W49="","",Settings!$C$6)</f>
        <v/>
      </c>
      <c r="Q49" s="7">
        <f>IF($W49="","",SUMIFS('Per Line'!$Q$2:$Q$1501,'Per Line'!$B$2:$B$1501,$B49,'Per Line'!$AH$2:$AH$1501,1,'Per Line'!$AI$2:$AI$1501,0))</f>
        <v/>
      </c>
      <c r="R49" s="7">
        <f>IF($W49="","",Q49*P49)</f>
        <v/>
      </c>
      <c r="S49" s="7">
        <f>IF($W49="","",R49+O49)</f>
        <v/>
      </c>
      <c r="T49" s="7">
        <f>IF($W49="","",U49-S49)</f>
        <v/>
      </c>
      <c r="U49" s="7">
        <f>IF($W49="","",N49+Q49+L49)</f>
        <v/>
      </c>
      <c r="V49" s="7">
        <f>IF($W49="","",U49-S49-J49)</f>
        <v/>
      </c>
      <c r="W49" s="13">
        <f>IF(ROWS($W$2:$W49)&lt;=MAX('Per Line'!$AG$2:$AG$1501),MATCH(ROWS($W$2:$W49),'Per Line'!$AG$2:$AG$1501,0),"")</f>
        <v/>
      </c>
    </row>
    <row r="50">
      <c r="A50" s="12" t="n"/>
      <c r="B50">
        <f>IF($W50="","",INDEX('Per Line'!$B$2:$B$1501,$W50)&amp;"")</f>
        <v/>
      </c>
      <c r="C50">
        <f>IF($W50="","",INDEX('Per Line'!$A$2:$A$1501,$W50))</f>
        <v/>
      </c>
      <c r="D50" s="11">
        <f>IF($W50="","",INDEX('Per Line'!$C$2:$C$1501,$W50))</f>
        <v/>
      </c>
      <c r="E50">
        <f>IF($W50="","",INDEX('Per Line'!$D$2:$D$1501,$W50)&amp;"")</f>
        <v/>
      </c>
      <c r="F50">
        <f>IF($W50="","",INDEX('Per Line'!$F$2:$F$1501,$W50)&amp;"")</f>
        <v/>
      </c>
      <c r="G50">
        <f>IF($W50="","",INDEX('Per Line'!$G$2:$G$1501,$W50)&amp;"")</f>
        <v/>
      </c>
      <c r="H50">
        <f>IF($W50="","",INDEX('Per Line'!$H$2:$H$1501,$W50)&amp;"")</f>
        <v/>
      </c>
      <c r="I50">
        <f>IF($W50="","",INDEX('Per Line'!$I$2:$I$1501,$W50))</f>
        <v/>
      </c>
      <c r="J50" s="7">
        <f>IF($W50="","",I50*U50/100)</f>
        <v/>
      </c>
      <c r="K50">
        <f>IF($W50="","",INDEX('Per Line'!$U$2:$U$1501,$W50)&amp;"")</f>
        <v/>
      </c>
      <c r="L50" s="7">
        <f>IF($W50="","",SUMIFS('Per Line'!$Q$2:$Q$1501,'Per Line'!$B$2:$B$1501,$B50,'Per Line'!$AI$2:$AI$1501,1))</f>
        <v/>
      </c>
      <c r="M50">
        <f>IF($W50="","",Settings!$C$7)</f>
        <v/>
      </c>
      <c r="N50" s="7">
        <f>IF($W50="","",SUMIFS('Per Line'!$Q$2:$Q$1501,'Per Line'!$B$2:$B$1501,$B50,'Per Line'!$AH$2:$AH$1501,0,'Per Line'!$AI$2:$AI$1501,0))</f>
        <v/>
      </c>
      <c r="O50" s="7">
        <f>IF($W50="","",N50*M50)</f>
        <v/>
      </c>
      <c r="P50">
        <f>IF($W50="","",Settings!$C$6)</f>
        <v/>
      </c>
      <c r="Q50" s="7">
        <f>IF($W50="","",SUMIFS('Per Line'!$Q$2:$Q$1501,'Per Line'!$B$2:$B$1501,$B50,'Per Line'!$AH$2:$AH$1501,1,'Per Line'!$AI$2:$AI$1501,0))</f>
        <v/>
      </c>
      <c r="R50" s="7">
        <f>IF($W50="","",Q50*P50)</f>
        <v/>
      </c>
      <c r="S50" s="7">
        <f>IF($W50="","",R50+O50)</f>
        <v/>
      </c>
      <c r="T50" s="7">
        <f>IF($W50="","",U50-S50)</f>
        <v/>
      </c>
      <c r="U50" s="7">
        <f>IF($W50="","",N50+Q50+L50)</f>
        <v/>
      </c>
      <c r="V50" s="7">
        <f>IF($W50="","",U50-S50-J50)</f>
        <v/>
      </c>
      <c r="W50" s="13">
        <f>IF(ROWS($W$2:$W50)&lt;=MAX('Per Line'!$AG$2:$AG$1501),MATCH(ROWS($W$2:$W50),'Per Line'!$AG$2:$AG$1501,0),"")</f>
        <v/>
      </c>
    </row>
    <row r="51">
      <c r="A51" s="12" t="n"/>
      <c r="B51">
        <f>IF($W51="","",INDEX('Per Line'!$B$2:$B$1501,$W51)&amp;"")</f>
        <v/>
      </c>
      <c r="C51">
        <f>IF($W51="","",INDEX('Per Line'!$A$2:$A$1501,$W51))</f>
        <v/>
      </c>
      <c r="D51" s="11">
        <f>IF($W51="","",INDEX('Per Line'!$C$2:$C$1501,$W51))</f>
        <v/>
      </c>
      <c r="E51">
        <f>IF($W51="","",INDEX('Per Line'!$D$2:$D$1501,$W51)&amp;"")</f>
        <v/>
      </c>
      <c r="F51">
        <f>IF($W51="","",INDEX('Per Line'!$F$2:$F$1501,$W51)&amp;"")</f>
        <v/>
      </c>
      <c r="G51">
        <f>IF($W51="","",INDEX('Per Line'!$G$2:$G$1501,$W51)&amp;"")</f>
        <v/>
      </c>
      <c r="H51">
        <f>IF($W51="","",INDEX('Per Line'!$H$2:$H$1501,$W51)&amp;"")</f>
        <v/>
      </c>
      <c r="I51">
        <f>IF($W51="","",INDEX('Per Line'!$I$2:$I$1501,$W51))</f>
        <v/>
      </c>
      <c r="J51" s="7">
        <f>IF($W51="","",I51*U51/100)</f>
        <v/>
      </c>
      <c r="K51">
        <f>IF($W51="","",INDEX('Per Line'!$U$2:$U$1501,$W51)&amp;"")</f>
        <v/>
      </c>
      <c r="L51" s="7">
        <f>IF($W51="","",SUMIFS('Per Line'!$Q$2:$Q$1501,'Per Line'!$B$2:$B$1501,$B51,'Per Line'!$AI$2:$AI$1501,1))</f>
        <v/>
      </c>
      <c r="M51">
        <f>IF($W51="","",Settings!$C$7)</f>
        <v/>
      </c>
      <c r="N51" s="7">
        <f>IF($W51="","",SUMIFS('Per Line'!$Q$2:$Q$1501,'Per Line'!$B$2:$B$1501,$B51,'Per Line'!$AH$2:$AH$1501,0,'Per Line'!$AI$2:$AI$1501,0))</f>
        <v/>
      </c>
      <c r="O51" s="7">
        <f>IF($W51="","",N51*M51)</f>
        <v/>
      </c>
      <c r="P51">
        <f>IF($W51="","",Settings!$C$6)</f>
        <v/>
      </c>
      <c r="Q51" s="7">
        <f>IF($W51="","",SUMIFS('Per Line'!$Q$2:$Q$1501,'Per Line'!$B$2:$B$1501,$B51,'Per Line'!$AH$2:$AH$1501,1,'Per Line'!$AI$2:$AI$1501,0))</f>
        <v/>
      </c>
      <c r="R51" s="7">
        <f>IF($W51="","",Q51*P51)</f>
        <v/>
      </c>
      <c r="S51" s="7">
        <f>IF($W51="","",R51+O51)</f>
        <v/>
      </c>
      <c r="T51" s="7">
        <f>IF($W51="","",U51-S51)</f>
        <v/>
      </c>
      <c r="U51" s="7">
        <f>IF($W51="","",N51+Q51+L51)</f>
        <v/>
      </c>
      <c r="V51" s="7">
        <f>IF($W51="","",U51-S51-J51)</f>
        <v/>
      </c>
      <c r="W51" s="13">
        <f>IF(ROWS($W$2:$W51)&lt;=MAX('Per Line'!$AG$2:$AG$1501),MATCH(ROWS($W$2:$W51),'Per Line'!$AG$2:$AG$1501,0),"")</f>
        <v/>
      </c>
    </row>
    <row r="52">
      <c r="A52" s="12" t="n"/>
      <c r="B52">
        <f>IF($W52="","",INDEX('Per Line'!$B$2:$B$1501,$W52)&amp;"")</f>
        <v/>
      </c>
      <c r="C52">
        <f>IF($W52="","",INDEX('Per Line'!$A$2:$A$1501,$W52))</f>
        <v/>
      </c>
      <c r="D52" s="11">
        <f>IF($W52="","",INDEX('Per Line'!$C$2:$C$1501,$W52))</f>
        <v/>
      </c>
      <c r="E52">
        <f>IF($W52="","",INDEX('Per Line'!$D$2:$D$1501,$W52)&amp;"")</f>
        <v/>
      </c>
      <c r="F52">
        <f>IF($W52="","",INDEX('Per Line'!$F$2:$F$1501,$W52)&amp;"")</f>
        <v/>
      </c>
      <c r="G52">
        <f>IF($W52="","",INDEX('Per Line'!$G$2:$G$1501,$W52)&amp;"")</f>
        <v/>
      </c>
      <c r="H52">
        <f>IF($W52="","",INDEX('Per Line'!$H$2:$H$1501,$W52)&amp;"")</f>
        <v/>
      </c>
      <c r="I52">
        <f>IF($W52="","",INDEX('Per Line'!$I$2:$I$1501,$W52))</f>
        <v/>
      </c>
      <c r="J52" s="7">
        <f>IF($W52="","",I52*U52/100)</f>
        <v/>
      </c>
      <c r="K52">
        <f>IF($W52="","",INDEX('Per Line'!$U$2:$U$1501,$W52)&amp;"")</f>
        <v/>
      </c>
      <c r="L52" s="7">
        <f>IF($W52="","",SUMIFS('Per Line'!$Q$2:$Q$1501,'Per Line'!$B$2:$B$1501,$B52,'Per Line'!$AI$2:$AI$1501,1))</f>
        <v/>
      </c>
      <c r="M52">
        <f>IF($W52="","",Settings!$C$7)</f>
        <v/>
      </c>
      <c r="N52" s="7">
        <f>IF($W52="","",SUMIFS('Per Line'!$Q$2:$Q$1501,'Per Line'!$B$2:$B$1501,$B52,'Per Line'!$AH$2:$AH$1501,0,'Per Line'!$AI$2:$AI$1501,0))</f>
        <v/>
      </c>
      <c r="O52" s="7">
        <f>IF($W52="","",N52*M52)</f>
        <v/>
      </c>
      <c r="P52">
        <f>IF($W52="","",Settings!$C$6)</f>
        <v/>
      </c>
      <c r="Q52" s="7">
        <f>IF($W52="","",SUMIFS('Per Line'!$Q$2:$Q$1501,'Per Line'!$B$2:$B$1501,$B52,'Per Line'!$AH$2:$AH$1501,1,'Per Line'!$AI$2:$AI$1501,0))</f>
        <v/>
      </c>
      <c r="R52" s="7">
        <f>IF($W52="","",Q52*P52)</f>
        <v/>
      </c>
      <c r="S52" s="7">
        <f>IF($W52="","",R52+O52)</f>
        <v/>
      </c>
      <c r="T52" s="7">
        <f>IF($W52="","",U52-S52)</f>
        <v/>
      </c>
      <c r="U52" s="7">
        <f>IF($W52="","",N52+Q52+L52)</f>
        <v/>
      </c>
      <c r="V52" s="7">
        <f>IF($W52="","",U52-S52-J52)</f>
        <v/>
      </c>
      <c r="W52" s="13">
        <f>IF(ROWS($W$2:$W52)&lt;=MAX('Per Line'!$AG$2:$AG$1501),MATCH(ROWS($W$2:$W52),'Per Line'!$AG$2:$AG$1501,0),"")</f>
        <v/>
      </c>
    </row>
    <row r="53">
      <c r="A53" s="12" t="n"/>
      <c r="B53">
        <f>IF($W53="","",INDEX('Per Line'!$B$2:$B$1501,$W53)&amp;"")</f>
        <v/>
      </c>
      <c r="C53">
        <f>IF($W53="","",INDEX('Per Line'!$A$2:$A$1501,$W53))</f>
        <v/>
      </c>
      <c r="D53" s="11">
        <f>IF($W53="","",INDEX('Per Line'!$C$2:$C$1501,$W53))</f>
        <v/>
      </c>
      <c r="E53">
        <f>IF($W53="","",INDEX('Per Line'!$D$2:$D$1501,$W53)&amp;"")</f>
        <v/>
      </c>
      <c r="F53">
        <f>IF($W53="","",INDEX('Per Line'!$F$2:$F$1501,$W53)&amp;"")</f>
        <v/>
      </c>
      <c r="G53">
        <f>IF($W53="","",INDEX('Per Line'!$G$2:$G$1501,$W53)&amp;"")</f>
        <v/>
      </c>
      <c r="H53">
        <f>IF($W53="","",INDEX('Per Line'!$H$2:$H$1501,$W53)&amp;"")</f>
        <v/>
      </c>
      <c r="I53">
        <f>IF($W53="","",INDEX('Per Line'!$I$2:$I$1501,$W53))</f>
        <v/>
      </c>
      <c r="J53" s="7">
        <f>IF($W53="","",I53*U53/100)</f>
        <v/>
      </c>
      <c r="K53">
        <f>IF($W53="","",INDEX('Per Line'!$U$2:$U$1501,$W53)&amp;"")</f>
        <v/>
      </c>
      <c r="L53" s="7">
        <f>IF($W53="","",SUMIFS('Per Line'!$Q$2:$Q$1501,'Per Line'!$B$2:$B$1501,$B53,'Per Line'!$AI$2:$AI$1501,1))</f>
        <v/>
      </c>
      <c r="M53">
        <f>IF($W53="","",Settings!$C$7)</f>
        <v/>
      </c>
      <c r="N53" s="7">
        <f>IF($W53="","",SUMIFS('Per Line'!$Q$2:$Q$1501,'Per Line'!$B$2:$B$1501,$B53,'Per Line'!$AH$2:$AH$1501,0,'Per Line'!$AI$2:$AI$1501,0))</f>
        <v/>
      </c>
      <c r="O53" s="7">
        <f>IF($W53="","",N53*M53)</f>
        <v/>
      </c>
      <c r="P53">
        <f>IF($W53="","",Settings!$C$6)</f>
        <v/>
      </c>
      <c r="Q53" s="7">
        <f>IF($W53="","",SUMIFS('Per Line'!$Q$2:$Q$1501,'Per Line'!$B$2:$B$1501,$B53,'Per Line'!$AH$2:$AH$1501,1,'Per Line'!$AI$2:$AI$1501,0))</f>
        <v/>
      </c>
      <c r="R53" s="7">
        <f>IF($W53="","",Q53*P53)</f>
        <v/>
      </c>
      <c r="S53" s="7">
        <f>IF($W53="","",R53+O53)</f>
        <v/>
      </c>
      <c r="T53" s="7">
        <f>IF($W53="","",U53-S53)</f>
        <v/>
      </c>
      <c r="U53" s="7">
        <f>IF($W53="","",N53+Q53+L53)</f>
        <v/>
      </c>
      <c r="V53" s="7">
        <f>IF($W53="","",U53-S53-J53)</f>
        <v/>
      </c>
      <c r="W53" s="13">
        <f>IF(ROWS($W$2:$W53)&lt;=MAX('Per Line'!$AG$2:$AG$1501),MATCH(ROWS($W$2:$W53),'Per Line'!$AG$2:$AG$1501,0),"")</f>
        <v/>
      </c>
    </row>
    <row r="54">
      <c r="A54" s="12" t="n"/>
      <c r="B54">
        <f>IF($W54="","",INDEX('Per Line'!$B$2:$B$1501,$W54)&amp;"")</f>
        <v/>
      </c>
      <c r="C54">
        <f>IF($W54="","",INDEX('Per Line'!$A$2:$A$1501,$W54))</f>
        <v/>
      </c>
      <c r="D54" s="11">
        <f>IF($W54="","",INDEX('Per Line'!$C$2:$C$1501,$W54))</f>
        <v/>
      </c>
      <c r="E54">
        <f>IF($W54="","",INDEX('Per Line'!$D$2:$D$1501,$W54)&amp;"")</f>
        <v/>
      </c>
      <c r="F54">
        <f>IF($W54="","",INDEX('Per Line'!$F$2:$F$1501,$W54)&amp;"")</f>
        <v/>
      </c>
      <c r="G54">
        <f>IF($W54="","",INDEX('Per Line'!$G$2:$G$1501,$W54)&amp;"")</f>
        <v/>
      </c>
      <c r="H54">
        <f>IF($W54="","",INDEX('Per Line'!$H$2:$H$1501,$W54)&amp;"")</f>
        <v/>
      </c>
      <c r="I54">
        <f>IF($W54="","",INDEX('Per Line'!$I$2:$I$1501,$W54))</f>
        <v/>
      </c>
      <c r="J54" s="7">
        <f>IF($W54="","",I54*U54/100)</f>
        <v/>
      </c>
      <c r="K54">
        <f>IF($W54="","",INDEX('Per Line'!$U$2:$U$1501,$W54)&amp;"")</f>
        <v/>
      </c>
      <c r="L54" s="7">
        <f>IF($W54="","",SUMIFS('Per Line'!$Q$2:$Q$1501,'Per Line'!$B$2:$B$1501,$B54,'Per Line'!$AI$2:$AI$1501,1))</f>
        <v/>
      </c>
      <c r="M54">
        <f>IF($W54="","",Settings!$C$7)</f>
        <v/>
      </c>
      <c r="N54" s="7">
        <f>IF($W54="","",SUMIFS('Per Line'!$Q$2:$Q$1501,'Per Line'!$B$2:$B$1501,$B54,'Per Line'!$AH$2:$AH$1501,0,'Per Line'!$AI$2:$AI$1501,0))</f>
        <v/>
      </c>
      <c r="O54" s="7">
        <f>IF($W54="","",N54*M54)</f>
        <v/>
      </c>
      <c r="P54">
        <f>IF($W54="","",Settings!$C$6)</f>
        <v/>
      </c>
      <c r="Q54" s="7">
        <f>IF($W54="","",SUMIFS('Per Line'!$Q$2:$Q$1501,'Per Line'!$B$2:$B$1501,$B54,'Per Line'!$AH$2:$AH$1501,1,'Per Line'!$AI$2:$AI$1501,0))</f>
        <v/>
      </c>
      <c r="R54" s="7">
        <f>IF($W54="","",Q54*P54)</f>
        <v/>
      </c>
      <c r="S54" s="7">
        <f>IF($W54="","",R54+O54)</f>
        <v/>
      </c>
      <c r="T54" s="7">
        <f>IF($W54="","",U54-S54)</f>
        <v/>
      </c>
      <c r="U54" s="7">
        <f>IF($W54="","",N54+Q54+L54)</f>
        <v/>
      </c>
      <c r="V54" s="7">
        <f>IF($W54="","",U54-S54-J54)</f>
        <v/>
      </c>
      <c r="W54" s="13">
        <f>IF(ROWS($W$2:$W54)&lt;=MAX('Per Line'!$AG$2:$AG$1501),MATCH(ROWS($W$2:$W54),'Per Line'!$AG$2:$AG$1501,0),"")</f>
        <v/>
      </c>
    </row>
    <row r="55">
      <c r="A55" s="12" t="n"/>
      <c r="B55">
        <f>IF($W55="","",INDEX('Per Line'!$B$2:$B$1501,$W55)&amp;"")</f>
        <v/>
      </c>
      <c r="C55">
        <f>IF($W55="","",INDEX('Per Line'!$A$2:$A$1501,$W55))</f>
        <v/>
      </c>
      <c r="D55" s="11">
        <f>IF($W55="","",INDEX('Per Line'!$C$2:$C$1501,$W55))</f>
        <v/>
      </c>
      <c r="E55">
        <f>IF($W55="","",INDEX('Per Line'!$D$2:$D$1501,$W55)&amp;"")</f>
        <v/>
      </c>
      <c r="F55">
        <f>IF($W55="","",INDEX('Per Line'!$F$2:$F$1501,$W55)&amp;"")</f>
        <v/>
      </c>
      <c r="G55">
        <f>IF($W55="","",INDEX('Per Line'!$G$2:$G$1501,$W55)&amp;"")</f>
        <v/>
      </c>
      <c r="H55">
        <f>IF($W55="","",INDEX('Per Line'!$H$2:$H$1501,$W55)&amp;"")</f>
        <v/>
      </c>
      <c r="I55">
        <f>IF($W55="","",INDEX('Per Line'!$I$2:$I$1501,$W55))</f>
        <v/>
      </c>
      <c r="J55" s="7">
        <f>IF($W55="","",I55*U55/100)</f>
        <v/>
      </c>
      <c r="K55">
        <f>IF($W55="","",INDEX('Per Line'!$U$2:$U$1501,$W55)&amp;"")</f>
        <v/>
      </c>
      <c r="L55" s="7">
        <f>IF($W55="","",SUMIFS('Per Line'!$Q$2:$Q$1501,'Per Line'!$B$2:$B$1501,$B55,'Per Line'!$AI$2:$AI$1501,1))</f>
        <v/>
      </c>
      <c r="M55">
        <f>IF($W55="","",Settings!$C$7)</f>
        <v/>
      </c>
      <c r="N55" s="7">
        <f>IF($W55="","",SUMIFS('Per Line'!$Q$2:$Q$1501,'Per Line'!$B$2:$B$1501,$B55,'Per Line'!$AH$2:$AH$1501,0,'Per Line'!$AI$2:$AI$1501,0))</f>
        <v/>
      </c>
      <c r="O55" s="7">
        <f>IF($W55="","",N55*M55)</f>
        <v/>
      </c>
      <c r="P55">
        <f>IF($W55="","",Settings!$C$6)</f>
        <v/>
      </c>
      <c r="Q55" s="7">
        <f>IF($W55="","",SUMIFS('Per Line'!$Q$2:$Q$1501,'Per Line'!$B$2:$B$1501,$B55,'Per Line'!$AH$2:$AH$1501,1,'Per Line'!$AI$2:$AI$1501,0))</f>
        <v/>
      </c>
      <c r="R55" s="7">
        <f>IF($W55="","",Q55*P55)</f>
        <v/>
      </c>
      <c r="S55" s="7">
        <f>IF($W55="","",R55+O55)</f>
        <v/>
      </c>
      <c r="T55" s="7">
        <f>IF($W55="","",U55-S55)</f>
        <v/>
      </c>
      <c r="U55" s="7">
        <f>IF($W55="","",N55+Q55+L55)</f>
        <v/>
      </c>
      <c r="V55" s="7">
        <f>IF($W55="","",U55-S55-J55)</f>
        <v/>
      </c>
      <c r="W55" s="13">
        <f>IF(ROWS($W$2:$W55)&lt;=MAX('Per Line'!$AG$2:$AG$1501),MATCH(ROWS($W$2:$W55),'Per Line'!$AG$2:$AG$1501,0),"")</f>
        <v/>
      </c>
    </row>
    <row r="56">
      <c r="A56" s="12" t="n"/>
      <c r="B56">
        <f>IF($W56="","",INDEX('Per Line'!$B$2:$B$1501,$W56)&amp;"")</f>
        <v/>
      </c>
      <c r="C56">
        <f>IF($W56="","",INDEX('Per Line'!$A$2:$A$1501,$W56))</f>
        <v/>
      </c>
      <c r="D56" s="11">
        <f>IF($W56="","",INDEX('Per Line'!$C$2:$C$1501,$W56))</f>
        <v/>
      </c>
      <c r="E56">
        <f>IF($W56="","",INDEX('Per Line'!$D$2:$D$1501,$W56)&amp;"")</f>
        <v/>
      </c>
      <c r="F56">
        <f>IF($W56="","",INDEX('Per Line'!$F$2:$F$1501,$W56)&amp;"")</f>
        <v/>
      </c>
      <c r="G56">
        <f>IF($W56="","",INDEX('Per Line'!$G$2:$G$1501,$W56)&amp;"")</f>
        <v/>
      </c>
      <c r="H56">
        <f>IF($W56="","",INDEX('Per Line'!$H$2:$H$1501,$W56)&amp;"")</f>
        <v/>
      </c>
      <c r="I56">
        <f>IF($W56="","",INDEX('Per Line'!$I$2:$I$1501,$W56))</f>
        <v/>
      </c>
      <c r="J56" s="7">
        <f>IF($W56="","",I56*U56/100)</f>
        <v/>
      </c>
      <c r="K56">
        <f>IF($W56="","",INDEX('Per Line'!$U$2:$U$1501,$W56)&amp;"")</f>
        <v/>
      </c>
      <c r="L56" s="7">
        <f>IF($W56="","",SUMIFS('Per Line'!$Q$2:$Q$1501,'Per Line'!$B$2:$B$1501,$B56,'Per Line'!$AI$2:$AI$1501,1))</f>
        <v/>
      </c>
      <c r="M56">
        <f>IF($W56="","",Settings!$C$7)</f>
        <v/>
      </c>
      <c r="N56" s="7">
        <f>IF($W56="","",SUMIFS('Per Line'!$Q$2:$Q$1501,'Per Line'!$B$2:$B$1501,$B56,'Per Line'!$AH$2:$AH$1501,0,'Per Line'!$AI$2:$AI$1501,0))</f>
        <v/>
      </c>
      <c r="O56" s="7">
        <f>IF($W56="","",N56*M56)</f>
        <v/>
      </c>
      <c r="P56">
        <f>IF($W56="","",Settings!$C$6)</f>
        <v/>
      </c>
      <c r="Q56" s="7">
        <f>IF($W56="","",SUMIFS('Per Line'!$Q$2:$Q$1501,'Per Line'!$B$2:$B$1501,$B56,'Per Line'!$AH$2:$AH$1501,1,'Per Line'!$AI$2:$AI$1501,0))</f>
        <v/>
      </c>
      <c r="R56" s="7">
        <f>IF($W56="","",Q56*P56)</f>
        <v/>
      </c>
      <c r="S56" s="7">
        <f>IF($W56="","",R56+O56)</f>
        <v/>
      </c>
      <c r="T56" s="7">
        <f>IF($W56="","",U56-S56)</f>
        <v/>
      </c>
      <c r="U56" s="7">
        <f>IF($W56="","",N56+Q56+L56)</f>
        <v/>
      </c>
      <c r="V56" s="7">
        <f>IF($W56="","",U56-S56-J56)</f>
        <v/>
      </c>
      <c r="W56" s="13">
        <f>IF(ROWS($W$2:$W56)&lt;=MAX('Per Line'!$AG$2:$AG$1501),MATCH(ROWS($W$2:$W56),'Per Line'!$AG$2:$AG$1501,0),"")</f>
        <v/>
      </c>
    </row>
    <row r="57">
      <c r="A57" s="12" t="n"/>
      <c r="B57">
        <f>IF($W57="","",INDEX('Per Line'!$B$2:$B$1501,$W57)&amp;"")</f>
        <v/>
      </c>
      <c r="C57">
        <f>IF($W57="","",INDEX('Per Line'!$A$2:$A$1501,$W57))</f>
        <v/>
      </c>
      <c r="D57" s="11">
        <f>IF($W57="","",INDEX('Per Line'!$C$2:$C$1501,$W57))</f>
        <v/>
      </c>
      <c r="E57">
        <f>IF($W57="","",INDEX('Per Line'!$D$2:$D$1501,$W57)&amp;"")</f>
        <v/>
      </c>
      <c r="F57">
        <f>IF($W57="","",INDEX('Per Line'!$F$2:$F$1501,$W57)&amp;"")</f>
        <v/>
      </c>
      <c r="G57">
        <f>IF($W57="","",INDEX('Per Line'!$G$2:$G$1501,$W57)&amp;"")</f>
        <v/>
      </c>
      <c r="H57">
        <f>IF($W57="","",INDEX('Per Line'!$H$2:$H$1501,$W57)&amp;"")</f>
        <v/>
      </c>
      <c r="I57">
        <f>IF($W57="","",INDEX('Per Line'!$I$2:$I$1501,$W57))</f>
        <v/>
      </c>
      <c r="J57" s="7">
        <f>IF($W57="","",I57*U57/100)</f>
        <v/>
      </c>
      <c r="K57">
        <f>IF($W57="","",INDEX('Per Line'!$U$2:$U$1501,$W57)&amp;"")</f>
        <v/>
      </c>
      <c r="L57" s="7">
        <f>IF($W57="","",SUMIFS('Per Line'!$Q$2:$Q$1501,'Per Line'!$B$2:$B$1501,$B57,'Per Line'!$AI$2:$AI$1501,1))</f>
        <v/>
      </c>
      <c r="M57">
        <f>IF($W57="","",Settings!$C$7)</f>
        <v/>
      </c>
      <c r="N57" s="7">
        <f>IF($W57="","",SUMIFS('Per Line'!$Q$2:$Q$1501,'Per Line'!$B$2:$B$1501,$B57,'Per Line'!$AH$2:$AH$1501,0,'Per Line'!$AI$2:$AI$1501,0))</f>
        <v/>
      </c>
      <c r="O57" s="7">
        <f>IF($W57="","",N57*M57)</f>
        <v/>
      </c>
      <c r="P57">
        <f>IF($W57="","",Settings!$C$6)</f>
        <v/>
      </c>
      <c r="Q57" s="7">
        <f>IF($W57="","",SUMIFS('Per Line'!$Q$2:$Q$1501,'Per Line'!$B$2:$B$1501,$B57,'Per Line'!$AH$2:$AH$1501,1,'Per Line'!$AI$2:$AI$1501,0))</f>
        <v/>
      </c>
      <c r="R57" s="7">
        <f>IF($W57="","",Q57*P57)</f>
        <v/>
      </c>
      <c r="S57" s="7">
        <f>IF($W57="","",R57+O57)</f>
        <v/>
      </c>
      <c r="T57" s="7">
        <f>IF($W57="","",U57-S57)</f>
        <v/>
      </c>
      <c r="U57" s="7">
        <f>IF($W57="","",N57+Q57+L57)</f>
        <v/>
      </c>
      <c r="V57" s="7">
        <f>IF($W57="","",U57-S57-J57)</f>
        <v/>
      </c>
      <c r="W57" s="13">
        <f>IF(ROWS($W$2:$W57)&lt;=MAX('Per Line'!$AG$2:$AG$1501),MATCH(ROWS($W$2:$W57),'Per Line'!$AG$2:$AG$1501,0),"")</f>
        <v/>
      </c>
    </row>
    <row r="58">
      <c r="A58" s="12" t="n"/>
      <c r="B58">
        <f>IF($W58="","",INDEX('Per Line'!$B$2:$B$1501,$W58)&amp;"")</f>
        <v/>
      </c>
      <c r="C58">
        <f>IF($W58="","",INDEX('Per Line'!$A$2:$A$1501,$W58))</f>
        <v/>
      </c>
      <c r="D58" s="11">
        <f>IF($W58="","",INDEX('Per Line'!$C$2:$C$1501,$W58))</f>
        <v/>
      </c>
      <c r="E58">
        <f>IF($W58="","",INDEX('Per Line'!$D$2:$D$1501,$W58)&amp;"")</f>
        <v/>
      </c>
      <c r="F58">
        <f>IF($W58="","",INDEX('Per Line'!$F$2:$F$1501,$W58)&amp;"")</f>
        <v/>
      </c>
      <c r="G58">
        <f>IF($W58="","",INDEX('Per Line'!$G$2:$G$1501,$W58)&amp;"")</f>
        <v/>
      </c>
      <c r="H58">
        <f>IF($W58="","",INDEX('Per Line'!$H$2:$H$1501,$W58)&amp;"")</f>
        <v/>
      </c>
      <c r="I58">
        <f>IF($W58="","",INDEX('Per Line'!$I$2:$I$1501,$W58))</f>
        <v/>
      </c>
      <c r="J58" s="7">
        <f>IF($W58="","",I58*U58/100)</f>
        <v/>
      </c>
      <c r="K58">
        <f>IF($W58="","",INDEX('Per Line'!$U$2:$U$1501,$W58)&amp;"")</f>
        <v/>
      </c>
      <c r="L58" s="7">
        <f>IF($W58="","",SUMIFS('Per Line'!$Q$2:$Q$1501,'Per Line'!$B$2:$B$1501,$B58,'Per Line'!$AI$2:$AI$1501,1))</f>
        <v/>
      </c>
      <c r="M58">
        <f>IF($W58="","",Settings!$C$7)</f>
        <v/>
      </c>
      <c r="N58" s="7">
        <f>IF($W58="","",SUMIFS('Per Line'!$Q$2:$Q$1501,'Per Line'!$B$2:$B$1501,$B58,'Per Line'!$AH$2:$AH$1501,0,'Per Line'!$AI$2:$AI$1501,0))</f>
        <v/>
      </c>
      <c r="O58" s="7">
        <f>IF($W58="","",N58*M58)</f>
        <v/>
      </c>
      <c r="P58">
        <f>IF($W58="","",Settings!$C$6)</f>
        <v/>
      </c>
      <c r="Q58" s="7">
        <f>IF($W58="","",SUMIFS('Per Line'!$Q$2:$Q$1501,'Per Line'!$B$2:$B$1501,$B58,'Per Line'!$AH$2:$AH$1501,1,'Per Line'!$AI$2:$AI$1501,0))</f>
        <v/>
      </c>
      <c r="R58" s="7">
        <f>IF($W58="","",Q58*P58)</f>
        <v/>
      </c>
      <c r="S58" s="7">
        <f>IF($W58="","",R58+O58)</f>
        <v/>
      </c>
      <c r="T58" s="7">
        <f>IF($W58="","",U58-S58)</f>
        <v/>
      </c>
      <c r="U58" s="7">
        <f>IF($W58="","",N58+Q58+L58)</f>
        <v/>
      </c>
      <c r="V58" s="7">
        <f>IF($W58="","",U58-S58-J58)</f>
        <v/>
      </c>
      <c r="W58" s="13">
        <f>IF(ROWS($W$2:$W58)&lt;=MAX('Per Line'!$AG$2:$AG$1501),MATCH(ROWS($W$2:$W58),'Per Line'!$AG$2:$AG$1501,0),"")</f>
        <v/>
      </c>
    </row>
    <row r="59">
      <c r="A59" s="12" t="n"/>
      <c r="B59">
        <f>IF($W59="","",INDEX('Per Line'!$B$2:$B$1501,$W59)&amp;"")</f>
        <v/>
      </c>
      <c r="C59">
        <f>IF($W59="","",INDEX('Per Line'!$A$2:$A$1501,$W59))</f>
        <v/>
      </c>
      <c r="D59" s="11">
        <f>IF($W59="","",INDEX('Per Line'!$C$2:$C$1501,$W59))</f>
        <v/>
      </c>
      <c r="E59">
        <f>IF($W59="","",INDEX('Per Line'!$D$2:$D$1501,$W59)&amp;"")</f>
        <v/>
      </c>
      <c r="F59">
        <f>IF($W59="","",INDEX('Per Line'!$F$2:$F$1501,$W59)&amp;"")</f>
        <v/>
      </c>
      <c r="G59">
        <f>IF($W59="","",INDEX('Per Line'!$G$2:$G$1501,$W59)&amp;"")</f>
        <v/>
      </c>
      <c r="H59">
        <f>IF($W59="","",INDEX('Per Line'!$H$2:$H$1501,$W59)&amp;"")</f>
        <v/>
      </c>
      <c r="I59">
        <f>IF($W59="","",INDEX('Per Line'!$I$2:$I$1501,$W59))</f>
        <v/>
      </c>
      <c r="J59" s="7">
        <f>IF($W59="","",I59*U59/100)</f>
        <v/>
      </c>
      <c r="K59">
        <f>IF($W59="","",INDEX('Per Line'!$U$2:$U$1501,$W59)&amp;"")</f>
        <v/>
      </c>
      <c r="L59" s="7">
        <f>IF($W59="","",SUMIFS('Per Line'!$Q$2:$Q$1501,'Per Line'!$B$2:$B$1501,$B59,'Per Line'!$AI$2:$AI$1501,1))</f>
        <v/>
      </c>
      <c r="M59">
        <f>IF($W59="","",Settings!$C$7)</f>
        <v/>
      </c>
      <c r="N59" s="7">
        <f>IF($W59="","",SUMIFS('Per Line'!$Q$2:$Q$1501,'Per Line'!$B$2:$B$1501,$B59,'Per Line'!$AH$2:$AH$1501,0,'Per Line'!$AI$2:$AI$1501,0))</f>
        <v/>
      </c>
      <c r="O59" s="7">
        <f>IF($W59="","",N59*M59)</f>
        <v/>
      </c>
      <c r="P59">
        <f>IF($W59="","",Settings!$C$6)</f>
        <v/>
      </c>
      <c r="Q59" s="7">
        <f>IF($W59="","",SUMIFS('Per Line'!$Q$2:$Q$1501,'Per Line'!$B$2:$B$1501,$B59,'Per Line'!$AH$2:$AH$1501,1,'Per Line'!$AI$2:$AI$1501,0))</f>
        <v/>
      </c>
      <c r="R59" s="7">
        <f>IF($W59="","",Q59*P59)</f>
        <v/>
      </c>
      <c r="S59" s="7">
        <f>IF($W59="","",R59+O59)</f>
        <v/>
      </c>
      <c r="T59" s="7">
        <f>IF($W59="","",U59-S59)</f>
        <v/>
      </c>
      <c r="U59" s="7">
        <f>IF($W59="","",N59+Q59+L59)</f>
        <v/>
      </c>
      <c r="V59" s="7">
        <f>IF($W59="","",U59-S59-J59)</f>
        <v/>
      </c>
      <c r="W59" s="13">
        <f>IF(ROWS($W$2:$W59)&lt;=MAX('Per Line'!$AG$2:$AG$1501),MATCH(ROWS($W$2:$W59),'Per Line'!$AG$2:$AG$1501,0),"")</f>
        <v/>
      </c>
    </row>
    <row r="60">
      <c r="A60" s="12" t="n"/>
      <c r="B60">
        <f>IF($W60="","",INDEX('Per Line'!$B$2:$B$1501,$W60)&amp;"")</f>
        <v/>
      </c>
      <c r="C60">
        <f>IF($W60="","",INDEX('Per Line'!$A$2:$A$1501,$W60))</f>
        <v/>
      </c>
      <c r="D60" s="11">
        <f>IF($W60="","",INDEX('Per Line'!$C$2:$C$1501,$W60))</f>
        <v/>
      </c>
      <c r="E60">
        <f>IF($W60="","",INDEX('Per Line'!$D$2:$D$1501,$W60)&amp;"")</f>
        <v/>
      </c>
      <c r="F60">
        <f>IF($W60="","",INDEX('Per Line'!$F$2:$F$1501,$W60)&amp;"")</f>
        <v/>
      </c>
      <c r="G60">
        <f>IF($W60="","",INDEX('Per Line'!$G$2:$G$1501,$W60)&amp;"")</f>
        <v/>
      </c>
      <c r="H60">
        <f>IF($W60="","",INDEX('Per Line'!$H$2:$H$1501,$W60)&amp;"")</f>
        <v/>
      </c>
      <c r="I60">
        <f>IF($W60="","",INDEX('Per Line'!$I$2:$I$1501,$W60))</f>
        <v/>
      </c>
      <c r="J60" s="7">
        <f>IF($W60="","",I60*U60/100)</f>
        <v/>
      </c>
      <c r="K60">
        <f>IF($W60="","",INDEX('Per Line'!$U$2:$U$1501,$W60)&amp;"")</f>
        <v/>
      </c>
      <c r="L60" s="7">
        <f>IF($W60="","",SUMIFS('Per Line'!$Q$2:$Q$1501,'Per Line'!$B$2:$B$1501,$B60,'Per Line'!$AI$2:$AI$1501,1))</f>
        <v/>
      </c>
      <c r="M60">
        <f>IF($W60="","",Settings!$C$7)</f>
        <v/>
      </c>
      <c r="N60" s="7">
        <f>IF($W60="","",SUMIFS('Per Line'!$Q$2:$Q$1501,'Per Line'!$B$2:$B$1501,$B60,'Per Line'!$AH$2:$AH$1501,0,'Per Line'!$AI$2:$AI$1501,0))</f>
        <v/>
      </c>
      <c r="O60" s="7">
        <f>IF($W60="","",N60*M60)</f>
        <v/>
      </c>
      <c r="P60">
        <f>IF($W60="","",Settings!$C$6)</f>
        <v/>
      </c>
      <c r="Q60" s="7">
        <f>IF($W60="","",SUMIFS('Per Line'!$Q$2:$Q$1501,'Per Line'!$B$2:$B$1501,$B60,'Per Line'!$AH$2:$AH$1501,1,'Per Line'!$AI$2:$AI$1501,0))</f>
        <v/>
      </c>
      <c r="R60" s="7">
        <f>IF($W60="","",Q60*P60)</f>
        <v/>
      </c>
      <c r="S60" s="7">
        <f>IF($W60="","",R60+O60)</f>
        <v/>
      </c>
      <c r="T60" s="7">
        <f>IF($W60="","",U60-S60)</f>
        <v/>
      </c>
      <c r="U60" s="7">
        <f>IF($W60="","",N60+Q60+L60)</f>
        <v/>
      </c>
      <c r="V60" s="7">
        <f>IF($W60="","",U60-S60-J60)</f>
        <v/>
      </c>
      <c r="W60" s="13">
        <f>IF(ROWS($W$2:$W60)&lt;=MAX('Per Line'!$AG$2:$AG$1501),MATCH(ROWS($W$2:$W60),'Per Line'!$AG$2:$AG$1501,0),"")</f>
        <v/>
      </c>
    </row>
    <row r="61">
      <c r="A61" s="12" t="n"/>
      <c r="B61">
        <f>IF($W61="","",INDEX('Per Line'!$B$2:$B$1501,$W61)&amp;"")</f>
        <v/>
      </c>
      <c r="C61">
        <f>IF($W61="","",INDEX('Per Line'!$A$2:$A$1501,$W61))</f>
        <v/>
      </c>
      <c r="D61" s="11">
        <f>IF($W61="","",INDEX('Per Line'!$C$2:$C$1501,$W61))</f>
        <v/>
      </c>
      <c r="E61">
        <f>IF($W61="","",INDEX('Per Line'!$D$2:$D$1501,$W61)&amp;"")</f>
        <v/>
      </c>
      <c r="F61">
        <f>IF($W61="","",INDEX('Per Line'!$F$2:$F$1501,$W61)&amp;"")</f>
        <v/>
      </c>
      <c r="G61">
        <f>IF($W61="","",INDEX('Per Line'!$G$2:$G$1501,$W61)&amp;"")</f>
        <v/>
      </c>
      <c r="H61">
        <f>IF($W61="","",INDEX('Per Line'!$H$2:$H$1501,$W61)&amp;"")</f>
        <v/>
      </c>
      <c r="I61">
        <f>IF($W61="","",INDEX('Per Line'!$I$2:$I$1501,$W61))</f>
        <v/>
      </c>
      <c r="J61" s="7">
        <f>IF($W61="","",I61*U61/100)</f>
        <v/>
      </c>
      <c r="K61">
        <f>IF($W61="","",INDEX('Per Line'!$U$2:$U$1501,$W61)&amp;"")</f>
        <v/>
      </c>
      <c r="L61" s="7">
        <f>IF($W61="","",SUMIFS('Per Line'!$Q$2:$Q$1501,'Per Line'!$B$2:$B$1501,$B61,'Per Line'!$AI$2:$AI$1501,1))</f>
        <v/>
      </c>
      <c r="M61">
        <f>IF($W61="","",Settings!$C$7)</f>
        <v/>
      </c>
      <c r="N61" s="7">
        <f>IF($W61="","",SUMIFS('Per Line'!$Q$2:$Q$1501,'Per Line'!$B$2:$B$1501,$B61,'Per Line'!$AH$2:$AH$1501,0,'Per Line'!$AI$2:$AI$1501,0))</f>
        <v/>
      </c>
      <c r="O61" s="7">
        <f>IF($W61="","",N61*M61)</f>
        <v/>
      </c>
      <c r="P61">
        <f>IF($W61="","",Settings!$C$6)</f>
        <v/>
      </c>
      <c r="Q61" s="7">
        <f>IF($W61="","",SUMIFS('Per Line'!$Q$2:$Q$1501,'Per Line'!$B$2:$B$1501,$B61,'Per Line'!$AH$2:$AH$1501,1,'Per Line'!$AI$2:$AI$1501,0))</f>
        <v/>
      </c>
      <c r="R61" s="7">
        <f>IF($W61="","",Q61*P61)</f>
        <v/>
      </c>
      <c r="S61" s="7">
        <f>IF($W61="","",R61+O61)</f>
        <v/>
      </c>
      <c r="T61" s="7">
        <f>IF($W61="","",U61-S61)</f>
        <v/>
      </c>
      <c r="U61" s="7">
        <f>IF($W61="","",N61+Q61+L61)</f>
        <v/>
      </c>
      <c r="V61" s="7">
        <f>IF($W61="","",U61-S61-J61)</f>
        <v/>
      </c>
      <c r="W61" s="13">
        <f>IF(ROWS($W$2:$W61)&lt;=MAX('Per Line'!$AG$2:$AG$1501),MATCH(ROWS($W$2:$W61),'Per Line'!$AG$2:$AG$1501,0),"")</f>
        <v/>
      </c>
    </row>
    <row r="62">
      <c r="A62" s="12" t="n"/>
      <c r="B62">
        <f>IF($W62="","",INDEX('Per Line'!$B$2:$B$1501,$W62)&amp;"")</f>
        <v/>
      </c>
      <c r="C62">
        <f>IF($W62="","",INDEX('Per Line'!$A$2:$A$1501,$W62))</f>
        <v/>
      </c>
      <c r="D62" s="11">
        <f>IF($W62="","",INDEX('Per Line'!$C$2:$C$1501,$W62))</f>
        <v/>
      </c>
      <c r="E62">
        <f>IF($W62="","",INDEX('Per Line'!$D$2:$D$1501,$W62)&amp;"")</f>
        <v/>
      </c>
      <c r="F62">
        <f>IF($W62="","",INDEX('Per Line'!$F$2:$F$1501,$W62)&amp;"")</f>
        <v/>
      </c>
      <c r="G62">
        <f>IF($W62="","",INDEX('Per Line'!$G$2:$G$1501,$W62)&amp;"")</f>
        <v/>
      </c>
      <c r="H62">
        <f>IF($W62="","",INDEX('Per Line'!$H$2:$H$1501,$W62)&amp;"")</f>
        <v/>
      </c>
      <c r="I62">
        <f>IF($W62="","",INDEX('Per Line'!$I$2:$I$1501,$W62))</f>
        <v/>
      </c>
      <c r="J62" s="7">
        <f>IF($W62="","",I62*U62/100)</f>
        <v/>
      </c>
      <c r="K62">
        <f>IF($W62="","",INDEX('Per Line'!$U$2:$U$1501,$W62)&amp;"")</f>
        <v/>
      </c>
      <c r="L62" s="7">
        <f>IF($W62="","",SUMIFS('Per Line'!$Q$2:$Q$1501,'Per Line'!$B$2:$B$1501,$B62,'Per Line'!$AI$2:$AI$1501,1))</f>
        <v/>
      </c>
      <c r="M62">
        <f>IF($W62="","",Settings!$C$7)</f>
        <v/>
      </c>
      <c r="N62" s="7">
        <f>IF($W62="","",SUMIFS('Per Line'!$Q$2:$Q$1501,'Per Line'!$B$2:$B$1501,$B62,'Per Line'!$AH$2:$AH$1501,0,'Per Line'!$AI$2:$AI$1501,0))</f>
        <v/>
      </c>
      <c r="O62" s="7">
        <f>IF($W62="","",N62*M62)</f>
        <v/>
      </c>
      <c r="P62">
        <f>IF($W62="","",Settings!$C$6)</f>
        <v/>
      </c>
      <c r="Q62" s="7">
        <f>IF($W62="","",SUMIFS('Per Line'!$Q$2:$Q$1501,'Per Line'!$B$2:$B$1501,$B62,'Per Line'!$AH$2:$AH$1501,1,'Per Line'!$AI$2:$AI$1501,0))</f>
        <v/>
      </c>
      <c r="R62" s="7">
        <f>IF($W62="","",Q62*P62)</f>
        <v/>
      </c>
      <c r="S62" s="7">
        <f>IF($W62="","",R62+O62)</f>
        <v/>
      </c>
      <c r="T62" s="7">
        <f>IF($W62="","",U62-S62)</f>
        <v/>
      </c>
      <c r="U62" s="7">
        <f>IF($W62="","",N62+Q62+L62)</f>
        <v/>
      </c>
      <c r="V62" s="7">
        <f>IF($W62="","",U62-S62-J62)</f>
        <v/>
      </c>
      <c r="W62" s="13">
        <f>IF(ROWS($W$2:$W62)&lt;=MAX('Per Line'!$AG$2:$AG$1501),MATCH(ROWS($W$2:$W62),'Per Line'!$AG$2:$AG$1501,0),"")</f>
        <v/>
      </c>
    </row>
    <row r="63">
      <c r="A63" s="12" t="n"/>
      <c r="B63">
        <f>IF($W63="","",INDEX('Per Line'!$B$2:$B$1501,$W63)&amp;"")</f>
        <v/>
      </c>
      <c r="C63">
        <f>IF($W63="","",INDEX('Per Line'!$A$2:$A$1501,$W63))</f>
        <v/>
      </c>
      <c r="D63" s="11">
        <f>IF($W63="","",INDEX('Per Line'!$C$2:$C$1501,$W63))</f>
        <v/>
      </c>
      <c r="E63">
        <f>IF($W63="","",INDEX('Per Line'!$D$2:$D$1501,$W63)&amp;"")</f>
        <v/>
      </c>
      <c r="F63">
        <f>IF($W63="","",INDEX('Per Line'!$F$2:$F$1501,$W63)&amp;"")</f>
        <v/>
      </c>
      <c r="G63">
        <f>IF($W63="","",INDEX('Per Line'!$G$2:$G$1501,$W63)&amp;"")</f>
        <v/>
      </c>
      <c r="H63">
        <f>IF($W63="","",INDEX('Per Line'!$H$2:$H$1501,$W63)&amp;"")</f>
        <v/>
      </c>
      <c r="I63">
        <f>IF($W63="","",INDEX('Per Line'!$I$2:$I$1501,$W63))</f>
        <v/>
      </c>
      <c r="J63" s="7">
        <f>IF($W63="","",I63*U63/100)</f>
        <v/>
      </c>
      <c r="K63">
        <f>IF($W63="","",INDEX('Per Line'!$U$2:$U$1501,$W63)&amp;"")</f>
        <v/>
      </c>
      <c r="L63" s="7">
        <f>IF($W63="","",SUMIFS('Per Line'!$Q$2:$Q$1501,'Per Line'!$B$2:$B$1501,$B63,'Per Line'!$AI$2:$AI$1501,1))</f>
        <v/>
      </c>
      <c r="M63">
        <f>IF($W63="","",Settings!$C$7)</f>
        <v/>
      </c>
      <c r="N63" s="7">
        <f>IF($W63="","",SUMIFS('Per Line'!$Q$2:$Q$1501,'Per Line'!$B$2:$B$1501,$B63,'Per Line'!$AH$2:$AH$1501,0,'Per Line'!$AI$2:$AI$1501,0))</f>
        <v/>
      </c>
      <c r="O63" s="7">
        <f>IF($W63="","",N63*M63)</f>
        <v/>
      </c>
      <c r="P63">
        <f>IF($W63="","",Settings!$C$6)</f>
        <v/>
      </c>
      <c r="Q63" s="7">
        <f>IF($W63="","",SUMIFS('Per Line'!$Q$2:$Q$1501,'Per Line'!$B$2:$B$1501,$B63,'Per Line'!$AH$2:$AH$1501,1,'Per Line'!$AI$2:$AI$1501,0))</f>
        <v/>
      </c>
      <c r="R63" s="7">
        <f>IF($W63="","",Q63*P63)</f>
        <v/>
      </c>
      <c r="S63" s="7">
        <f>IF($W63="","",R63+O63)</f>
        <v/>
      </c>
      <c r="T63" s="7">
        <f>IF($W63="","",U63-S63)</f>
        <v/>
      </c>
      <c r="U63" s="7">
        <f>IF($W63="","",N63+Q63+L63)</f>
        <v/>
      </c>
      <c r="V63" s="7">
        <f>IF($W63="","",U63-S63-J63)</f>
        <v/>
      </c>
      <c r="W63" s="13">
        <f>IF(ROWS($W$2:$W63)&lt;=MAX('Per Line'!$AG$2:$AG$1501),MATCH(ROWS($W$2:$W63),'Per Line'!$AG$2:$AG$1501,0),"")</f>
        <v/>
      </c>
    </row>
    <row r="64">
      <c r="A64" s="12" t="n"/>
      <c r="B64">
        <f>IF($W64="","",INDEX('Per Line'!$B$2:$B$1501,$W64)&amp;"")</f>
        <v/>
      </c>
      <c r="C64">
        <f>IF($W64="","",INDEX('Per Line'!$A$2:$A$1501,$W64))</f>
        <v/>
      </c>
      <c r="D64" s="11">
        <f>IF($W64="","",INDEX('Per Line'!$C$2:$C$1501,$W64))</f>
        <v/>
      </c>
      <c r="E64">
        <f>IF($W64="","",INDEX('Per Line'!$D$2:$D$1501,$W64)&amp;"")</f>
        <v/>
      </c>
      <c r="F64">
        <f>IF($W64="","",INDEX('Per Line'!$F$2:$F$1501,$W64)&amp;"")</f>
        <v/>
      </c>
      <c r="G64">
        <f>IF($W64="","",INDEX('Per Line'!$G$2:$G$1501,$W64)&amp;"")</f>
        <v/>
      </c>
      <c r="H64">
        <f>IF($W64="","",INDEX('Per Line'!$H$2:$H$1501,$W64)&amp;"")</f>
        <v/>
      </c>
      <c r="I64">
        <f>IF($W64="","",INDEX('Per Line'!$I$2:$I$1501,$W64))</f>
        <v/>
      </c>
      <c r="J64" s="7">
        <f>IF($W64="","",I64*U64/100)</f>
        <v/>
      </c>
      <c r="K64">
        <f>IF($W64="","",INDEX('Per Line'!$U$2:$U$1501,$W64)&amp;"")</f>
        <v/>
      </c>
      <c r="L64" s="7">
        <f>IF($W64="","",SUMIFS('Per Line'!$Q$2:$Q$1501,'Per Line'!$B$2:$B$1501,$B64,'Per Line'!$AI$2:$AI$1501,1))</f>
        <v/>
      </c>
      <c r="M64">
        <f>IF($W64="","",Settings!$C$7)</f>
        <v/>
      </c>
      <c r="N64" s="7">
        <f>IF($W64="","",SUMIFS('Per Line'!$Q$2:$Q$1501,'Per Line'!$B$2:$B$1501,$B64,'Per Line'!$AH$2:$AH$1501,0,'Per Line'!$AI$2:$AI$1501,0))</f>
        <v/>
      </c>
      <c r="O64" s="7">
        <f>IF($W64="","",N64*M64)</f>
        <v/>
      </c>
      <c r="P64">
        <f>IF($W64="","",Settings!$C$6)</f>
        <v/>
      </c>
      <c r="Q64" s="7">
        <f>IF($W64="","",SUMIFS('Per Line'!$Q$2:$Q$1501,'Per Line'!$B$2:$B$1501,$B64,'Per Line'!$AH$2:$AH$1501,1,'Per Line'!$AI$2:$AI$1501,0))</f>
        <v/>
      </c>
      <c r="R64" s="7">
        <f>IF($W64="","",Q64*P64)</f>
        <v/>
      </c>
      <c r="S64" s="7">
        <f>IF($W64="","",R64+O64)</f>
        <v/>
      </c>
      <c r="T64" s="7">
        <f>IF($W64="","",U64-S64)</f>
        <v/>
      </c>
      <c r="U64" s="7">
        <f>IF($W64="","",N64+Q64+L64)</f>
        <v/>
      </c>
      <c r="V64" s="7">
        <f>IF($W64="","",U64-S64-J64)</f>
        <v/>
      </c>
      <c r="W64" s="13">
        <f>IF(ROWS($W$2:$W64)&lt;=MAX('Per Line'!$AG$2:$AG$1501),MATCH(ROWS($W$2:$W64),'Per Line'!$AG$2:$AG$1501,0),"")</f>
        <v/>
      </c>
    </row>
    <row r="65">
      <c r="A65" s="12" t="n"/>
      <c r="B65">
        <f>IF($W65="","",INDEX('Per Line'!$B$2:$B$1501,$W65)&amp;"")</f>
        <v/>
      </c>
      <c r="C65">
        <f>IF($W65="","",INDEX('Per Line'!$A$2:$A$1501,$W65))</f>
        <v/>
      </c>
      <c r="D65" s="11">
        <f>IF($W65="","",INDEX('Per Line'!$C$2:$C$1501,$W65))</f>
        <v/>
      </c>
      <c r="E65">
        <f>IF($W65="","",INDEX('Per Line'!$D$2:$D$1501,$W65)&amp;"")</f>
        <v/>
      </c>
      <c r="F65">
        <f>IF($W65="","",INDEX('Per Line'!$F$2:$F$1501,$W65)&amp;"")</f>
        <v/>
      </c>
      <c r="G65">
        <f>IF($W65="","",INDEX('Per Line'!$G$2:$G$1501,$W65)&amp;"")</f>
        <v/>
      </c>
      <c r="H65">
        <f>IF($W65="","",INDEX('Per Line'!$H$2:$H$1501,$W65)&amp;"")</f>
        <v/>
      </c>
      <c r="I65">
        <f>IF($W65="","",INDEX('Per Line'!$I$2:$I$1501,$W65))</f>
        <v/>
      </c>
      <c r="J65" s="7">
        <f>IF($W65="","",I65*U65/100)</f>
        <v/>
      </c>
      <c r="K65">
        <f>IF($W65="","",INDEX('Per Line'!$U$2:$U$1501,$W65)&amp;"")</f>
        <v/>
      </c>
      <c r="L65" s="7">
        <f>IF($W65="","",SUMIFS('Per Line'!$Q$2:$Q$1501,'Per Line'!$B$2:$B$1501,$B65,'Per Line'!$AI$2:$AI$1501,1))</f>
        <v/>
      </c>
      <c r="M65">
        <f>IF($W65="","",Settings!$C$7)</f>
        <v/>
      </c>
      <c r="N65" s="7">
        <f>IF($W65="","",SUMIFS('Per Line'!$Q$2:$Q$1501,'Per Line'!$B$2:$B$1501,$B65,'Per Line'!$AH$2:$AH$1501,0,'Per Line'!$AI$2:$AI$1501,0))</f>
        <v/>
      </c>
      <c r="O65" s="7">
        <f>IF($W65="","",N65*M65)</f>
        <v/>
      </c>
      <c r="P65">
        <f>IF($W65="","",Settings!$C$6)</f>
        <v/>
      </c>
      <c r="Q65" s="7">
        <f>IF($W65="","",SUMIFS('Per Line'!$Q$2:$Q$1501,'Per Line'!$B$2:$B$1501,$B65,'Per Line'!$AH$2:$AH$1501,1,'Per Line'!$AI$2:$AI$1501,0))</f>
        <v/>
      </c>
      <c r="R65" s="7">
        <f>IF($W65="","",Q65*P65)</f>
        <v/>
      </c>
      <c r="S65" s="7">
        <f>IF($W65="","",R65+O65)</f>
        <v/>
      </c>
      <c r="T65" s="7">
        <f>IF($W65="","",U65-S65)</f>
        <v/>
      </c>
      <c r="U65" s="7">
        <f>IF($W65="","",N65+Q65+L65)</f>
        <v/>
      </c>
      <c r="V65" s="7">
        <f>IF($W65="","",U65-S65-J65)</f>
        <v/>
      </c>
      <c r="W65" s="13">
        <f>IF(ROWS($W$2:$W65)&lt;=MAX('Per Line'!$AG$2:$AG$1501),MATCH(ROWS($W$2:$W65),'Per Line'!$AG$2:$AG$1501,0),"")</f>
        <v/>
      </c>
    </row>
    <row r="66">
      <c r="A66" s="12" t="n"/>
      <c r="B66">
        <f>IF($W66="","",INDEX('Per Line'!$B$2:$B$1501,$W66)&amp;"")</f>
        <v/>
      </c>
      <c r="C66">
        <f>IF($W66="","",INDEX('Per Line'!$A$2:$A$1501,$W66))</f>
        <v/>
      </c>
      <c r="D66" s="11">
        <f>IF($W66="","",INDEX('Per Line'!$C$2:$C$1501,$W66))</f>
        <v/>
      </c>
      <c r="E66">
        <f>IF($W66="","",INDEX('Per Line'!$D$2:$D$1501,$W66)&amp;"")</f>
        <v/>
      </c>
      <c r="F66">
        <f>IF($W66="","",INDEX('Per Line'!$F$2:$F$1501,$W66)&amp;"")</f>
        <v/>
      </c>
      <c r="G66">
        <f>IF($W66="","",INDEX('Per Line'!$G$2:$G$1501,$W66)&amp;"")</f>
        <v/>
      </c>
      <c r="H66">
        <f>IF($W66="","",INDEX('Per Line'!$H$2:$H$1501,$W66)&amp;"")</f>
        <v/>
      </c>
      <c r="I66">
        <f>IF($W66="","",INDEX('Per Line'!$I$2:$I$1501,$W66))</f>
        <v/>
      </c>
      <c r="J66" s="7">
        <f>IF($W66="","",I66*U66/100)</f>
        <v/>
      </c>
      <c r="K66">
        <f>IF($W66="","",INDEX('Per Line'!$U$2:$U$1501,$W66)&amp;"")</f>
        <v/>
      </c>
      <c r="L66" s="7">
        <f>IF($W66="","",SUMIFS('Per Line'!$Q$2:$Q$1501,'Per Line'!$B$2:$B$1501,$B66,'Per Line'!$AI$2:$AI$1501,1))</f>
        <v/>
      </c>
      <c r="M66">
        <f>IF($W66="","",Settings!$C$7)</f>
        <v/>
      </c>
      <c r="N66" s="7">
        <f>IF($W66="","",SUMIFS('Per Line'!$Q$2:$Q$1501,'Per Line'!$B$2:$B$1501,$B66,'Per Line'!$AH$2:$AH$1501,0,'Per Line'!$AI$2:$AI$1501,0))</f>
        <v/>
      </c>
      <c r="O66" s="7">
        <f>IF($W66="","",N66*M66)</f>
        <v/>
      </c>
      <c r="P66">
        <f>IF($W66="","",Settings!$C$6)</f>
        <v/>
      </c>
      <c r="Q66" s="7">
        <f>IF($W66="","",SUMIFS('Per Line'!$Q$2:$Q$1501,'Per Line'!$B$2:$B$1501,$B66,'Per Line'!$AH$2:$AH$1501,1,'Per Line'!$AI$2:$AI$1501,0))</f>
        <v/>
      </c>
      <c r="R66" s="7">
        <f>IF($W66="","",Q66*P66)</f>
        <v/>
      </c>
      <c r="S66" s="7">
        <f>IF($W66="","",R66+O66)</f>
        <v/>
      </c>
      <c r="T66" s="7">
        <f>IF($W66="","",U66-S66)</f>
        <v/>
      </c>
      <c r="U66" s="7">
        <f>IF($W66="","",N66+Q66+L66)</f>
        <v/>
      </c>
      <c r="V66" s="7">
        <f>IF($W66="","",U66-S66-J66)</f>
        <v/>
      </c>
      <c r="W66" s="13">
        <f>IF(ROWS($W$2:$W66)&lt;=MAX('Per Line'!$AG$2:$AG$1501),MATCH(ROWS($W$2:$W66),'Per Line'!$AG$2:$AG$1501,0),"")</f>
        <v/>
      </c>
    </row>
    <row r="67">
      <c r="A67" s="12" t="n"/>
      <c r="B67">
        <f>IF($W67="","",INDEX('Per Line'!$B$2:$B$1501,$W67)&amp;"")</f>
        <v/>
      </c>
      <c r="C67">
        <f>IF($W67="","",INDEX('Per Line'!$A$2:$A$1501,$W67))</f>
        <v/>
      </c>
      <c r="D67" s="11">
        <f>IF($W67="","",INDEX('Per Line'!$C$2:$C$1501,$W67))</f>
        <v/>
      </c>
      <c r="E67">
        <f>IF($W67="","",INDEX('Per Line'!$D$2:$D$1501,$W67)&amp;"")</f>
        <v/>
      </c>
      <c r="F67">
        <f>IF($W67="","",INDEX('Per Line'!$F$2:$F$1501,$W67)&amp;"")</f>
        <v/>
      </c>
      <c r="G67">
        <f>IF($W67="","",INDEX('Per Line'!$G$2:$G$1501,$W67)&amp;"")</f>
        <v/>
      </c>
      <c r="H67">
        <f>IF($W67="","",INDEX('Per Line'!$H$2:$H$1501,$W67)&amp;"")</f>
        <v/>
      </c>
      <c r="I67">
        <f>IF($W67="","",INDEX('Per Line'!$I$2:$I$1501,$W67))</f>
        <v/>
      </c>
      <c r="J67" s="7">
        <f>IF($W67="","",I67*U67/100)</f>
        <v/>
      </c>
      <c r="K67">
        <f>IF($W67="","",INDEX('Per Line'!$U$2:$U$1501,$W67)&amp;"")</f>
        <v/>
      </c>
      <c r="L67" s="7">
        <f>IF($W67="","",SUMIFS('Per Line'!$Q$2:$Q$1501,'Per Line'!$B$2:$B$1501,$B67,'Per Line'!$AI$2:$AI$1501,1))</f>
        <v/>
      </c>
      <c r="M67">
        <f>IF($W67="","",Settings!$C$7)</f>
        <v/>
      </c>
      <c r="N67" s="7">
        <f>IF($W67="","",SUMIFS('Per Line'!$Q$2:$Q$1501,'Per Line'!$B$2:$B$1501,$B67,'Per Line'!$AH$2:$AH$1501,0,'Per Line'!$AI$2:$AI$1501,0))</f>
        <v/>
      </c>
      <c r="O67" s="7">
        <f>IF($W67="","",N67*M67)</f>
        <v/>
      </c>
      <c r="P67">
        <f>IF($W67="","",Settings!$C$6)</f>
        <v/>
      </c>
      <c r="Q67" s="7">
        <f>IF($W67="","",SUMIFS('Per Line'!$Q$2:$Q$1501,'Per Line'!$B$2:$B$1501,$B67,'Per Line'!$AH$2:$AH$1501,1,'Per Line'!$AI$2:$AI$1501,0))</f>
        <v/>
      </c>
      <c r="R67" s="7">
        <f>IF($W67="","",Q67*P67)</f>
        <v/>
      </c>
      <c r="S67" s="7">
        <f>IF($W67="","",R67+O67)</f>
        <v/>
      </c>
      <c r="T67" s="7">
        <f>IF($W67="","",U67-S67)</f>
        <v/>
      </c>
      <c r="U67" s="7">
        <f>IF($W67="","",N67+Q67+L67)</f>
        <v/>
      </c>
      <c r="V67" s="7">
        <f>IF($W67="","",U67-S67-J67)</f>
        <v/>
      </c>
      <c r="W67" s="13">
        <f>IF(ROWS($W$2:$W67)&lt;=MAX('Per Line'!$AG$2:$AG$1501),MATCH(ROWS($W$2:$W67),'Per Line'!$AG$2:$AG$1501,0),"")</f>
        <v/>
      </c>
    </row>
    <row r="68">
      <c r="A68" s="12" t="n"/>
      <c r="B68">
        <f>IF($W68="","",INDEX('Per Line'!$B$2:$B$1501,$W68)&amp;"")</f>
        <v/>
      </c>
      <c r="C68">
        <f>IF($W68="","",INDEX('Per Line'!$A$2:$A$1501,$W68))</f>
        <v/>
      </c>
      <c r="D68" s="11">
        <f>IF($W68="","",INDEX('Per Line'!$C$2:$C$1501,$W68))</f>
        <v/>
      </c>
      <c r="E68">
        <f>IF($W68="","",INDEX('Per Line'!$D$2:$D$1501,$W68)&amp;"")</f>
        <v/>
      </c>
      <c r="F68">
        <f>IF($W68="","",INDEX('Per Line'!$F$2:$F$1501,$W68)&amp;"")</f>
        <v/>
      </c>
      <c r="G68">
        <f>IF($W68="","",INDEX('Per Line'!$G$2:$G$1501,$W68)&amp;"")</f>
        <v/>
      </c>
      <c r="H68">
        <f>IF($W68="","",INDEX('Per Line'!$H$2:$H$1501,$W68)&amp;"")</f>
        <v/>
      </c>
      <c r="I68">
        <f>IF($W68="","",INDEX('Per Line'!$I$2:$I$1501,$W68))</f>
        <v/>
      </c>
      <c r="J68" s="7">
        <f>IF($W68="","",I68*U68/100)</f>
        <v/>
      </c>
      <c r="K68">
        <f>IF($W68="","",INDEX('Per Line'!$U$2:$U$1501,$W68)&amp;"")</f>
        <v/>
      </c>
      <c r="L68" s="7">
        <f>IF($W68="","",SUMIFS('Per Line'!$Q$2:$Q$1501,'Per Line'!$B$2:$B$1501,$B68,'Per Line'!$AI$2:$AI$1501,1))</f>
        <v/>
      </c>
      <c r="M68">
        <f>IF($W68="","",Settings!$C$7)</f>
        <v/>
      </c>
      <c r="N68" s="7">
        <f>IF($W68="","",SUMIFS('Per Line'!$Q$2:$Q$1501,'Per Line'!$B$2:$B$1501,$B68,'Per Line'!$AH$2:$AH$1501,0,'Per Line'!$AI$2:$AI$1501,0))</f>
        <v/>
      </c>
      <c r="O68" s="7">
        <f>IF($W68="","",N68*M68)</f>
        <v/>
      </c>
      <c r="P68">
        <f>IF($W68="","",Settings!$C$6)</f>
        <v/>
      </c>
      <c r="Q68" s="7">
        <f>IF($W68="","",SUMIFS('Per Line'!$Q$2:$Q$1501,'Per Line'!$B$2:$B$1501,$B68,'Per Line'!$AH$2:$AH$1501,1,'Per Line'!$AI$2:$AI$1501,0))</f>
        <v/>
      </c>
      <c r="R68" s="7">
        <f>IF($W68="","",Q68*P68)</f>
        <v/>
      </c>
      <c r="S68" s="7">
        <f>IF($W68="","",R68+O68)</f>
        <v/>
      </c>
      <c r="T68" s="7">
        <f>IF($W68="","",U68-S68)</f>
        <v/>
      </c>
      <c r="U68" s="7">
        <f>IF($W68="","",N68+Q68+L68)</f>
        <v/>
      </c>
      <c r="V68" s="7">
        <f>IF($W68="","",U68-S68-J68)</f>
        <v/>
      </c>
      <c r="W68" s="13">
        <f>IF(ROWS($W$2:$W68)&lt;=MAX('Per Line'!$AG$2:$AG$1501),MATCH(ROWS($W$2:$W68),'Per Line'!$AG$2:$AG$1501,0),"")</f>
        <v/>
      </c>
    </row>
    <row r="69">
      <c r="A69" s="12" t="n"/>
      <c r="B69">
        <f>IF($W69="","",INDEX('Per Line'!$B$2:$B$1501,$W69)&amp;"")</f>
        <v/>
      </c>
      <c r="C69">
        <f>IF($W69="","",INDEX('Per Line'!$A$2:$A$1501,$W69))</f>
        <v/>
      </c>
      <c r="D69" s="11">
        <f>IF($W69="","",INDEX('Per Line'!$C$2:$C$1501,$W69))</f>
        <v/>
      </c>
      <c r="E69">
        <f>IF($W69="","",INDEX('Per Line'!$D$2:$D$1501,$W69)&amp;"")</f>
        <v/>
      </c>
      <c r="F69">
        <f>IF($W69="","",INDEX('Per Line'!$F$2:$F$1501,$W69)&amp;"")</f>
        <v/>
      </c>
      <c r="G69">
        <f>IF($W69="","",INDEX('Per Line'!$G$2:$G$1501,$W69)&amp;"")</f>
        <v/>
      </c>
      <c r="H69">
        <f>IF($W69="","",INDEX('Per Line'!$H$2:$H$1501,$W69)&amp;"")</f>
        <v/>
      </c>
      <c r="I69">
        <f>IF($W69="","",INDEX('Per Line'!$I$2:$I$1501,$W69))</f>
        <v/>
      </c>
      <c r="J69" s="7">
        <f>IF($W69="","",I69*U69/100)</f>
        <v/>
      </c>
      <c r="K69">
        <f>IF($W69="","",INDEX('Per Line'!$U$2:$U$1501,$W69)&amp;"")</f>
        <v/>
      </c>
      <c r="L69" s="7">
        <f>IF($W69="","",SUMIFS('Per Line'!$Q$2:$Q$1501,'Per Line'!$B$2:$B$1501,$B69,'Per Line'!$AI$2:$AI$1501,1))</f>
        <v/>
      </c>
      <c r="M69">
        <f>IF($W69="","",Settings!$C$7)</f>
        <v/>
      </c>
      <c r="N69" s="7">
        <f>IF($W69="","",SUMIFS('Per Line'!$Q$2:$Q$1501,'Per Line'!$B$2:$B$1501,$B69,'Per Line'!$AH$2:$AH$1501,0,'Per Line'!$AI$2:$AI$1501,0))</f>
        <v/>
      </c>
      <c r="O69" s="7">
        <f>IF($W69="","",N69*M69)</f>
        <v/>
      </c>
      <c r="P69">
        <f>IF($W69="","",Settings!$C$6)</f>
        <v/>
      </c>
      <c r="Q69" s="7">
        <f>IF($W69="","",SUMIFS('Per Line'!$Q$2:$Q$1501,'Per Line'!$B$2:$B$1501,$B69,'Per Line'!$AH$2:$AH$1501,1,'Per Line'!$AI$2:$AI$1501,0))</f>
        <v/>
      </c>
      <c r="R69" s="7">
        <f>IF($W69="","",Q69*P69)</f>
        <v/>
      </c>
      <c r="S69" s="7">
        <f>IF($W69="","",R69+O69)</f>
        <v/>
      </c>
      <c r="T69" s="7">
        <f>IF($W69="","",U69-S69)</f>
        <v/>
      </c>
      <c r="U69" s="7">
        <f>IF($W69="","",N69+Q69+L69)</f>
        <v/>
      </c>
      <c r="V69" s="7">
        <f>IF($W69="","",U69-S69-J69)</f>
        <v/>
      </c>
      <c r="W69" s="13">
        <f>IF(ROWS($W$2:$W69)&lt;=MAX('Per Line'!$AG$2:$AG$1501),MATCH(ROWS($W$2:$W69),'Per Line'!$AG$2:$AG$1501,0),"")</f>
        <v/>
      </c>
    </row>
    <row r="70">
      <c r="A70" s="12" t="n"/>
      <c r="B70">
        <f>IF($W70="","",INDEX('Per Line'!$B$2:$B$1501,$W70)&amp;"")</f>
        <v/>
      </c>
      <c r="C70">
        <f>IF($W70="","",INDEX('Per Line'!$A$2:$A$1501,$W70))</f>
        <v/>
      </c>
      <c r="D70" s="11">
        <f>IF($W70="","",INDEX('Per Line'!$C$2:$C$1501,$W70))</f>
        <v/>
      </c>
      <c r="E70">
        <f>IF($W70="","",INDEX('Per Line'!$D$2:$D$1501,$W70)&amp;"")</f>
        <v/>
      </c>
      <c r="F70">
        <f>IF($W70="","",INDEX('Per Line'!$F$2:$F$1501,$W70)&amp;"")</f>
        <v/>
      </c>
      <c r="G70">
        <f>IF($W70="","",INDEX('Per Line'!$G$2:$G$1501,$W70)&amp;"")</f>
        <v/>
      </c>
      <c r="H70">
        <f>IF($W70="","",INDEX('Per Line'!$H$2:$H$1501,$W70)&amp;"")</f>
        <v/>
      </c>
      <c r="I70">
        <f>IF($W70="","",INDEX('Per Line'!$I$2:$I$1501,$W70))</f>
        <v/>
      </c>
      <c r="J70" s="7">
        <f>IF($W70="","",I70*U70/100)</f>
        <v/>
      </c>
      <c r="K70">
        <f>IF($W70="","",INDEX('Per Line'!$U$2:$U$1501,$W70)&amp;"")</f>
        <v/>
      </c>
      <c r="L70" s="7">
        <f>IF($W70="","",SUMIFS('Per Line'!$Q$2:$Q$1501,'Per Line'!$B$2:$B$1501,$B70,'Per Line'!$AI$2:$AI$1501,1))</f>
        <v/>
      </c>
      <c r="M70">
        <f>IF($W70="","",Settings!$C$7)</f>
        <v/>
      </c>
      <c r="N70" s="7">
        <f>IF($W70="","",SUMIFS('Per Line'!$Q$2:$Q$1501,'Per Line'!$B$2:$B$1501,$B70,'Per Line'!$AH$2:$AH$1501,0,'Per Line'!$AI$2:$AI$1501,0))</f>
        <v/>
      </c>
      <c r="O70" s="7">
        <f>IF($W70="","",N70*M70)</f>
        <v/>
      </c>
      <c r="P70">
        <f>IF($W70="","",Settings!$C$6)</f>
        <v/>
      </c>
      <c r="Q70" s="7">
        <f>IF($W70="","",SUMIFS('Per Line'!$Q$2:$Q$1501,'Per Line'!$B$2:$B$1501,$B70,'Per Line'!$AH$2:$AH$1501,1,'Per Line'!$AI$2:$AI$1501,0))</f>
        <v/>
      </c>
      <c r="R70" s="7">
        <f>IF($W70="","",Q70*P70)</f>
        <v/>
      </c>
      <c r="S70" s="7">
        <f>IF($W70="","",R70+O70)</f>
        <v/>
      </c>
      <c r="T70" s="7">
        <f>IF($W70="","",U70-S70)</f>
        <v/>
      </c>
      <c r="U70" s="7">
        <f>IF($W70="","",N70+Q70+L70)</f>
        <v/>
      </c>
      <c r="V70" s="7">
        <f>IF($W70="","",U70-S70-J70)</f>
        <v/>
      </c>
      <c r="W70" s="13">
        <f>IF(ROWS($W$2:$W70)&lt;=MAX('Per Line'!$AG$2:$AG$1501),MATCH(ROWS($W$2:$W70),'Per Line'!$AG$2:$AG$1501,0),"")</f>
        <v/>
      </c>
    </row>
    <row r="71">
      <c r="A71" s="12" t="n"/>
      <c r="B71">
        <f>IF($W71="","",INDEX('Per Line'!$B$2:$B$1501,$W71)&amp;"")</f>
        <v/>
      </c>
      <c r="C71">
        <f>IF($W71="","",INDEX('Per Line'!$A$2:$A$1501,$W71))</f>
        <v/>
      </c>
      <c r="D71" s="11">
        <f>IF($W71="","",INDEX('Per Line'!$C$2:$C$1501,$W71))</f>
        <v/>
      </c>
      <c r="E71">
        <f>IF($W71="","",INDEX('Per Line'!$D$2:$D$1501,$W71)&amp;"")</f>
        <v/>
      </c>
      <c r="F71">
        <f>IF($W71="","",INDEX('Per Line'!$F$2:$F$1501,$W71)&amp;"")</f>
        <v/>
      </c>
      <c r="G71">
        <f>IF($W71="","",INDEX('Per Line'!$G$2:$G$1501,$W71)&amp;"")</f>
        <v/>
      </c>
      <c r="H71">
        <f>IF($W71="","",INDEX('Per Line'!$H$2:$H$1501,$W71)&amp;"")</f>
        <v/>
      </c>
      <c r="I71">
        <f>IF($W71="","",INDEX('Per Line'!$I$2:$I$1501,$W71))</f>
        <v/>
      </c>
      <c r="J71" s="7">
        <f>IF($W71="","",I71*U71/100)</f>
        <v/>
      </c>
      <c r="K71">
        <f>IF($W71="","",INDEX('Per Line'!$U$2:$U$1501,$W71)&amp;"")</f>
        <v/>
      </c>
      <c r="L71" s="7">
        <f>IF($W71="","",SUMIFS('Per Line'!$Q$2:$Q$1501,'Per Line'!$B$2:$B$1501,$B71,'Per Line'!$AI$2:$AI$1501,1))</f>
        <v/>
      </c>
      <c r="M71">
        <f>IF($W71="","",Settings!$C$7)</f>
        <v/>
      </c>
      <c r="N71" s="7">
        <f>IF($W71="","",SUMIFS('Per Line'!$Q$2:$Q$1501,'Per Line'!$B$2:$B$1501,$B71,'Per Line'!$AH$2:$AH$1501,0,'Per Line'!$AI$2:$AI$1501,0))</f>
        <v/>
      </c>
      <c r="O71" s="7">
        <f>IF($W71="","",N71*M71)</f>
        <v/>
      </c>
      <c r="P71">
        <f>IF($W71="","",Settings!$C$6)</f>
        <v/>
      </c>
      <c r="Q71" s="7">
        <f>IF($W71="","",SUMIFS('Per Line'!$Q$2:$Q$1501,'Per Line'!$B$2:$B$1501,$B71,'Per Line'!$AH$2:$AH$1501,1,'Per Line'!$AI$2:$AI$1501,0))</f>
        <v/>
      </c>
      <c r="R71" s="7">
        <f>IF($W71="","",Q71*P71)</f>
        <v/>
      </c>
      <c r="S71" s="7">
        <f>IF($W71="","",R71+O71)</f>
        <v/>
      </c>
      <c r="T71" s="7">
        <f>IF($W71="","",U71-S71)</f>
        <v/>
      </c>
      <c r="U71" s="7">
        <f>IF($W71="","",N71+Q71+L71)</f>
        <v/>
      </c>
      <c r="V71" s="7">
        <f>IF($W71="","",U71-S71-J71)</f>
        <v/>
      </c>
      <c r="W71" s="13">
        <f>IF(ROWS($W$2:$W71)&lt;=MAX('Per Line'!$AG$2:$AG$1501),MATCH(ROWS($W$2:$W71),'Per Line'!$AG$2:$AG$1501,0),"")</f>
        <v/>
      </c>
    </row>
    <row r="72">
      <c r="A72" s="12" t="n"/>
      <c r="B72">
        <f>IF($W72="","",INDEX('Per Line'!$B$2:$B$1501,$W72)&amp;"")</f>
        <v/>
      </c>
      <c r="C72">
        <f>IF($W72="","",INDEX('Per Line'!$A$2:$A$1501,$W72))</f>
        <v/>
      </c>
      <c r="D72" s="11">
        <f>IF($W72="","",INDEX('Per Line'!$C$2:$C$1501,$W72))</f>
        <v/>
      </c>
      <c r="E72">
        <f>IF($W72="","",INDEX('Per Line'!$D$2:$D$1501,$W72)&amp;"")</f>
        <v/>
      </c>
      <c r="F72">
        <f>IF($W72="","",INDEX('Per Line'!$F$2:$F$1501,$W72)&amp;"")</f>
        <v/>
      </c>
      <c r="G72">
        <f>IF($W72="","",INDEX('Per Line'!$G$2:$G$1501,$W72)&amp;"")</f>
        <v/>
      </c>
      <c r="H72">
        <f>IF($W72="","",INDEX('Per Line'!$H$2:$H$1501,$W72)&amp;"")</f>
        <v/>
      </c>
      <c r="I72">
        <f>IF($W72="","",INDEX('Per Line'!$I$2:$I$1501,$W72))</f>
        <v/>
      </c>
      <c r="J72" s="7">
        <f>IF($W72="","",I72*U72/100)</f>
        <v/>
      </c>
      <c r="K72">
        <f>IF($W72="","",INDEX('Per Line'!$U$2:$U$1501,$W72)&amp;"")</f>
        <v/>
      </c>
      <c r="L72" s="7">
        <f>IF($W72="","",SUMIFS('Per Line'!$Q$2:$Q$1501,'Per Line'!$B$2:$B$1501,$B72,'Per Line'!$AI$2:$AI$1501,1))</f>
        <v/>
      </c>
      <c r="M72">
        <f>IF($W72="","",Settings!$C$7)</f>
        <v/>
      </c>
      <c r="N72" s="7">
        <f>IF($W72="","",SUMIFS('Per Line'!$Q$2:$Q$1501,'Per Line'!$B$2:$B$1501,$B72,'Per Line'!$AH$2:$AH$1501,0,'Per Line'!$AI$2:$AI$1501,0))</f>
        <v/>
      </c>
      <c r="O72" s="7">
        <f>IF($W72="","",N72*M72)</f>
        <v/>
      </c>
      <c r="P72">
        <f>IF($W72="","",Settings!$C$6)</f>
        <v/>
      </c>
      <c r="Q72" s="7">
        <f>IF($W72="","",SUMIFS('Per Line'!$Q$2:$Q$1501,'Per Line'!$B$2:$B$1501,$B72,'Per Line'!$AH$2:$AH$1501,1,'Per Line'!$AI$2:$AI$1501,0))</f>
        <v/>
      </c>
      <c r="R72" s="7">
        <f>IF($W72="","",Q72*P72)</f>
        <v/>
      </c>
      <c r="S72" s="7">
        <f>IF($W72="","",R72+O72)</f>
        <v/>
      </c>
      <c r="T72" s="7">
        <f>IF($W72="","",U72-S72)</f>
        <v/>
      </c>
      <c r="U72" s="7">
        <f>IF($W72="","",N72+Q72+L72)</f>
        <v/>
      </c>
      <c r="V72" s="7">
        <f>IF($W72="","",U72-S72-J72)</f>
        <v/>
      </c>
      <c r="W72" s="13">
        <f>IF(ROWS($W$2:$W72)&lt;=MAX('Per Line'!$AG$2:$AG$1501),MATCH(ROWS($W$2:$W72),'Per Line'!$AG$2:$AG$1501,0),"")</f>
        <v/>
      </c>
    </row>
    <row r="73">
      <c r="A73" s="12" t="n"/>
      <c r="B73">
        <f>IF($W73="","",INDEX('Per Line'!$B$2:$B$1501,$W73)&amp;"")</f>
        <v/>
      </c>
      <c r="C73">
        <f>IF($W73="","",INDEX('Per Line'!$A$2:$A$1501,$W73))</f>
        <v/>
      </c>
      <c r="D73" s="11">
        <f>IF($W73="","",INDEX('Per Line'!$C$2:$C$1501,$W73))</f>
        <v/>
      </c>
      <c r="E73">
        <f>IF($W73="","",INDEX('Per Line'!$D$2:$D$1501,$W73)&amp;"")</f>
        <v/>
      </c>
      <c r="F73">
        <f>IF($W73="","",INDEX('Per Line'!$F$2:$F$1501,$W73)&amp;"")</f>
        <v/>
      </c>
      <c r="G73">
        <f>IF($W73="","",INDEX('Per Line'!$G$2:$G$1501,$W73)&amp;"")</f>
        <v/>
      </c>
      <c r="H73">
        <f>IF($W73="","",INDEX('Per Line'!$H$2:$H$1501,$W73)&amp;"")</f>
        <v/>
      </c>
      <c r="I73">
        <f>IF($W73="","",INDEX('Per Line'!$I$2:$I$1501,$W73))</f>
        <v/>
      </c>
      <c r="J73" s="7">
        <f>IF($W73="","",I73*U73/100)</f>
        <v/>
      </c>
      <c r="K73">
        <f>IF($W73="","",INDEX('Per Line'!$U$2:$U$1501,$W73)&amp;"")</f>
        <v/>
      </c>
      <c r="L73" s="7">
        <f>IF($W73="","",SUMIFS('Per Line'!$Q$2:$Q$1501,'Per Line'!$B$2:$B$1501,$B73,'Per Line'!$AI$2:$AI$1501,1))</f>
        <v/>
      </c>
      <c r="M73">
        <f>IF($W73="","",Settings!$C$7)</f>
        <v/>
      </c>
      <c r="N73" s="7">
        <f>IF($W73="","",SUMIFS('Per Line'!$Q$2:$Q$1501,'Per Line'!$B$2:$B$1501,$B73,'Per Line'!$AH$2:$AH$1501,0,'Per Line'!$AI$2:$AI$1501,0))</f>
        <v/>
      </c>
      <c r="O73" s="7">
        <f>IF($W73="","",N73*M73)</f>
        <v/>
      </c>
      <c r="P73">
        <f>IF($W73="","",Settings!$C$6)</f>
        <v/>
      </c>
      <c r="Q73" s="7">
        <f>IF($W73="","",SUMIFS('Per Line'!$Q$2:$Q$1501,'Per Line'!$B$2:$B$1501,$B73,'Per Line'!$AH$2:$AH$1501,1,'Per Line'!$AI$2:$AI$1501,0))</f>
        <v/>
      </c>
      <c r="R73" s="7">
        <f>IF($W73="","",Q73*P73)</f>
        <v/>
      </c>
      <c r="S73" s="7">
        <f>IF($W73="","",R73+O73)</f>
        <v/>
      </c>
      <c r="T73" s="7">
        <f>IF($W73="","",U73-S73)</f>
        <v/>
      </c>
      <c r="U73" s="7">
        <f>IF($W73="","",N73+Q73+L73)</f>
        <v/>
      </c>
      <c r="V73" s="7">
        <f>IF($W73="","",U73-S73-J73)</f>
        <v/>
      </c>
      <c r="W73" s="13">
        <f>IF(ROWS($W$2:$W73)&lt;=MAX('Per Line'!$AG$2:$AG$1501),MATCH(ROWS($W$2:$W73),'Per Line'!$AG$2:$AG$1501,0),"")</f>
        <v/>
      </c>
    </row>
    <row r="74">
      <c r="A74" s="12" t="n"/>
      <c r="B74">
        <f>IF($W74="","",INDEX('Per Line'!$B$2:$B$1501,$W74)&amp;"")</f>
        <v/>
      </c>
      <c r="C74">
        <f>IF($W74="","",INDEX('Per Line'!$A$2:$A$1501,$W74))</f>
        <v/>
      </c>
      <c r="D74" s="11">
        <f>IF($W74="","",INDEX('Per Line'!$C$2:$C$1501,$W74))</f>
        <v/>
      </c>
      <c r="E74">
        <f>IF($W74="","",INDEX('Per Line'!$D$2:$D$1501,$W74)&amp;"")</f>
        <v/>
      </c>
      <c r="F74">
        <f>IF($W74="","",INDEX('Per Line'!$F$2:$F$1501,$W74)&amp;"")</f>
        <v/>
      </c>
      <c r="G74">
        <f>IF($W74="","",INDEX('Per Line'!$G$2:$G$1501,$W74)&amp;"")</f>
        <v/>
      </c>
      <c r="H74">
        <f>IF($W74="","",INDEX('Per Line'!$H$2:$H$1501,$W74)&amp;"")</f>
        <v/>
      </c>
      <c r="I74">
        <f>IF($W74="","",INDEX('Per Line'!$I$2:$I$1501,$W74))</f>
        <v/>
      </c>
      <c r="J74" s="7">
        <f>IF($W74="","",I74*U74/100)</f>
        <v/>
      </c>
      <c r="K74">
        <f>IF($W74="","",INDEX('Per Line'!$U$2:$U$1501,$W74)&amp;"")</f>
        <v/>
      </c>
      <c r="L74" s="7">
        <f>IF($W74="","",SUMIFS('Per Line'!$Q$2:$Q$1501,'Per Line'!$B$2:$B$1501,$B74,'Per Line'!$AI$2:$AI$1501,1))</f>
        <v/>
      </c>
      <c r="M74">
        <f>IF($W74="","",Settings!$C$7)</f>
        <v/>
      </c>
      <c r="N74" s="7">
        <f>IF($W74="","",SUMIFS('Per Line'!$Q$2:$Q$1501,'Per Line'!$B$2:$B$1501,$B74,'Per Line'!$AH$2:$AH$1501,0,'Per Line'!$AI$2:$AI$1501,0))</f>
        <v/>
      </c>
      <c r="O74" s="7">
        <f>IF($W74="","",N74*M74)</f>
        <v/>
      </c>
      <c r="P74">
        <f>IF($W74="","",Settings!$C$6)</f>
        <v/>
      </c>
      <c r="Q74" s="7">
        <f>IF($W74="","",SUMIFS('Per Line'!$Q$2:$Q$1501,'Per Line'!$B$2:$B$1501,$B74,'Per Line'!$AH$2:$AH$1501,1,'Per Line'!$AI$2:$AI$1501,0))</f>
        <v/>
      </c>
      <c r="R74" s="7">
        <f>IF($W74="","",Q74*P74)</f>
        <v/>
      </c>
      <c r="S74" s="7">
        <f>IF($W74="","",R74+O74)</f>
        <v/>
      </c>
      <c r="T74" s="7">
        <f>IF($W74="","",U74-S74)</f>
        <v/>
      </c>
      <c r="U74" s="7">
        <f>IF($W74="","",N74+Q74+L74)</f>
        <v/>
      </c>
      <c r="V74" s="7">
        <f>IF($W74="","",U74-S74-J74)</f>
        <v/>
      </c>
      <c r="W74" s="13">
        <f>IF(ROWS($W$2:$W74)&lt;=MAX('Per Line'!$AG$2:$AG$1501),MATCH(ROWS($W$2:$W74),'Per Line'!$AG$2:$AG$1501,0),"")</f>
        <v/>
      </c>
    </row>
    <row r="75">
      <c r="A75" s="12" t="n"/>
      <c r="B75">
        <f>IF($W75="","",INDEX('Per Line'!$B$2:$B$1501,$W75)&amp;"")</f>
        <v/>
      </c>
      <c r="C75">
        <f>IF($W75="","",INDEX('Per Line'!$A$2:$A$1501,$W75))</f>
        <v/>
      </c>
      <c r="D75" s="11">
        <f>IF($W75="","",INDEX('Per Line'!$C$2:$C$1501,$W75))</f>
        <v/>
      </c>
      <c r="E75">
        <f>IF($W75="","",INDEX('Per Line'!$D$2:$D$1501,$W75)&amp;"")</f>
        <v/>
      </c>
      <c r="F75">
        <f>IF($W75="","",INDEX('Per Line'!$F$2:$F$1501,$W75)&amp;"")</f>
        <v/>
      </c>
      <c r="G75">
        <f>IF($W75="","",INDEX('Per Line'!$G$2:$G$1501,$W75)&amp;"")</f>
        <v/>
      </c>
      <c r="H75">
        <f>IF($W75="","",INDEX('Per Line'!$H$2:$H$1501,$W75)&amp;"")</f>
        <v/>
      </c>
      <c r="I75">
        <f>IF($W75="","",INDEX('Per Line'!$I$2:$I$1501,$W75))</f>
        <v/>
      </c>
      <c r="J75" s="7">
        <f>IF($W75="","",I75*U75/100)</f>
        <v/>
      </c>
      <c r="K75">
        <f>IF($W75="","",INDEX('Per Line'!$U$2:$U$1501,$W75)&amp;"")</f>
        <v/>
      </c>
      <c r="L75" s="7">
        <f>IF($W75="","",SUMIFS('Per Line'!$Q$2:$Q$1501,'Per Line'!$B$2:$B$1501,$B75,'Per Line'!$AI$2:$AI$1501,1))</f>
        <v/>
      </c>
      <c r="M75">
        <f>IF($W75="","",Settings!$C$7)</f>
        <v/>
      </c>
      <c r="N75" s="7">
        <f>IF($W75="","",SUMIFS('Per Line'!$Q$2:$Q$1501,'Per Line'!$B$2:$B$1501,$B75,'Per Line'!$AH$2:$AH$1501,0,'Per Line'!$AI$2:$AI$1501,0))</f>
        <v/>
      </c>
      <c r="O75" s="7">
        <f>IF($W75="","",N75*M75)</f>
        <v/>
      </c>
      <c r="P75">
        <f>IF($W75="","",Settings!$C$6)</f>
        <v/>
      </c>
      <c r="Q75" s="7">
        <f>IF($W75="","",SUMIFS('Per Line'!$Q$2:$Q$1501,'Per Line'!$B$2:$B$1501,$B75,'Per Line'!$AH$2:$AH$1501,1,'Per Line'!$AI$2:$AI$1501,0))</f>
        <v/>
      </c>
      <c r="R75" s="7">
        <f>IF($W75="","",Q75*P75)</f>
        <v/>
      </c>
      <c r="S75" s="7">
        <f>IF($W75="","",R75+O75)</f>
        <v/>
      </c>
      <c r="T75" s="7">
        <f>IF($W75="","",U75-S75)</f>
        <v/>
      </c>
      <c r="U75" s="7">
        <f>IF($W75="","",N75+Q75+L75)</f>
        <v/>
      </c>
      <c r="V75" s="7">
        <f>IF($W75="","",U75-S75-J75)</f>
        <v/>
      </c>
      <c r="W75" s="13">
        <f>IF(ROWS($W$2:$W75)&lt;=MAX('Per Line'!$AG$2:$AG$1501),MATCH(ROWS($W$2:$W75),'Per Line'!$AG$2:$AG$1501,0),"")</f>
        <v/>
      </c>
    </row>
    <row r="76">
      <c r="A76" s="12" t="n"/>
      <c r="B76">
        <f>IF($W76="","",INDEX('Per Line'!$B$2:$B$1501,$W76)&amp;"")</f>
        <v/>
      </c>
      <c r="C76">
        <f>IF($W76="","",INDEX('Per Line'!$A$2:$A$1501,$W76))</f>
        <v/>
      </c>
      <c r="D76" s="11">
        <f>IF($W76="","",INDEX('Per Line'!$C$2:$C$1501,$W76))</f>
        <v/>
      </c>
      <c r="E76">
        <f>IF($W76="","",INDEX('Per Line'!$D$2:$D$1501,$W76)&amp;"")</f>
        <v/>
      </c>
      <c r="F76">
        <f>IF($W76="","",INDEX('Per Line'!$F$2:$F$1501,$W76)&amp;"")</f>
        <v/>
      </c>
      <c r="G76">
        <f>IF($W76="","",INDEX('Per Line'!$G$2:$G$1501,$W76)&amp;"")</f>
        <v/>
      </c>
      <c r="H76">
        <f>IF($W76="","",INDEX('Per Line'!$H$2:$H$1501,$W76)&amp;"")</f>
        <v/>
      </c>
      <c r="I76">
        <f>IF($W76="","",INDEX('Per Line'!$I$2:$I$1501,$W76))</f>
        <v/>
      </c>
      <c r="J76" s="7">
        <f>IF($W76="","",I76*U76/100)</f>
        <v/>
      </c>
      <c r="K76">
        <f>IF($W76="","",INDEX('Per Line'!$U$2:$U$1501,$W76)&amp;"")</f>
        <v/>
      </c>
      <c r="L76" s="7">
        <f>IF($W76="","",SUMIFS('Per Line'!$Q$2:$Q$1501,'Per Line'!$B$2:$B$1501,$B76,'Per Line'!$AI$2:$AI$1501,1))</f>
        <v/>
      </c>
      <c r="M76">
        <f>IF($W76="","",Settings!$C$7)</f>
        <v/>
      </c>
      <c r="N76" s="7">
        <f>IF($W76="","",SUMIFS('Per Line'!$Q$2:$Q$1501,'Per Line'!$B$2:$B$1501,$B76,'Per Line'!$AH$2:$AH$1501,0,'Per Line'!$AI$2:$AI$1501,0))</f>
        <v/>
      </c>
      <c r="O76" s="7">
        <f>IF($W76="","",N76*M76)</f>
        <v/>
      </c>
      <c r="P76">
        <f>IF($W76="","",Settings!$C$6)</f>
        <v/>
      </c>
      <c r="Q76" s="7">
        <f>IF($W76="","",SUMIFS('Per Line'!$Q$2:$Q$1501,'Per Line'!$B$2:$B$1501,$B76,'Per Line'!$AH$2:$AH$1501,1,'Per Line'!$AI$2:$AI$1501,0))</f>
        <v/>
      </c>
      <c r="R76" s="7">
        <f>IF($W76="","",Q76*P76)</f>
        <v/>
      </c>
      <c r="S76" s="7">
        <f>IF($W76="","",R76+O76)</f>
        <v/>
      </c>
      <c r="T76" s="7">
        <f>IF($W76="","",U76-S76)</f>
        <v/>
      </c>
      <c r="U76" s="7">
        <f>IF($W76="","",N76+Q76+L76)</f>
        <v/>
      </c>
      <c r="V76" s="7">
        <f>IF($W76="","",U76-S76-J76)</f>
        <v/>
      </c>
      <c r="W76" s="13">
        <f>IF(ROWS($W$2:$W76)&lt;=MAX('Per Line'!$AG$2:$AG$1501),MATCH(ROWS($W$2:$W76),'Per Line'!$AG$2:$AG$1501,0),"")</f>
        <v/>
      </c>
    </row>
    <row r="77">
      <c r="A77" s="12" t="n"/>
      <c r="B77">
        <f>IF($W77="","",INDEX('Per Line'!$B$2:$B$1501,$W77)&amp;"")</f>
        <v/>
      </c>
      <c r="C77">
        <f>IF($W77="","",INDEX('Per Line'!$A$2:$A$1501,$W77))</f>
        <v/>
      </c>
      <c r="D77" s="11">
        <f>IF($W77="","",INDEX('Per Line'!$C$2:$C$1501,$W77))</f>
        <v/>
      </c>
      <c r="E77">
        <f>IF($W77="","",INDEX('Per Line'!$D$2:$D$1501,$W77)&amp;"")</f>
        <v/>
      </c>
      <c r="F77">
        <f>IF($W77="","",INDEX('Per Line'!$F$2:$F$1501,$W77)&amp;"")</f>
        <v/>
      </c>
      <c r="G77">
        <f>IF($W77="","",INDEX('Per Line'!$G$2:$G$1501,$W77)&amp;"")</f>
        <v/>
      </c>
      <c r="H77">
        <f>IF($W77="","",INDEX('Per Line'!$H$2:$H$1501,$W77)&amp;"")</f>
        <v/>
      </c>
      <c r="I77">
        <f>IF($W77="","",INDEX('Per Line'!$I$2:$I$1501,$W77))</f>
        <v/>
      </c>
      <c r="J77" s="7">
        <f>IF($W77="","",I77*U77/100)</f>
        <v/>
      </c>
      <c r="K77">
        <f>IF($W77="","",INDEX('Per Line'!$U$2:$U$1501,$W77)&amp;"")</f>
        <v/>
      </c>
      <c r="L77" s="7">
        <f>IF($W77="","",SUMIFS('Per Line'!$Q$2:$Q$1501,'Per Line'!$B$2:$B$1501,$B77,'Per Line'!$AI$2:$AI$1501,1))</f>
        <v/>
      </c>
      <c r="M77">
        <f>IF($W77="","",Settings!$C$7)</f>
        <v/>
      </c>
      <c r="N77" s="7">
        <f>IF($W77="","",SUMIFS('Per Line'!$Q$2:$Q$1501,'Per Line'!$B$2:$B$1501,$B77,'Per Line'!$AH$2:$AH$1501,0,'Per Line'!$AI$2:$AI$1501,0))</f>
        <v/>
      </c>
      <c r="O77" s="7">
        <f>IF($W77="","",N77*M77)</f>
        <v/>
      </c>
      <c r="P77">
        <f>IF($W77="","",Settings!$C$6)</f>
        <v/>
      </c>
      <c r="Q77" s="7">
        <f>IF($W77="","",SUMIFS('Per Line'!$Q$2:$Q$1501,'Per Line'!$B$2:$B$1501,$B77,'Per Line'!$AH$2:$AH$1501,1,'Per Line'!$AI$2:$AI$1501,0))</f>
        <v/>
      </c>
      <c r="R77" s="7">
        <f>IF($W77="","",Q77*P77)</f>
        <v/>
      </c>
      <c r="S77" s="7">
        <f>IF($W77="","",R77+O77)</f>
        <v/>
      </c>
      <c r="T77" s="7">
        <f>IF($W77="","",U77-S77)</f>
        <v/>
      </c>
      <c r="U77" s="7">
        <f>IF($W77="","",N77+Q77+L77)</f>
        <v/>
      </c>
      <c r="V77" s="7">
        <f>IF($W77="","",U77-S77-J77)</f>
        <v/>
      </c>
      <c r="W77" s="13">
        <f>IF(ROWS($W$2:$W77)&lt;=MAX('Per Line'!$AG$2:$AG$1501),MATCH(ROWS($W$2:$W77),'Per Line'!$AG$2:$AG$1501,0),"")</f>
        <v/>
      </c>
    </row>
    <row r="78">
      <c r="A78" s="12" t="n"/>
      <c r="B78">
        <f>IF($W78="","",INDEX('Per Line'!$B$2:$B$1501,$W78)&amp;"")</f>
        <v/>
      </c>
      <c r="C78">
        <f>IF($W78="","",INDEX('Per Line'!$A$2:$A$1501,$W78))</f>
        <v/>
      </c>
      <c r="D78" s="11">
        <f>IF($W78="","",INDEX('Per Line'!$C$2:$C$1501,$W78))</f>
        <v/>
      </c>
      <c r="E78">
        <f>IF($W78="","",INDEX('Per Line'!$D$2:$D$1501,$W78)&amp;"")</f>
        <v/>
      </c>
      <c r="F78">
        <f>IF($W78="","",INDEX('Per Line'!$F$2:$F$1501,$W78)&amp;"")</f>
        <v/>
      </c>
      <c r="G78">
        <f>IF($W78="","",INDEX('Per Line'!$G$2:$G$1501,$W78)&amp;"")</f>
        <v/>
      </c>
      <c r="H78">
        <f>IF($W78="","",INDEX('Per Line'!$H$2:$H$1501,$W78)&amp;"")</f>
        <v/>
      </c>
      <c r="I78">
        <f>IF($W78="","",INDEX('Per Line'!$I$2:$I$1501,$W78))</f>
        <v/>
      </c>
      <c r="J78" s="7">
        <f>IF($W78="","",I78*U78/100)</f>
        <v/>
      </c>
      <c r="K78">
        <f>IF($W78="","",INDEX('Per Line'!$U$2:$U$1501,$W78)&amp;"")</f>
        <v/>
      </c>
      <c r="L78" s="7">
        <f>IF($W78="","",SUMIFS('Per Line'!$Q$2:$Q$1501,'Per Line'!$B$2:$B$1501,$B78,'Per Line'!$AI$2:$AI$1501,1))</f>
        <v/>
      </c>
      <c r="M78">
        <f>IF($W78="","",Settings!$C$7)</f>
        <v/>
      </c>
      <c r="N78" s="7">
        <f>IF($W78="","",SUMIFS('Per Line'!$Q$2:$Q$1501,'Per Line'!$B$2:$B$1501,$B78,'Per Line'!$AH$2:$AH$1501,0,'Per Line'!$AI$2:$AI$1501,0))</f>
        <v/>
      </c>
      <c r="O78" s="7">
        <f>IF($W78="","",N78*M78)</f>
        <v/>
      </c>
      <c r="P78">
        <f>IF($W78="","",Settings!$C$6)</f>
        <v/>
      </c>
      <c r="Q78" s="7">
        <f>IF($W78="","",SUMIFS('Per Line'!$Q$2:$Q$1501,'Per Line'!$B$2:$B$1501,$B78,'Per Line'!$AH$2:$AH$1501,1,'Per Line'!$AI$2:$AI$1501,0))</f>
        <v/>
      </c>
      <c r="R78" s="7">
        <f>IF($W78="","",Q78*P78)</f>
        <v/>
      </c>
      <c r="S78" s="7">
        <f>IF($W78="","",R78+O78)</f>
        <v/>
      </c>
      <c r="T78" s="7">
        <f>IF($W78="","",U78-S78)</f>
        <v/>
      </c>
      <c r="U78" s="7">
        <f>IF($W78="","",N78+Q78+L78)</f>
        <v/>
      </c>
      <c r="V78" s="7">
        <f>IF($W78="","",U78-S78-J78)</f>
        <v/>
      </c>
      <c r="W78" s="13">
        <f>IF(ROWS($W$2:$W78)&lt;=MAX('Per Line'!$AG$2:$AG$1501),MATCH(ROWS($W$2:$W78),'Per Line'!$AG$2:$AG$1501,0),"")</f>
        <v/>
      </c>
    </row>
    <row r="79">
      <c r="A79" s="12" t="n"/>
      <c r="B79">
        <f>IF($W79="","",INDEX('Per Line'!$B$2:$B$1501,$W79)&amp;"")</f>
        <v/>
      </c>
      <c r="C79">
        <f>IF($W79="","",INDEX('Per Line'!$A$2:$A$1501,$W79))</f>
        <v/>
      </c>
      <c r="D79" s="11">
        <f>IF($W79="","",INDEX('Per Line'!$C$2:$C$1501,$W79))</f>
        <v/>
      </c>
      <c r="E79">
        <f>IF($W79="","",INDEX('Per Line'!$D$2:$D$1501,$W79)&amp;"")</f>
        <v/>
      </c>
      <c r="F79">
        <f>IF($W79="","",INDEX('Per Line'!$F$2:$F$1501,$W79)&amp;"")</f>
        <v/>
      </c>
      <c r="G79">
        <f>IF($W79="","",INDEX('Per Line'!$G$2:$G$1501,$W79)&amp;"")</f>
        <v/>
      </c>
      <c r="H79">
        <f>IF($W79="","",INDEX('Per Line'!$H$2:$H$1501,$W79)&amp;"")</f>
        <v/>
      </c>
      <c r="I79">
        <f>IF($W79="","",INDEX('Per Line'!$I$2:$I$1501,$W79))</f>
        <v/>
      </c>
      <c r="J79" s="7">
        <f>IF($W79="","",I79*U79/100)</f>
        <v/>
      </c>
      <c r="K79">
        <f>IF($W79="","",INDEX('Per Line'!$U$2:$U$1501,$W79)&amp;"")</f>
        <v/>
      </c>
      <c r="L79" s="7">
        <f>IF($W79="","",SUMIFS('Per Line'!$Q$2:$Q$1501,'Per Line'!$B$2:$B$1501,$B79,'Per Line'!$AI$2:$AI$1501,1))</f>
        <v/>
      </c>
      <c r="M79">
        <f>IF($W79="","",Settings!$C$7)</f>
        <v/>
      </c>
      <c r="N79" s="7">
        <f>IF($W79="","",SUMIFS('Per Line'!$Q$2:$Q$1501,'Per Line'!$B$2:$B$1501,$B79,'Per Line'!$AH$2:$AH$1501,0,'Per Line'!$AI$2:$AI$1501,0))</f>
        <v/>
      </c>
      <c r="O79" s="7">
        <f>IF($W79="","",N79*M79)</f>
        <v/>
      </c>
      <c r="P79">
        <f>IF($W79="","",Settings!$C$6)</f>
        <v/>
      </c>
      <c r="Q79" s="7">
        <f>IF($W79="","",SUMIFS('Per Line'!$Q$2:$Q$1501,'Per Line'!$B$2:$B$1501,$B79,'Per Line'!$AH$2:$AH$1501,1,'Per Line'!$AI$2:$AI$1501,0))</f>
        <v/>
      </c>
      <c r="R79" s="7">
        <f>IF($W79="","",Q79*P79)</f>
        <v/>
      </c>
      <c r="S79" s="7">
        <f>IF($W79="","",R79+O79)</f>
        <v/>
      </c>
      <c r="T79" s="7">
        <f>IF($W79="","",U79-S79)</f>
        <v/>
      </c>
      <c r="U79" s="7">
        <f>IF($W79="","",N79+Q79+L79)</f>
        <v/>
      </c>
      <c r="V79" s="7">
        <f>IF($W79="","",U79-S79-J79)</f>
        <v/>
      </c>
      <c r="W79" s="13">
        <f>IF(ROWS($W$2:$W79)&lt;=MAX('Per Line'!$AG$2:$AG$1501),MATCH(ROWS($W$2:$W79),'Per Line'!$AG$2:$AG$1501,0),"")</f>
        <v/>
      </c>
    </row>
    <row r="80">
      <c r="A80" s="12" t="n"/>
      <c r="B80">
        <f>IF($W80="","",INDEX('Per Line'!$B$2:$B$1501,$W80)&amp;"")</f>
        <v/>
      </c>
      <c r="C80">
        <f>IF($W80="","",INDEX('Per Line'!$A$2:$A$1501,$W80))</f>
        <v/>
      </c>
      <c r="D80" s="11">
        <f>IF($W80="","",INDEX('Per Line'!$C$2:$C$1501,$W80))</f>
        <v/>
      </c>
      <c r="E80">
        <f>IF($W80="","",INDEX('Per Line'!$D$2:$D$1501,$W80)&amp;"")</f>
        <v/>
      </c>
      <c r="F80">
        <f>IF($W80="","",INDEX('Per Line'!$F$2:$F$1501,$W80)&amp;"")</f>
        <v/>
      </c>
      <c r="G80">
        <f>IF($W80="","",INDEX('Per Line'!$G$2:$G$1501,$W80)&amp;"")</f>
        <v/>
      </c>
      <c r="H80">
        <f>IF($W80="","",INDEX('Per Line'!$H$2:$H$1501,$W80)&amp;"")</f>
        <v/>
      </c>
      <c r="I80">
        <f>IF($W80="","",INDEX('Per Line'!$I$2:$I$1501,$W80))</f>
        <v/>
      </c>
      <c r="J80" s="7">
        <f>IF($W80="","",I80*U80/100)</f>
        <v/>
      </c>
      <c r="K80">
        <f>IF($W80="","",INDEX('Per Line'!$U$2:$U$1501,$W80)&amp;"")</f>
        <v/>
      </c>
      <c r="L80" s="7">
        <f>IF($W80="","",SUMIFS('Per Line'!$Q$2:$Q$1501,'Per Line'!$B$2:$B$1501,$B80,'Per Line'!$AI$2:$AI$1501,1))</f>
        <v/>
      </c>
      <c r="M80">
        <f>IF($W80="","",Settings!$C$7)</f>
        <v/>
      </c>
      <c r="N80" s="7">
        <f>IF($W80="","",SUMIFS('Per Line'!$Q$2:$Q$1501,'Per Line'!$B$2:$B$1501,$B80,'Per Line'!$AH$2:$AH$1501,0,'Per Line'!$AI$2:$AI$1501,0))</f>
        <v/>
      </c>
      <c r="O80" s="7">
        <f>IF($W80="","",N80*M80)</f>
        <v/>
      </c>
      <c r="P80">
        <f>IF($W80="","",Settings!$C$6)</f>
        <v/>
      </c>
      <c r="Q80" s="7">
        <f>IF($W80="","",SUMIFS('Per Line'!$Q$2:$Q$1501,'Per Line'!$B$2:$B$1501,$B80,'Per Line'!$AH$2:$AH$1501,1,'Per Line'!$AI$2:$AI$1501,0))</f>
        <v/>
      </c>
      <c r="R80" s="7">
        <f>IF($W80="","",Q80*P80)</f>
        <v/>
      </c>
      <c r="S80" s="7">
        <f>IF($W80="","",R80+O80)</f>
        <v/>
      </c>
      <c r="T80" s="7">
        <f>IF($W80="","",U80-S80)</f>
        <v/>
      </c>
      <c r="U80" s="7">
        <f>IF($W80="","",N80+Q80+L80)</f>
        <v/>
      </c>
      <c r="V80" s="7">
        <f>IF($W80="","",U80-S80-J80)</f>
        <v/>
      </c>
      <c r="W80" s="13">
        <f>IF(ROWS($W$2:$W80)&lt;=MAX('Per Line'!$AG$2:$AG$1501),MATCH(ROWS($W$2:$W80),'Per Line'!$AG$2:$AG$1501,0),"")</f>
        <v/>
      </c>
    </row>
    <row r="81">
      <c r="A81" s="12" t="n"/>
      <c r="B81">
        <f>IF($W81="","",INDEX('Per Line'!$B$2:$B$1501,$W81)&amp;"")</f>
        <v/>
      </c>
      <c r="C81">
        <f>IF($W81="","",INDEX('Per Line'!$A$2:$A$1501,$W81))</f>
        <v/>
      </c>
      <c r="D81" s="11">
        <f>IF($W81="","",INDEX('Per Line'!$C$2:$C$1501,$W81))</f>
        <v/>
      </c>
      <c r="E81">
        <f>IF($W81="","",INDEX('Per Line'!$D$2:$D$1501,$W81)&amp;"")</f>
        <v/>
      </c>
      <c r="F81">
        <f>IF($W81="","",INDEX('Per Line'!$F$2:$F$1501,$W81)&amp;"")</f>
        <v/>
      </c>
      <c r="G81">
        <f>IF($W81="","",INDEX('Per Line'!$G$2:$G$1501,$W81)&amp;"")</f>
        <v/>
      </c>
      <c r="H81">
        <f>IF($W81="","",INDEX('Per Line'!$H$2:$H$1501,$W81)&amp;"")</f>
        <v/>
      </c>
      <c r="I81">
        <f>IF($W81="","",INDEX('Per Line'!$I$2:$I$1501,$W81))</f>
        <v/>
      </c>
      <c r="J81" s="7">
        <f>IF($W81="","",I81*U81/100)</f>
        <v/>
      </c>
      <c r="K81">
        <f>IF($W81="","",INDEX('Per Line'!$U$2:$U$1501,$W81)&amp;"")</f>
        <v/>
      </c>
      <c r="L81" s="7">
        <f>IF($W81="","",SUMIFS('Per Line'!$Q$2:$Q$1501,'Per Line'!$B$2:$B$1501,$B81,'Per Line'!$AI$2:$AI$1501,1))</f>
        <v/>
      </c>
      <c r="M81">
        <f>IF($W81="","",Settings!$C$7)</f>
        <v/>
      </c>
      <c r="N81" s="7">
        <f>IF($W81="","",SUMIFS('Per Line'!$Q$2:$Q$1501,'Per Line'!$B$2:$B$1501,$B81,'Per Line'!$AH$2:$AH$1501,0,'Per Line'!$AI$2:$AI$1501,0))</f>
        <v/>
      </c>
      <c r="O81" s="7">
        <f>IF($W81="","",N81*M81)</f>
        <v/>
      </c>
      <c r="P81">
        <f>IF($W81="","",Settings!$C$6)</f>
        <v/>
      </c>
      <c r="Q81" s="7">
        <f>IF($W81="","",SUMIFS('Per Line'!$Q$2:$Q$1501,'Per Line'!$B$2:$B$1501,$B81,'Per Line'!$AH$2:$AH$1501,1,'Per Line'!$AI$2:$AI$1501,0))</f>
        <v/>
      </c>
      <c r="R81" s="7">
        <f>IF($W81="","",Q81*P81)</f>
        <v/>
      </c>
      <c r="S81" s="7">
        <f>IF($W81="","",R81+O81)</f>
        <v/>
      </c>
      <c r="T81" s="7">
        <f>IF($W81="","",U81-S81)</f>
        <v/>
      </c>
      <c r="U81" s="7">
        <f>IF($W81="","",N81+Q81+L81)</f>
        <v/>
      </c>
      <c r="V81" s="7">
        <f>IF($W81="","",U81-S81-J81)</f>
        <v/>
      </c>
      <c r="W81" s="13">
        <f>IF(ROWS($W$2:$W81)&lt;=MAX('Per Line'!$AG$2:$AG$1501),MATCH(ROWS($W$2:$W81),'Per Line'!$AG$2:$AG$1501,0),"")</f>
        <v/>
      </c>
    </row>
    <row r="82">
      <c r="A82" s="12" t="n"/>
      <c r="B82">
        <f>IF($W82="","",INDEX('Per Line'!$B$2:$B$1501,$W82)&amp;"")</f>
        <v/>
      </c>
      <c r="C82">
        <f>IF($W82="","",INDEX('Per Line'!$A$2:$A$1501,$W82))</f>
        <v/>
      </c>
      <c r="D82" s="11">
        <f>IF($W82="","",INDEX('Per Line'!$C$2:$C$1501,$W82))</f>
        <v/>
      </c>
      <c r="E82">
        <f>IF($W82="","",INDEX('Per Line'!$D$2:$D$1501,$W82)&amp;"")</f>
        <v/>
      </c>
      <c r="F82">
        <f>IF($W82="","",INDEX('Per Line'!$F$2:$F$1501,$W82)&amp;"")</f>
        <v/>
      </c>
      <c r="G82">
        <f>IF($W82="","",INDEX('Per Line'!$G$2:$G$1501,$W82)&amp;"")</f>
        <v/>
      </c>
      <c r="H82">
        <f>IF($W82="","",INDEX('Per Line'!$H$2:$H$1501,$W82)&amp;"")</f>
        <v/>
      </c>
      <c r="I82">
        <f>IF($W82="","",INDEX('Per Line'!$I$2:$I$1501,$W82))</f>
        <v/>
      </c>
      <c r="J82" s="7">
        <f>IF($W82="","",I82*U82/100)</f>
        <v/>
      </c>
      <c r="K82">
        <f>IF($W82="","",INDEX('Per Line'!$U$2:$U$1501,$W82)&amp;"")</f>
        <v/>
      </c>
      <c r="L82" s="7">
        <f>IF($W82="","",SUMIFS('Per Line'!$Q$2:$Q$1501,'Per Line'!$B$2:$B$1501,$B82,'Per Line'!$AI$2:$AI$1501,1))</f>
        <v/>
      </c>
      <c r="M82">
        <f>IF($W82="","",Settings!$C$7)</f>
        <v/>
      </c>
      <c r="N82" s="7">
        <f>IF($W82="","",SUMIFS('Per Line'!$Q$2:$Q$1501,'Per Line'!$B$2:$B$1501,$B82,'Per Line'!$AH$2:$AH$1501,0,'Per Line'!$AI$2:$AI$1501,0))</f>
        <v/>
      </c>
      <c r="O82" s="7">
        <f>IF($W82="","",N82*M82)</f>
        <v/>
      </c>
      <c r="P82">
        <f>IF($W82="","",Settings!$C$6)</f>
        <v/>
      </c>
      <c r="Q82" s="7">
        <f>IF($W82="","",SUMIFS('Per Line'!$Q$2:$Q$1501,'Per Line'!$B$2:$B$1501,$B82,'Per Line'!$AH$2:$AH$1501,1,'Per Line'!$AI$2:$AI$1501,0))</f>
        <v/>
      </c>
      <c r="R82" s="7">
        <f>IF($W82="","",Q82*P82)</f>
        <v/>
      </c>
      <c r="S82" s="7">
        <f>IF($W82="","",R82+O82)</f>
        <v/>
      </c>
      <c r="T82" s="7">
        <f>IF($W82="","",U82-S82)</f>
        <v/>
      </c>
      <c r="U82" s="7">
        <f>IF($W82="","",N82+Q82+L82)</f>
        <v/>
      </c>
      <c r="V82" s="7">
        <f>IF($W82="","",U82-S82-J82)</f>
        <v/>
      </c>
      <c r="W82" s="13">
        <f>IF(ROWS($W$2:$W82)&lt;=MAX('Per Line'!$AG$2:$AG$1501),MATCH(ROWS($W$2:$W82),'Per Line'!$AG$2:$AG$1501,0),"")</f>
        <v/>
      </c>
    </row>
    <row r="83">
      <c r="A83" s="12" t="n"/>
      <c r="B83">
        <f>IF($W83="","",INDEX('Per Line'!$B$2:$B$1501,$W83)&amp;"")</f>
        <v/>
      </c>
      <c r="C83">
        <f>IF($W83="","",INDEX('Per Line'!$A$2:$A$1501,$W83))</f>
        <v/>
      </c>
      <c r="D83" s="11">
        <f>IF($W83="","",INDEX('Per Line'!$C$2:$C$1501,$W83))</f>
        <v/>
      </c>
      <c r="E83">
        <f>IF($W83="","",INDEX('Per Line'!$D$2:$D$1501,$W83)&amp;"")</f>
        <v/>
      </c>
      <c r="F83">
        <f>IF($W83="","",INDEX('Per Line'!$F$2:$F$1501,$W83)&amp;"")</f>
        <v/>
      </c>
      <c r="G83">
        <f>IF($W83="","",INDEX('Per Line'!$G$2:$G$1501,$W83)&amp;"")</f>
        <v/>
      </c>
      <c r="H83">
        <f>IF($W83="","",INDEX('Per Line'!$H$2:$H$1501,$W83)&amp;"")</f>
        <v/>
      </c>
      <c r="I83">
        <f>IF($W83="","",INDEX('Per Line'!$I$2:$I$1501,$W83))</f>
        <v/>
      </c>
      <c r="J83" s="7">
        <f>IF($W83="","",I83*U83/100)</f>
        <v/>
      </c>
      <c r="K83">
        <f>IF($W83="","",INDEX('Per Line'!$U$2:$U$1501,$W83)&amp;"")</f>
        <v/>
      </c>
      <c r="L83" s="7">
        <f>IF($W83="","",SUMIFS('Per Line'!$Q$2:$Q$1501,'Per Line'!$B$2:$B$1501,$B83,'Per Line'!$AI$2:$AI$1501,1))</f>
        <v/>
      </c>
      <c r="M83">
        <f>IF($W83="","",Settings!$C$7)</f>
        <v/>
      </c>
      <c r="N83" s="7">
        <f>IF($W83="","",SUMIFS('Per Line'!$Q$2:$Q$1501,'Per Line'!$B$2:$B$1501,$B83,'Per Line'!$AH$2:$AH$1501,0,'Per Line'!$AI$2:$AI$1501,0))</f>
        <v/>
      </c>
      <c r="O83" s="7">
        <f>IF($W83="","",N83*M83)</f>
        <v/>
      </c>
      <c r="P83">
        <f>IF($W83="","",Settings!$C$6)</f>
        <v/>
      </c>
      <c r="Q83" s="7">
        <f>IF($W83="","",SUMIFS('Per Line'!$Q$2:$Q$1501,'Per Line'!$B$2:$B$1501,$B83,'Per Line'!$AH$2:$AH$1501,1,'Per Line'!$AI$2:$AI$1501,0))</f>
        <v/>
      </c>
      <c r="R83" s="7">
        <f>IF($W83="","",Q83*P83)</f>
        <v/>
      </c>
      <c r="S83" s="7">
        <f>IF($W83="","",R83+O83)</f>
        <v/>
      </c>
      <c r="T83" s="7">
        <f>IF($W83="","",U83-S83)</f>
        <v/>
      </c>
      <c r="U83" s="7">
        <f>IF($W83="","",N83+Q83+L83)</f>
        <v/>
      </c>
      <c r="V83" s="7">
        <f>IF($W83="","",U83-S83-J83)</f>
        <v/>
      </c>
      <c r="W83" s="13">
        <f>IF(ROWS($W$2:$W83)&lt;=MAX('Per Line'!$AG$2:$AG$1501),MATCH(ROWS($W$2:$W83),'Per Line'!$AG$2:$AG$1501,0),"")</f>
        <v/>
      </c>
    </row>
    <row r="84">
      <c r="A84" s="12" t="n"/>
      <c r="B84">
        <f>IF($W84="","",INDEX('Per Line'!$B$2:$B$1501,$W84)&amp;"")</f>
        <v/>
      </c>
      <c r="C84">
        <f>IF($W84="","",INDEX('Per Line'!$A$2:$A$1501,$W84))</f>
        <v/>
      </c>
      <c r="D84" s="11">
        <f>IF($W84="","",INDEX('Per Line'!$C$2:$C$1501,$W84))</f>
        <v/>
      </c>
      <c r="E84">
        <f>IF($W84="","",INDEX('Per Line'!$D$2:$D$1501,$W84)&amp;"")</f>
        <v/>
      </c>
      <c r="F84">
        <f>IF($W84="","",INDEX('Per Line'!$F$2:$F$1501,$W84)&amp;"")</f>
        <v/>
      </c>
      <c r="G84">
        <f>IF($W84="","",INDEX('Per Line'!$G$2:$G$1501,$W84)&amp;"")</f>
        <v/>
      </c>
      <c r="H84">
        <f>IF($W84="","",INDEX('Per Line'!$H$2:$H$1501,$W84)&amp;"")</f>
        <v/>
      </c>
      <c r="I84">
        <f>IF($W84="","",INDEX('Per Line'!$I$2:$I$1501,$W84))</f>
        <v/>
      </c>
      <c r="J84" s="7">
        <f>IF($W84="","",I84*U84/100)</f>
        <v/>
      </c>
      <c r="K84">
        <f>IF($W84="","",INDEX('Per Line'!$U$2:$U$1501,$W84)&amp;"")</f>
        <v/>
      </c>
      <c r="L84" s="7">
        <f>IF($W84="","",SUMIFS('Per Line'!$Q$2:$Q$1501,'Per Line'!$B$2:$B$1501,$B84,'Per Line'!$AI$2:$AI$1501,1))</f>
        <v/>
      </c>
      <c r="M84">
        <f>IF($W84="","",Settings!$C$7)</f>
        <v/>
      </c>
      <c r="N84" s="7">
        <f>IF($W84="","",SUMIFS('Per Line'!$Q$2:$Q$1501,'Per Line'!$B$2:$B$1501,$B84,'Per Line'!$AH$2:$AH$1501,0,'Per Line'!$AI$2:$AI$1501,0))</f>
        <v/>
      </c>
      <c r="O84" s="7">
        <f>IF($W84="","",N84*M84)</f>
        <v/>
      </c>
      <c r="P84">
        <f>IF($W84="","",Settings!$C$6)</f>
        <v/>
      </c>
      <c r="Q84" s="7">
        <f>IF($W84="","",SUMIFS('Per Line'!$Q$2:$Q$1501,'Per Line'!$B$2:$B$1501,$B84,'Per Line'!$AH$2:$AH$1501,1,'Per Line'!$AI$2:$AI$1501,0))</f>
        <v/>
      </c>
      <c r="R84" s="7">
        <f>IF($W84="","",Q84*P84)</f>
        <v/>
      </c>
      <c r="S84" s="7">
        <f>IF($W84="","",R84+O84)</f>
        <v/>
      </c>
      <c r="T84" s="7">
        <f>IF($W84="","",U84-S84)</f>
        <v/>
      </c>
      <c r="U84" s="7">
        <f>IF($W84="","",N84+Q84+L84)</f>
        <v/>
      </c>
      <c r="V84" s="7">
        <f>IF($W84="","",U84-S84-J84)</f>
        <v/>
      </c>
      <c r="W84" s="13">
        <f>IF(ROWS($W$2:$W84)&lt;=MAX('Per Line'!$AG$2:$AG$1501),MATCH(ROWS($W$2:$W84),'Per Line'!$AG$2:$AG$1501,0),"")</f>
        <v/>
      </c>
    </row>
    <row r="85">
      <c r="A85" s="12" t="n"/>
      <c r="B85">
        <f>IF($W85="","",INDEX('Per Line'!$B$2:$B$1501,$W85)&amp;"")</f>
        <v/>
      </c>
      <c r="C85">
        <f>IF($W85="","",INDEX('Per Line'!$A$2:$A$1501,$W85))</f>
        <v/>
      </c>
      <c r="D85" s="11">
        <f>IF($W85="","",INDEX('Per Line'!$C$2:$C$1501,$W85))</f>
        <v/>
      </c>
      <c r="E85">
        <f>IF($W85="","",INDEX('Per Line'!$D$2:$D$1501,$W85)&amp;"")</f>
        <v/>
      </c>
      <c r="F85">
        <f>IF($W85="","",INDEX('Per Line'!$F$2:$F$1501,$W85)&amp;"")</f>
        <v/>
      </c>
      <c r="G85">
        <f>IF($W85="","",INDEX('Per Line'!$G$2:$G$1501,$W85)&amp;"")</f>
        <v/>
      </c>
      <c r="H85">
        <f>IF($W85="","",INDEX('Per Line'!$H$2:$H$1501,$W85)&amp;"")</f>
        <v/>
      </c>
      <c r="I85">
        <f>IF($W85="","",INDEX('Per Line'!$I$2:$I$1501,$W85))</f>
        <v/>
      </c>
      <c r="J85" s="7">
        <f>IF($W85="","",I85*U85/100)</f>
        <v/>
      </c>
      <c r="K85">
        <f>IF($W85="","",INDEX('Per Line'!$U$2:$U$1501,$W85)&amp;"")</f>
        <v/>
      </c>
      <c r="L85" s="7">
        <f>IF($W85="","",SUMIFS('Per Line'!$Q$2:$Q$1501,'Per Line'!$B$2:$B$1501,$B85,'Per Line'!$AI$2:$AI$1501,1))</f>
        <v/>
      </c>
      <c r="M85">
        <f>IF($W85="","",Settings!$C$7)</f>
        <v/>
      </c>
      <c r="N85" s="7">
        <f>IF($W85="","",SUMIFS('Per Line'!$Q$2:$Q$1501,'Per Line'!$B$2:$B$1501,$B85,'Per Line'!$AH$2:$AH$1501,0,'Per Line'!$AI$2:$AI$1501,0))</f>
        <v/>
      </c>
      <c r="O85" s="7">
        <f>IF($W85="","",N85*M85)</f>
        <v/>
      </c>
      <c r="P85">
        <f>IF($W85="","",Settings!$C$6)</f>
        <v/>
      </c>
      <c r="Q85" s="7">
        <f>IF($W85="","",SUMIFS('Per Line'!$Q$2:$Q$1501,'Per Line'!$B$2:$B$1501,$B85,'Per Line'!$AH$2:$AH$1501,1,'Per Line'!$AI$2:$AI$1501,0))</f>
        <v/>
      </c>
      <c r="R85" s="7">
        <f>IF($W85="","",Q85*P85)</f>
        <v/>
      </c>
      <c r="S85" s="7">
        <f>IF($W85="","",R85+O85)</f>
        <v/>
      </c>
      <c r="T85" s="7">
        <f>IF($W85="","",U85-S85)</f>
        <v/>
      </c>
      <c r="U85" s="7">
        <f>IF($W85="","",N85+Q85+L85)</f>
        <v/>
      </c>
      <c r="V85" s="7">
        <f>IF($W85="","",U85-S85-J85)</f>
        <v/>
      </c>
      <c r="W85" s="13">
        <f>IF(ROWS($W$2:$W85)&lt;=MAX('Per Line'!$AG$2:$AG$1501),MATCH(ROWS($W$2:$W85),'Per Line'!$AG$2:$AG$1501,0),"")</f>
        <v/>
      </c>
    </row>
    <row r="86">
      <c r="A86" s="12" t="n"/>
      <c r="B86">
        <f>IF($W86="","",INDEX('Per Line'!$B$2:$B$1501,$W86)&amp;"")</f>
        <v/>
      </c>
      <c r="C86">
        <f>IF($W86="","",INDEX('Per Line'!$A$2:$A$1501,$W86))</f>
        <v/>
      </c>
      <c r="D86" s="11">
        <f>IF($W86="","",INDEX('Per Line'!$C$2:$C$1501,$W86))</f>
        <v/>
      </c>
      <c r="E86">
        <f>IF($W86="","",INDEX('Per Line'!$D$2:$D$1501,$W86)&amp;"")</f>
        <v/>
      </c>
      <c r="F86">
        <f>IF($W86="","",INDEX('Per Line'!$F$2:$F$1501,$W86)&amp;"")</f>
        <v/>
      </c>
      <c r="G86">
        <f>IF($W86="","",INDEX('Per Line'!$G$2:$G$1501,$W86)&amp;"")</f>
        <v/>
      </c>
      <c r="H86">
        <f>IF($W86="","",INDEX('Per Line'!$H$2:$H$1501,$W86)&amp;"")</f>
        <v/>
      </c>
      <c r="I86">
        <f>IF($W86="","",INDEX('Per Line'!$I$2:$I$1501,$W86))</f>
        <v/>
      </c>
      <c r="J86" s="7">
        <f>IF($W86="","",I86*U86/100)</f>
        <v/>
      </c>
      <c r="K86">
        <f>IF($W86="","",INDEX('Per Line'!$U$2:$U$1501,$W86)&amp;"")</f>
        <v/>
      </c>
      <c r="L86" s="7">
        <f>IF($W86="","",SUMIFS('Per Line'!$Q$2:$Q$1501,'Per Line'!$B$2:$B$1501,$B86,'Per Line'!$AI$2:$AI$1501,1))</f>
        <v/>
      </c>
      <c r="M86">
        <f>IF($W86="","",Settings!$C$7)</f>
        <v/>
      </c>
      <c r="N86" s="7">
        <f>IF($W86="","",SUMIFS('Per Line'!$Q$2:$Q$1501,'Per Line'!$B$2:$B$1501,$B86,'Per Line'!$AH$2:$AH$1501,0,'Per Line'!$AI$2:$AI$1501,0))</f>
        <v/>
      </c>
      <c r="O86" s="7">
        <f>IF($W86="","",N86*M86)</f>
        <v/>
      </c>
      <c r="P86">
        <f>IF($W86="","",Settings!$C$6)</f>
        <v/>
      </c>
      <c r="Q86" s="7">
        <f>IF($W86="","",SUMIFS('Per Line'!$Q$2:$Q$1501,'Per Line'!$B$2:$B$1501,$B86,'Per Line'!$AH$2:$AH$1501,1,'Per Line'!$AI$2:$AI$1501,0))</f>
        <v/>
      </c>
      <c r="R86" s="7">
        <f>IF($W86="","",Q86*P86)</f>
        <v/>
      </c>
      <c r="S86" s="7">
        <f>IF($W86="","",R86+O86)</f>
        <v/>
      </c>
      <c r="T86" s="7">
        <f>IF($W86="","",U86-S86)</f>
        <v/>
      </c>
      <c r="U86" s="7">
        <f>IF($W86="","",N86+Q86+L86)</f>
        <v/>
      </c>
      <c r="V86" s="7">
        <f>IF($W86="","",U86-S86-J86)</f>
        <v/>
      </c>
      <c r="W86" s="13">
        <f>IF(ROWS($W$2:$W86)&lt;=MAX('Per Line'!$AG$2:$AG$1501),MATCH(ROWS($W$2:$W86),'Per Line'!$AG$2:$AG$1501,0),"")</f>
        <v/>
      </c>
    </row>
    <row r="87">
      <c r="A87" s="12" t="n"/>
      <c r="B87">
        <f>IF($W87="","",INDEX('Per Line'!$B$2:$B$1501,$W87)&amp;"")</f>
        <v/>
      </c>
      <c r="C87">
        <f>IF($W87="","",INDEX('Per Line'!$A$2:$A$1501,$W87))</f>
        <v/>
      </c>
      <c r="D87" s="11">
        <f>IF($W87="","",INDEX('Per Line'!$C$2:$C$1501,$W87))</f>
        <v/>
      </c>
      <c r="E87">
        <f>IF($W87="","",INDEX('Per Line'!$D$2:$D$1501,$W87)&amp;"")</f>
        <v/>
      </c>
      <c r="F87">
        <f>IF($W87="","",INDEX('Per Line'!$F$2:$F$1501,$W87)&amp;"")</f>
        <v/>
      </c>
      <c r="G87">
        <f>IF($W87="","",INDEX('Per Line'!$G$2:$G$1501,$W87)&amp;"")</f>
        <v/>
      </c>
      <c r="H87">
        <f>IF($W87="","",INDEX('Per Line'!$H$2:$H$1501,$W87)&amp;"")</f>
        <v/>
      </c>
      <c r="I87">
        <f>IF($W87="","",INDEX('Per Line'!$I$2:$I$1501,$W87))</f>
        <v/>
      </c>
      <c r="J87" s="7">
        <f>IF($W87="","",I87*U87/100)</f>
        <v/>
      </c>
      <c r="K87">
        <f>IF($W87="","",INDEX('Per Line'!$U$2:$U$1501,$W87)&amp;"")</f>
        <v/>
      </c>
      <c r="L87" s="7">
        <f>IF($W87="","",SUMIFS('Per Line'!$Q$2:$Q$1501,'Per Line'!$B$2:$B$1501,$B87,'Per Line'!$AI$2:$AI$1501,1))</f>
        <v/>
      </c>
      <c r="M87">
        <f>IF($W87="","",Settings!$C$7)</f>
        <v/>
      </c>
      <c r="N87" s="7">
        <f>IF($W87="","",SUMIFS('Per Line'!$Q$2:$Q$1501,'Per Line'!$B$2:$B$1501,$B87,'Per Line'!$AH$2:$AH$1501,0,'Per Line'!$AI$2:$AI$1501,0))</f>
        <v/>
      </c>
      <c r="O87" s="7">
        <f>IF($W87="","",N87*M87)</f>
        <v/>
      </c>
      <c r="P87">
        <f>IF($W87="","",Settings!$C$6)</f>
        <v/>
      </c>
      <c r="Q87" s="7">
        <f>IF($W87="","",SUMIFS('Per Line'!$Q$2:$Q$1501,'Per Line'!$B$2:$B$1501,$B87,'Per Line'!$AH$2:$AH$1501,1,'Per Line'!$AI$2:$AI$1501,0))</f>
        <v/>
      </c>
      <c r="R87" s="7">
        <f>IF($W87="","",Q87*P87)</f>
        <v/>
      </c>
      <c r="S87" s="7">
        <f>IF($W87="","",R87+O87)</f>
        <v/>
      </c>
      <c r="T87" s="7">
        <f>IF($W87="","",U87-S87)</f>
        <v/>
      </c>
      <c r="U87" s="7">
        <f>IF($W87="","",N87+Q87+L87)</f>
        <v/>
      </c>
      <c r="V87" s="7">
        <f>IF($W87="","",U87-S87-J87)</f>
        <v/>
      </c>
      <c r="W87" s="13">
        <f>IF(ROWS($W$2:$W87)&lt;=MAX('Per Line'!$AG$2:$AG$1501),MATCH(ROWS($W$2:$W87),'Per Line'!$AG$2:$AG$1501,0),"")</f>
        <v/>
      </c>
    </row>
    <row r="88">
      <c r="A88" s="12" t="n"/>
      <c r="B88">
        <f>IF($W88="","",INDEX('Per Line'!$B$2:$B$1501,$W88)&amp;"")</f>
        <v/>
      </c>
      <c r="C88">
        <f>IF($W88="","",INDEX('Per Line'!$A$2:$A$1501,$W88))</f>
        <v/>
      </c>
      <c r="D88" s="11">
        <f>IF($W88="","",INDEX('Per Line'!$C$2:$C$1501,$W88))</f>
        <v/>
      </c>
      <c r="E88">
        <f>IF($W88="","",INDEX('Per Line'!$D$2:$D$1501,$W88)&amp;"")</f>
        <v/>
      </c>
      <c r="F88">
        <f>IF($W88="","",INDEX('Per Line'!$F$2:$F$1501,$W88)&amp;"")</f>
        <v/>
      </c>
      <c r="G88">
        <f>IF($W88="","",INDEX('Per Line'!$G$2:$G$1501,$W88)&amp;"")</f>
        <v/>
      </c>
      <c r="H88">
        <f>IF($W88="","",INDEX('Per Line'!$H$2:$H$1501,$W88)&amp;"")</f>
        <v/>
      </c>
      <c r="I88">
        <f>IF($W88="","",INDEX('Per Line'!$I$2:$I$1501,$W88))</f>
        <v/>
      </c>
      <c r="J88" s="7">
        <f>IF($W88="","",I88*U88/100)</f>
        <v/>
      </c>
      <c r="K88">
        <f>IF($W88="","",INDEX('Per Line'!$U$2:$U$1501,$W88)&amp;"")</f>
        <v/>
      </c>
      <c r="L88" s="7">
        <f>IF($W88="","",SUMIFS('Per Line'!$Q$2:$Q$1501,'Per Line'!$B$2:$B$1501,$B88,'Per Line'!$AI$2:$AI$1501,1))</f>
        <v/>
      </c>
      <c r="M88">
        <f>IF($W88="","",Settings!$C$7)</f>
        <v/>
      </c>
      <c r="N88" s="7">
        <f>IF($W88="","",SUMIFS('Per Line'!$Q$2:$Q$1501,'Per Line'!$B$2:$B$1501,$B88,'Per Line'!$AH$2:$AH$1501,0,'Per Line'!$AI$2:$AI$1501,0))</f>
        <v/>
      </c>
      <c r="O88" s="7">
        <f>IF($W88="","",N88*M88)</f>
        <v/>
      </c>
      <c r="P88">
        <f>IF($W88="","",Settings!$C$6)</f>
        <v/>
      </c>
      <c r="Q88" s="7">
        <f>IF($W88="","",SUMIFS('Per Line'!$Q$2:$Q$1501,'Per Line'!$B$2:$B$1501,$B88,'Per Line'!$AH$2:$AH$1501,1,'Per Line'!$AI$2:$AI$1501,0))</f>
        <v/>
      </c>
      <c r="R88" s="7">
        <f>IF($W88="","",Q88*P88)</f>
        <v/>
      </c>
      <c r="S88" s="7">
        <f>IF($W88="","",R88+O88)</f>
        <v/>
      </c>
      <c r="T88" s="7">
        <f>IF($W88="","",U88-S88)</f>
        <v/>
      </c>
      <c r="U88" s="7">
        <f>IF($W88="","",N88+Q88+L88)</f>
        <v/>
      </c>
      <c r="V88" s="7">
        <f>IF($W88="","",U88-S88-J88)</f>
        <v/>
      </c>
      <c r="W88" s="13">
        <f>IF(ROWS($W$2:$W88)&lt;=MAX('Per Line'!$AG$2:$AG$1501),MATCH(ROWS($W$2:$W88),'Per Line'!$AG$2:$AG$1501,0),"")</f>
        <v/>
      </c>
    </row>
    <row r="89">
      <c r="A89" s="12" t="n"/>
      <c r="B89">
        <f>IF($W89="","",INDEX('Per Line'!$B$2:$B$1501,$W89)&amp;"")</f>
        <v/>
      </c>
      <c r="C89">
        <f>IF($W89="","",INDEX('Per Line'!$A$2:$A$1501,$W89))</f>
        <v/>
      </c>
      <c r="D89" s="11">
        <f>IF($W89="","",INDEX('Per Line'!$C$2:$C$1501,$W89))</f>
        <v/>
      </c>
      <c r="E89">
        <f>IF($W89="","",INDEX('Per Line'!$D$2:$D$1501,$W89)&amp;"")</f>
        <v/>
      </c>
      <c r="F89">
        <f>IF($W89="","",INDEX('Per Line'!$F$2:$F$1501,$W89)&amp;"")</f>
        <v/>
      </c>
      <c r="G89">
        <f>IF($W89="","",INDEX('Per Line'!$G$2:$G$1501,$W89)&amp;"")</f>
        <v/>
      </c>
      <c r="H89">
        <f>IF($W89="","",INDEX('Per Line'!$H$2:$H$1501,$W89)&amp;"")</f>
        <v/>
      </c>
      <c r="I89">
        <f>IF($W89="","",INDEX('Per Line'!$I$2:$I$1501,$W89))</f>
        <v/>
      </c>
      <c r="J89" s="7">
        <f>IF($W89="","",I89*U89/100)</f>
        <v/>
      </c>
      <c r="K89">
        <f>IF($W89="","",INDEX('Per Line'!$U$2:$U$1501,$W89)&amp;"")</f>
        <v/>
      </c>
      <c r="L89" s="7">
        <f>IF($W89="","",SUMIFS('Per Line'!$Q$2:$Q$1501,'Per Line'!$B$2:$B$1501,$B89,'Per Line'!$AI$2:$AI$1501,1))</f>
        <v/>
      </c>
      <c r="M89">
        <f>IF($W89="","",Settings!$C$7)</f>
        <v/>
      </c>
      <c r="N89" s="7">
        <f>IF($W89="","",SUMIFS('Per Line'!$Q$2:$Q$1501,'Per Line'!$B$2:$B$1501,$B89,'Per Line'!$AH$2:$AH$1501,0,'Per Line'!$AI$2:$AI$1501,0))</f>
        <v/>
      </c>
      <c r="O89" s="7">
        <f>IF($W89="","",N89*M89)</f>
        <v/>
      </c>
      <c r="P89">
        <f>IF($W89="","",Settings!$C$6)</f>
        <v/>
      </c>
      <c r="Q89" s="7">
        <f>IF($W89="","",SUMIFS('Per Line'!$Q$2:$Q$1501,'Per Line'!$B$2:$B$1501,$B89,'Per Line'!$AH$2:$AH$1501,1,'Per Line'!$AI$2:$AI$1501,0))</f>
        <v/>
      </c>
      <c r="R89" s="7">
        <f>IF($W89="","",Q89*P89)</f>
        <v/>
      </c>
      <c r="S89" s="7">
        <f>IF($W89="","",R89+O89)</f>
        <v/>
      </c>
      <c r="T89" s="7">
        <f>IF($W89="","",U89-S89)</f>
        <v/>
      </c>
      <c r="U89" s="7">
        <f>IF($W89="","",N89+Q89+L89)</f>
        <v/>
      </c>
      <c r="V89" s="7">
        <f>IF($W89="","",U89-S89-J89)</f>
        <v/>
      </c>
      <c r="W89" s="13">
        <f>IF(ROWS($W$2:$W89)&lt;=MAX('Per Line'!$AG$2:$AG$1501),MATCH(ROWS($W$2:$W89),'Per Line'!$AG$2:$AG$1501,0),"")</f>
        <v/>
      </c>
    </row>
    <row r="90">
      <c r="A90" s="12" t="n"/>
      <c r="B90">
        <f>IF($W90="","",INDEX('Per Line'!$B$2:$B$1501,$W90)&amp;"")</f>
        <v/>
      </c>
      <c r="C90">
        <f>IF($W90="","",INDEX('Per Line'!$A$2:$A$1501,$W90))</f>
        <v/>
      </c>
      <c r="D90" s="11">
        <f>IF($W90="","",INDEX('Per Line'!$C$2:$C$1501,$W90))</f>
        <v/>
      </c>
      <c r="E90">
        <f>IF($W90="","",INDEX('Per Line'!$D$2:$D$1501,$W90)&amp;"")</f>
        <v/>
      </c>
      <c r="F90">
        <f>IF($W90="","",INDEX('Per Line'!$F$2:$F$1501,$W90)&amp;"")</f>
        <v/>
      </c>
      <c r="G90">
        <f>IF($W90="","",INDEX('Per Line'!$G$2:$G$1501,$W90)&amp;"")</f>
        <v/>
      </c>
      <c r="H90">
        <f>IF($W90="","",INDEX('Per Line'!$H$2:$H$1501,$W90)&amp;"")</f>
        <v/>
      </c>
      <c r="I90">
        <f>IF($W90="","",INDEX('Per Line'!$I$2:$I$1501,$W90))</f>
        <v/>
      </c>
      <c r="J90" s="7">
        <f>IF($W90="","",I90*U90/100)</f>
        <v/>
      </c>
      <c r="K90">
        <f>IF($W90="","",INDEX('Per Line'!$U$2:$U$1501,$W90)&amp;"")</f>
        <v/>
      </c>
      <c r="L90" s="7">
        <f>IF($W90="","",SUMIFS('Per Line'!$Q$2:$Q$1501,'Per Line'!$B$2:$B$1501,$B90,'Per Line'!$AI$2:$AI$1501,1))</f>
        <v/>
      </c>
      <c r="M90">
        <f>IF($W90="","",Settings!$C$7)</f>
        <v/>
      </c>
      <c r="N90" s="7">
        <f>IF($W90="","",SUMIFS('Per Line'!$Q$2:$Q$1501,'Per Line'!$B$2:$B$1501,$B90,'Per Line'!$AH$2:$AH$1501,0,'Per Line'!$AI$2:$AI$1501,0))</f>
        <v/>
      </c>
      <c r="O90" s="7">
        <f>IF($W90="","",N90*M90)</f>
        <v/>
      </c>
      <c r="P90">
        <f>IF($W90="","",Settings!$C$6)</f>
        <v/>
      </c>
      <c r="Q90" s="7">
        <f>IF($W90="","",SUMIFS('Per Line'!$Q$2:$Q$1501,'Per Line'!$B$2:$B$1501,$B90,'Per Line'!$AH$2:$AH$1501,1,'Per Line'!$AI$2:$AI$1501,0))</f>
        <v/>
      </c>
      <c r="R90" s="7">
        <f>IF($W90="","",Q90*P90)</f>
        <v/>
      </c>
      <c r="S90" s="7">
        <f>IF($W90="","",R90+O90)</f>
        <v/>
      </c>
      <c r="T90" s="7">
        <f>IF($W90="","",U90-S90)</f>
        <v/>
      </c>
      <c r="U90" s="7">
        <f>IF($W90="","",N90+Q90+L90)</f>
        <v/>
      </c>
      <c r="V90" s="7">
        <f>IF($W90="","",U90-S90-J90)</f>
        <v/>
      </c>
      <c r="W90" s="13">
        <f>IF(ROWS($W$2:$W90)&lt;=MAX('Per Line'!$AG$2:$AG$1501),MATCH(ROWS($W$2:$W90),'Per Line'!$AG$2:$AG$1501,0),"")</f>
        <v/>
      </c>
    </row>
    <row r="91">
      <c r="A91" s="12" t="n"/>
      <c r="B91">
        <f>IF($W91="","",INDEX('Per Line'!$B$2:$B$1501,$W91)&amp;"")</f>
        <v/>
      </c>
      <c r="C91">
        <f>IF($W91="","",INDEX('Per Line'!$A$2:$A$1501,$W91))</f>
        <v/>
      </c>
      <c r="D91" s="11">
        <f>IF($W91="","",INDEX('Per Line'!$C$2:$C$1501,$W91))</f>
        <v/>
      </c>
      <c r="E91">
        <f>IF($W91="","",INDEX('Per Line'!$D$2:$D$1501,$W91)&amp;"")</f>
        <v/>
      </c>
      <c r="F91">
        <f>IF($W91="","",INDEX('Per Line'!$F$2:$F$1501,$W91)&amp;"")</f>
        <v/>
      </c>
      <c r="G91">
        <f>IF($W91="","",INDEX('Per Line'!$G$2:$G$1501,$W91)&amp;"")</f>
        <v/>
      </c>
      <c r="H91">
        <f>IF($W91="","",INDEX('Per Line'!$H$2:$H$1501,$W91)&amp;"")</f>
        <v/>
      </c>
      <c r="I91">
        <f>IF($W91="","",INDEX('Per Line'!$I$2:$I$1501,$W91))</f>
        <v/>
      </c>
      <c r="J91" s="7">
        <f>IF($W91="","",I91*U91/100)</f>
        <v/>
      </c>
      <c r="K91">
        <f>IF($W91="","",INDEX('Per Line'!$U$2:$U$1501,$W91)&amp;"")</f>
        <v/>
      </c>
      <c r="L91" s="7">
        <f>IF($W91="","",SUMIFS('Per Line'!$Q$2:$Q$1501,'Per Line'!$B$2:$B$1501,$B91,'Per Line'!$AI$2:$AI$1501,1))</f>
        <v/>
      </c>
      <c r="M91">
        <f>IF($W91="","",Settings!$C$7)</f>
        <v/>
      </c>
      <c r="N91" s="7">
        <f>IF($W91="","",SUMIFS('Per Line'!$Q$2:$Q$1501,'Per Line'!$B$2:$B$1501,$B91,'Per Line'!$AH$2:$AH$1501,0,'Per Line'!$AI$2:$AI$1501,0))</f>
        <v/>
      </c>
      <c r="O91" s="7">
        <f>IF($W91="","",N91*M91)</f>
        <v/>
      </c>
      <c r="P91">
        <f>IF($W91="","",Settings!$C$6)</f>
        <v/>
      </c>
      <c r="Q91" s="7">
        <f>IF($W91="","",SUMIFS('Per Line'!$Q$2:$Q$1501,'Per Line'!$B$2:$B$1501,$B91,'Per Line'!$AH$2:$AH$1501,1,'Per Line'!$AI$2:$AI$1501,0))</f>
        <v/>
      </c>
      <c r="R91" s="7">
        <f>IF($W91="","",Q91*P91)</f>
        <v/>
      </c>
      <c r="S91" s="7">
        <f>IF($W91="","",R91+O91)</f>
        <v/>
      </c>
      <c r="T91" s="7">
        <f>IF($W91="","",U91-S91)</f>
        <v/>
      </c>
      <c r="U91" s="7">
        <f>IF($W91="","",N91+Q91+L91)</f>
        <v/>
      </c>
      <c r="V91" s="7">
        <f>IF($W91="","",U91-S91-J91)</f>
        <v/>
      </c>
      <c r="W91" s="13">
        <f>IF(ROWS($W$2:$W91)&lt;=MAX('Per Line'!$AG$2:$AG$1501),MATCH(ROWS($W$2:$W91),'Per Line'!$AG$2:$AG$1501,0),"")</f>
        <v/>
      </c>
    </row>
    <row r="92">
      <c r="A92" s="12" t="n"/>
      <c r="B92">
        <f>IF($W92="","",INDEX('Per Line'!$B$2:$B$1501,$W92)&amp;"")</f>
        <v/>
      </c>
      <c r="C92">
        <f>IF($W92="","",INDEX('Per Line'!$A$2:$A$1501,$W92))</f>
        <v/>
      </c>
      <c r="D92" s="11">
        <f>IF($W92="","",INDEX('Per Line'!$C$2:$C$1501,$W92))</f>
        <v/>
      </c>
      <c r="E92">
        <f>IF($W92="","",INDEX('Per Line'!$D$2:$D$1501,$W92)&amp;"")</f>
        <v/>
      </c>
      <c r="F92">
        <f>IF($W92="","",INDEX('Per Line'!$F$2:$F$1501,$W92)&amp;"")</f>
        <v/>
      </c>
      <c r="G92">
        <f>IF($W92="","",INDEX('Per Line'!$G$2:$G$1501,$W92)&amp;"")</f>
        <v/>
      </c>
      <c r="H92">
        <f>IF($W92="","",INDEX('Per Line'!$H$2:$H$1501,$W92)&amp;"")</f>
        <v/>
      </c>
      <c r="I92">
        <f>IF($W92="","",INDEX('Per Line'!$I$2:$I$1501,$W92))</f>
        <v/>
      </c>
      <c r="J92" s="7">
        <f>IF($W92="","",I92*U92/100)</f>
        <v/>
      </c>
      <c r="K92">
        <f>IF($W92="","",INDEX('Per Line'!$U$2:$U$1501,$W92)&amp;"")</f>
        <v/>
      </c>
      <c r="L92" s="7">
        <f>IF($W92="","",SUMIFS('Per Line'!$Q$2:$Q$1501,'Per Line'!$B$2:$B$1501,$B92,'Per Line'!$AI$2:$AI$1501,1))</f>
        <v/>
      </c>
      <c r="M92">
        <f>IF($W92="","",Settings!$C$7)</f>
        <v/>
      </c>
      <c r="N92" s="7">
        <f>IF($W92="","",SUMIFS('Per Line'!$Q$2:$Q$1501,'Per Line'!$B$2:$B$1501,$B92,'Per Line'!$AH$2:$AH$1501,0,'Per Line'!$AI$2:$AI$1501,0))</f>
        <v/>
      </c>
      <c r="O92" s="7">
        <f>IF($W92="","",N92*M92)</f>
        <v/>
      </c>
      <c r="P92">
        <f>IF($W92="","",Settings!$C$6)</f>
        <v/>
      </c>
      <c r="Q92" s="7">
        <f>IF($W92="","",SUMIFS('Per Line'!$Q$2:$Q$1501,'Per Line'!$B$2:$B$1501,$B92,'Per Line'!$AH$2:$AH$1501,1,'Per Line'!$AI$2:$AI$1501,0))</f>
        <v/>
      </c>
      <c r="R92" s="7">
        <f>IF($W92="","",Q92*P92)</f>
        <v/>
      </c>
      <c r="S92" s="7">
        <f>IF($W92="","",R92+O92)</f>
        <v/>
      </c>
      <c r="T92" s="7">
        <f>IF($W92="","",U92-S92)</f>
        <v/>
      </c>
      <c r="U92" s="7">
        <f>IF($W92="","",N92+Q92+L92)</f>
        <v/>
      </c>
      <c r="V92" s="7">
        <f>IF($W92="","",U92-S92-J92)</f>
        <v/>
      </c>
      <c r="W92" s="13">
        <f>IF(ROWS($W$2:$W92)&lt;=MAX('Per Line'!$AG$2:$AG$1501),MATCH(ROWS($W$2:$W92),'Per Line'!$AG$2:$AG$1501,0),"")</f>
        <v/>
      </c>
    </row>
    <row r="93">
      <c r="A93" s="12" t="n"/>
      <c r="B93">
        <f>IF($W93="","",INDEX('Per Line'!$B$2:$B$1501,$W93)&amp;"")</f>
        <v/>
      </c>
      <c r="C93">
        <f>IF($W93="","",INDEX('Per Line'!$A$2:$A$1501,$W93))</f>
        <v/>
      </c>
      <c r="D93" s="11">
        <f>IF($W93="","",INDEX('Per Line'!$C$2:$C$1501,$W93))</f>
        <v/>
      </c>
      <c r="E93">
        <f>IF($W93="","",INDEX('Per Line'!$D$2:$D$1501,$W93)&amp;"")</f>
        <v/>
      </c>
      <c r="F93">
        <f>IF($W93="","",INDEX('Per Line'!$F$2:$F$1501,$W93)&amp;"")</f>
        <v/>
      </c>
      <c r="G93">
        <f>IF($W93="","",INDEX('Per Line'!$G$2:$G$1501,$W93)&amp;"")</f>
        <v/>
      </c>
      <c r="H93">
        <f>IF($W93="","",INDEX('Per Line'!$H$2:$H$1501,$W93)&amp;"")</f>
        <v/>
      </c>
      <c r="I93">
        <f>IF($W93="","",INDEX('Per Line'!$I$2:$I$1501,$W93))</f>
        <v/>
      </c>
      <c r="J93" s="7">
        <f>IF($W93="","",I93*U93/100)</f>
        <v/>
      </c>
      <c r="K93">
        <f>IF($W93="","",INDEX('Per Line'!$U$2:$U$1501,$W93)&amp;"")</f>
        <v/>
      </c>
      <c r="L93" s="7">
        <f>IF($W93="","",SUMIFS('Per Line'!$Q$2:$Q$1501,'Per Line'!$B$2:$B$1501,$B93,'Per Line'!$AI$2:$AI$1501,1))</f>
        <v/>
      </c>
      <c r="M93">
        <f>IF($W93="","",Settings!$C$7)</f>
        <v/>
      </c>
      <c r="N93" s="7">
        <f>IF($W93="","",SUMIFS('Per Line'!$Q$2:$Q$1501,'Per Line'!$B$2:$B$1501,$B93,'Per Line'!$AH$2:$AH$1501,0,'Per Line'!$AI$2:$AI$1501,0))</f>
        <v/>
      </c>
      <c r="O93" s="7">
        <f>IF($W93="","",N93*M93)</f>
        <v/>
      </c>
      <c r="P93">
        <f>IF($W93="","",Settings!$C$6)</f>
        <v/>
      </c>
      <c r="Q93" s="7">
        <f>IF($W93="","",SUMIFS('Per Line'!$Q$2:$Q$1501,'Per Line'!$B$2:$B$1501,$B93,'Per Line'!$AH$2:$AH$1501,1,'Per Line'!$AI$2:$AI$1501,0))</f>
        <v/>
      </c>
      <c r="R93" s="7">
        <f>IF($W93="","",Q93*P93)</f>
        <v/>
      </c>
      <c r="S93" s="7">
        <f>IF($W93="","",R93+O93)</f>
        <v/>
      </c>
      <c r="T93" s="7">
        <f>IF($W93="","",U93-S93)</f>
        <v/>
      </c>
      <c r="U93" s="7">
        <f>IF($W93="","",N93+Q93+L93)</f>
        <v/>
      </c>
      <c r="V93" s="7">
        <f>IF($W93="","",U93-S93-J93)</f>
        <v/>
      </c>
      <c r="W93" s="13">
        <f>IF(ROWS($W$2:$W93)&lt;=MAX('Per Line'!$AG$2:$AG$1501),MATCH(ROWS($W$2:$W93),'Per Line'!$AG$2:$AG$1501,0),"")</f>
        <v/>
      </c>
    </row>
    <row r="94">
      <c r="A94" s="12" t="n"/>
      <c r="B94">
        <f>IF($W94="","",INDEX('Per Line'!$B$2:$B$1501,$W94)&amp;"")</f>
        <v/>
      </c>
      <c r="C94">
        <f>IF($W94="","",INDEX('Per Line'!$A$2:$A$1501,$W94))</f>
        <v/>
      </c>
      <c r="D94" s="11">
        <f>IF($W94="","",INDEX('Per Line'!$C$2:$C$1501,$W94))</f>
        <v/>
      </c>
      <c r="E94">
        <f>IF($W94="","",INDEX('Per Line'!$D$2:$D$1501,$W94)&amp;"")</f>
        <v/>
      </c>
      <c r="F94">
        <f>IF($W94="","",INDEX('Per Line'!$F$2:$F$1501,$W94)&amp;"")</f>
        <v/>
      </c>
      <c r="G94">
        <f>IF($W94="","",INDEX('Per Line'!$G$2:$G$1501,$W94)&amp;"")</f>
        <v/>
      </c>
      <c r="H94">
        <f>IF($W94="","",INDEX('Per Line'!$H$2:$H$1501,$W94)&amp;"")</f>
        <v/>
      </c>
      <c r="I94">
        <f>IF($W94="","",INDEX('Per Line'!$I$2:$I$1501,$W94))</f>
        <v/>
      </c>
      <c r="J94" s="7">
        <f>IF($W94="","",I94*U94/100)</f>
        <v/>
      </c>
      <c r="K94">
        <f>IF($W94="","",INDEX('Per Line'!$U$2:$U$1501,$W94)&amp;"")</f>
        <v/>
      </c>
      <c r="L94" s="7">
        <f>IF($W94="","",SUMIFS('Per Line'!$Q$2:$Q$1501,'Per Line'!$B$2:$B$1501,$B94,'Per Line'!$AI$2:$AI$1501,1))</f>
        <v/>
      </c>
      <c r="M94">
        <f>IF($W94="","",Settings!$C$7)</f>
        <v/>
      </c>
      <c r="N94" s="7">
        <f>IF($W94="","",SUMIFS('Per Line'!$Q$2:$Q$1501,'Per Line'!$B$2:$B$1501,$B94,'Per Line'!$AH$2:$AH$1501,0,'Per Line'!$AI$2:$AI$1501,0))</f>
        <v/>
      </c>
      <c r="O94" s="7">
        <f>IF($W94="","",N94*M94)</f>
        <v/>
      </c>
      <c r="P94">
        <f>IF($W94="","",Settings!$C$6)</f>
        <v/>
      </c>
      <c r="Q94" s="7">
        <f>IF($W94="","",SUMIFS('Per Line'!$Q$2:$Q$1501,'Per Line'!$B$2:$B$1501,$B94,'Per Line'!$AH$2:$AH$1501,1,'Per Line'!$AI$2:$AI$1501,0))</f>
        <v/>
      </c>
      <c r="R94" s="7">
        <f>IF($W94="","",Q94*P94)</f>
        <v/>
      </c>
      <c r="S94" s="7">
        <f>IF($W94="","",R94+O94)</f>
        <v/>
      </c>
      <c r="T94" s="7">
        <f>IF($W94="","",U94-S94)</f>
        <v/>
      </c>
      <c r="U94" s="7">
        <f>IF($W94="","",N94+Q94+L94)</f>
        <v/>
      </c>
      <c r="V94" s="7">
        <f>IF($W94="","",U94-S94-J94)</f>
        <v/>
      </c>
      <c r="W94" s="13">
        <f>IF(ROWS($W$2:$W94)&lt;=MAX('Per Line'!$AG$2:$AG$1501),MATCH(ROWS($W$2:$W94),'Per Line'!$AG$2:$AG$1501,0),"")</f>
        <v/>
      </c>
    </row>
    <row r="95">
      <c r="A95" s="12" t="n"/>
      <c r="B95">
        <f>IF($W95="","",INDEX('Per Line'!$B$2:$B$1501,$W95)&amp;"")</f>
        <v/>
      </c>
      <c r="C95">
        <f>IF($W95="","",INDEX('Per Line'!$A$2:$A$1501,$W95))</f>
        <v/>
      </c>
      <c r="D95" s="11">
        <f>IF($W95="","",INDEX('Per Line'!$C$2:$C$1501,$W95))</f>
        <v/>
      </c>
      <c r="E95">
        <f>IF($W95="","",INDEX('Per Line'!$D$2:$D$1501,$W95)&amp;"")</f>
        <v/>
      </c>
      <c r="F95">
        <f>IF($W95="","",INDEX('Per Line'!$F$2:$F$1501,$W95)&amp;"")</f>
        <v/>
      </c>
      <c r="G95">
        <f>IF($W95="","",INDEX('Per Line'!$G$2:$G$1501,$W95)&amp;"")</f>
        <v/>
      </c>
      <c r="H95">
        <f>IF($W95="","",INDEX('Per Line'!$H$2:$H$1501,$W95)&amp;"")</f>
        <v/>
      </c>
      <c r="I95">
        <f>IF($W95="","",INDEX('Per Line'!$I$2:$I$1501,$W95))</f>
        <v/>
      </c>
      <c r="J95" s="7">
        <f>IF($W95="","",I95*U95/100)</f>
        <v/>
      </c>
      <c r="K95">
        <f>IF($W95="","",INDEX('Per Line'!$U$2:$U$1501,$W95)&amp;"")</f>
        <v/>
      </c>
      <c r="L95" s="7">
        <f>IF($W95="","",SUMIFS('Per Line'!$Q$2:$Q$1501,'Per Line'!$B$2:$B$1501,$B95,'Per Line'!$AI$2:$AI$1501,1))</f>
        <v/>
      </c>
      <c r="M95">
        <f>IF($W95="","",Settings!$C$7)</f>
        <v/>
      </c>
      <c r="N95" s="7">
        <f>IF($W95="","",SUMIFS('Per Line'!$Q$2:$Q$1501,'Per Line'!$B$2:$B$1501,$B95,'Per Line'!$AH$2:$AH$1501,0,'Per Line'!$AI$2:$AI$1501,0))</f>
        <v/>
      </c>
      <c r="O95" s="7">
        <f>IF($W95="","",N95*M95)</f>
        <v/>
      </c>
      <c r="P95">
        <f>IF($W95="","",Settings!$C$6)</f>
        <v/>
      </c>
      <c r="Q95" s="7">
        <f>IF($W95="","",SUMIFS('Per Line'!$Q$2:$Q$1501,'Per Line'!$B$2:$B$1501,$B95,'Per Line'!$AH$2:$AH$1501,1,'Per Line'!$AI$2:$AI$1501,0))</f>
        <v/>
      </c>
      <c r="R95" s="7">
        <f>IF($W95="","",Q95*P95)</f>
        <v/>
      </c>
      <c r="S95" s="7">
        <f>IF($W95="","",R95+O95)</f>
        <v/>
      </c>
      <c r="T95" s="7">
        <f>IF($W95="","",U95-S95)</f>
        <v/>
      </c>
      <c r="U95" s="7">
        <f>IF($W95="","",N95+Q95+L95)</f>
        <v/>
      </c>
      <c r="V95" s="7">
        <f>IF($W95="","",U95-S95-J95)</f>
        <v/>
      </c>
      <c r="W95" s="13">
        <f>IF(ROWS($W$2:$W95)&lt;=MAX('Per Line'!$AG$2:$AG$1501),MATCH(ROWS($W$2:$W95),'Per Line'!$AG$2:$AG$1501,0),"")</f>
        <v/>
      </c>
    </row>
    <row r="96">
      <c r="A96" s="12" t="n"/>
      <c r="B96">
        <f>IF($W96="","",INDEX('Per Line'!$B$2:$B$1501,$W96)&amp;"")</f>
        <v/>
      </c>
      <c r="C96">
        <f>IF($W96="","",INDEX('Per Line'!$A$2:$A$1501,$W96))</f>
        <v/>
      </c>
      <c r="D96" s="11">
        <f>IF($W96="","",INDEX('Per Line'!$C$2:$C$1501,$W96))</f>
        <v/>
      </c>
      <c r="E96">
        <f>IF($W96="","",INDEX('Per Line'!$D$2:$D$1501,$W96)&amp;"")</f>
        <v/>
      </c>
      <c r="F96">
        <f>IF($W96="","",INDEX('Per Line'!$F$2:$F$1501,$W96)&amp;"")</f>
        <v/>
      </c>
      <c r="G96">
        <f>IF($W96="","",INDEX('Per Line'!$G$2:$G$1501,$W96)&amp;"")</f>
        <v/>
      </c>
      <c r="H96">
        <f>IF($W96="","",INDEX('Per Line'!$H$2:$H$1501,$W96)&amp;"")</f>
        <v/>
      </c>
      <c r="I96">
        <f>IF($W96="","",INDEX('Per Line'!$I$2:$I$1501,$W96))</f>
        <v/>
      </c>
      <c r="J96" s="7">
        <f>IF($W96="","",I96*U96/100)</f>
        <v/>
      </c>
      <c r="K96">
        <f>IF($W96="","",INDEX('Per Line'!$U$2:$U$1501,$W96)&amp;"")</f>
        <v/>
      </c>
      <c r="L96" s="7">
        <f>IF($W96="","",SUMIFS('Per Line'!$Q$2:$Q$1501,'Per Line'!$B$2:$B$1501,$B96,'Per Line'!$AI$2:$AI$1501,1))</f>
        <v/>
      </c>
      <c r="M96">
        <f>IF($W96="","",Settings!$C$7)</f>
        <v/>
      </c>
      <c r="N96" s="7">
        <f>IF($W96="","",SUMIFS('Per Line'!$Q$2:$Q$1501,'Per Line'!$B$2:$B$1501,$B96,'Per Line'!$AH$2:$AH$1501,0,'Per Line'!$AI$2:$AI$1501,0))</f>
        <v/>
      </c>
      <c r="O96" s="7">
        <f>IF($W96="","",N96*M96)</f>
        <v/>
      </c>
      <c r="P96">
        <f>IF($W96="","",Settings!$C$6)</f>
        <v/>
      </c>
      <c r="Q96" s="7">
        <f>IF($W96="","",SUMIFS('Per Line'!$Q$2:$Q$1501,'Per Line'!$B$2:$B$1501,$B96,'Per Line'!$AH$2:$AH$1501,1,'Per Line'!$AI$2:$AI$1501,0))</f>
        <v/>
      </c>
      <c r="R96" s="7">
        <f>IF($W96="","",Q96*P96)</f>
        <v/>
      </c>
      <c r="S96" s="7">
        <f>IF($W96="","",R96+O96)</f>
        <v/>
      </c>
      <c r="T96" s="7">
        <f>IF($W96="","",U96-S96)</f>
        <v/>
      </c>
      <c r="U96" s="7">
        <f>IF($W96="","",N96+Q96+L96)</f>
        <v/>
      </c>
      <c r="V96" s="7">
        <f>IF($W96="","",U96-S96-J96)</f>
        <v/>
      </c>
      <c r="W96" s="13">
        <f>IF(ROWS($W$2:$W96)&lt;=MAX('Per Line'!$AG$2:$AG$1501),MATCH(ROWS($W$2:$W96),'Per Line'!$AG$2:$AG$1501,0),"")</f>
        <v/>
      </c>
    </row>
    <row r="97">
      <c r="A97" s="12" t="n"/>
      <c r="B97">
        <f>IF($W97="","",INDEX('Per Line'!$B$2:$B$1501,$W97)&amp;"")</f>
        <v/>
      </c>
      <c r="C97">
        <f>IF($W97="","",INDEX('Per Line'!$A$2:$A$1501,$W97))</f>
        <v/>
      </c>
      <c r="D97" s="11">
        <f>IF($W97="","",INDEX('Per Line'!$C$2:$C$1501,$W97))</f>
        <v/>
      </c>
      <c r="E97">
        <f>IF($W97="","",INDEX('Per Line'!$D$2:$D$1501,$W97)&amp;"")</f>
        <v/>
      </c>
      <c r="F97">
        <f>IF($W97="","",INDEX('Per Line'!$F$2:$F$1501,$W97)&amp;"")</f>
        <v/>
      </c>
      <c r="G97">
        <f>IF($W97="","",INDEX('Per Line'!$G$2:$G$1501,$W97)&amp;"")</f>
        <v/>
      </c>
      <c r="H97">
        <f>IF($W97="","",INDEX('Per Line'!$H$2:$H$1501,$W97)&amp;"")</f>
        <v/>
      </c>
      <c r="I97">
        <f>IF($W97="","",INDEX('Per Line'!$I$2:$I$1501,$W97))</f>
        <v/>
      </c>
      <c r="J97" s="7">
        <f>IF($W97="","",I97*U97/100)</f>
        <v/>
      </c>
      <c r="K97">
        <f>IF($W97="","",INDEX('Per Line'!$U$2:$U$1501,$W97)&amp;"")</f>
        <v/>
      </c>
      <c r="L97" s="7">
        <f>IF($W97="","",SUMIFS('Per Line'!$Q$2:$Q$1501,'Per Line'!$B$2:$B$1501,$B97,'Per Line'!$AI$2:$AI$1501,1))</f>
        <v/>
      </c>
      <c r="M97">
        <f>IF($W97="","",Settings!$C$7)</f>
        <v/>
      </c>
      <c r="N97" s="7">
        <f>IF($W97="","",SUMIFS('Per Line'!$Q$2:$Q$1501,'Per Line'!$B$2:$B$1501,$B97,'Per Line'!$AH$2:$AH$1501,0,'Per Line'!$AI$2:$AI$1501,0))</f>
        <v/>
      </c>
      <c r="O97" s="7">
        <f>IF($W97="","",N97*M97)</f>
        <v/>
      </c>
      <c r="P97">
        <f>IF($W97="","",Settings!$C$6)</f>
        <v/>
      </c>
      <c r="Q97" s="7">
        <f>IF($W97="","",SUMIFS('Per Line'!$Q$2:$Q$1501,'Per Line'!$B$2:$B$1501,$B97,'Per Line'!$AH$2:$AH$1501,1,'Per Line'!$AI$2:$AI$1501,0))</f>
        <v/>
      </c>
      <c r="R97" s="7">
        <f>IF($W97="","",Q97*P97)</f>
        <v/>
      </c>
      <c r="S97" s="7">
        <f>IF($W97="","",R97+O97)</f>
        <v/>
      </c>
      <c r="T97" s="7">
        <f>IF($W97="","",U97-S97)</f>
        <v/>
      </c>
      <c r="U97" s="7">
        <f>IF($W97="","",N97+Q97+L97)</f>
        <v/>
      </c>
      <c r="V97" s="7">
        <f>IF($W97="","",U97-S97-J97)</f>
        <v/>
      </c>
      <c r="W97" s="13">
        <f>IF(ROWS($W$2:$W97)&lt;=MAX('Per Line'!$AG$2:$AG$1501),MATCH(ROWS($W$2:$W97),'Per Line'!$AG$2:$AG$1501,0),"")</f>
        <v/>
      </c>
    </row>
    <row r="98">
      <c r="A98" s="12" t="n"/>
      <c r="B98">
        <f>IF($W98="","",INDEX('Per Line'!$B$2:$B$1501,$W98)&amp;"")</f>
        <v/>
      </c>
      <c r="C98">
        <f>IF($W98="","",INDEX('Per Line'!$A$2:$A$1501,$W98))</f>
        <v/>
      </c>
      <c r="D98" s="11">
        <f>IF($W98="","",INDEX('Per Line'!$C$2:$C$1501,$W98))</f>
        <v/>
      </c>
      <c r="E98">
        <f>IF($W98="","",INDEX('Per Line'!$D$2:$D$1501,$W98)&amp;"")</f>
        <v/>
      </c>
      <c r="F98">
        <f>IF($W98="","",INDEX('Per Line'!$F$2:$F$1501,$W98)&amp;"")</f>
        <v/>
      </c>
      <c r="G98">
        <f>IF($W98="","",INDEX('Per Line'!$G$2:$G$1501,$W98)&amp;"")</f>
        <v/>
      </c>
      <c r="H98">
        <f>IF($W98="","",INDEX('Per Line'!$H$2:$H$1501,$W98)&amp;"")</f>
        <v/>
      </c>
      <c r="I98">
        <f>IF($W98="","",INDEX('Per Line'!$I$2:$I$1501,$W98))</f>
        <v/>
      </c>
      <c r="J98" s="7">
        <f>IF($W98="","",I98*U98/100)</f>
        <v/>
      </c>
      <c r="K98">
        <f>IF($W98="","",INDEX('Per Line'!$U$2:$U$1501,$W98)&amp;"")</f>
        <v/>
      </c>
      <c r="L98" s="7">
        <f>IF($W98="","",SUMIFS('Per Line'!$Q$2:$Q$1501,'Per Line'!$B$2:$B$1501,$B98,'Per Line'!$AI$2:$AI$1501,1))</f>
        <v/>
      </c>
      <c r="M98">
        <f>IF($W98="","",Settings!$C$7)</f>
        <v/>
      </c>
      <c r="N98" s="7">
        <f>IF($W98="","",SUMIFS('Per Line'!$Q$2:$Q$1501,'Per Line'!$B$2:$B$1501,$B98,'Per Line'!$AH$2:$AH$1501,0,'Per Line'!$AI$2:$AI$1501,0))</f>
        <v/>
      </c>
      <c r="O98" s="7">
        <f>IF($W98="","",N98*M98)</f>
        <v/>
      </c>
      <c r="P98">
        <f>IF($W98="","",Settings!$C$6)</f>
        <v/>
      </c>
      <c r="Q98" s="7">
        <f>IF($W98="","",SUMIFS('Per Line'!$Q$2:$Q$1501,'Per Line'!$B$2:$B$1501,$B98,'Per Line'!$AH$2:$AH$1501,1,'Per Line'!$AI$2:$AI$1501,0))</f>
        <v/>
      </c>
      <c r="R98" s="7">
        <f>IF($W98="","",Q98*P98)</f>
        <v/>
      </c>
      <c r="S98" s="7">
        <f>IF($W98="","",R98+O98)</f>
        <v/>
      </c>
      <c r="T98" s="7">
        <f>IF($W98="","",U98-S98)</f>
        <v/>
      </c>
      <c r="U98" s="7">
        <f>IF($W98="","",N98+Q98+L98)</f>
        <v/>
      </c>
      <c r="V98" s="7">
        <f>IF($W98="","",U98-S98-J98)</f>
        <v/>
      </c>
      <c r="W98" s="13">
        <f>IF(ROWS($W$2:$W98)&lt;=MAX('Per Line'!$AG$2:$AG$1501),MATCH(ROWS($W$2:$W98),'Per Line'!$AG$2:$AG$1501,0),"")</f>
        <v/>
      </c>
    </row>
    <row r="99">
      <c r="A99" s="12" t="n"/>
      <c r="B99">
        <f>IF($W99="","",INDEX('Per Line'!$B$2:$B$1501,$W99)&amp;"")</f>
        <v/>
      </c>
      <c r="C99">
        <f>IF($W99="","",INDEX('Per Line'!$A$2:$A$1501,$W99))</f>
        <v/>
      </c>
      <c r="D99" s="11">
        <f>IF($W99="","",INDEX('Per Line'!$C$2:$C$1501,$W99))</f>
        <v/>
      </c>
      <c r="E99">
        <f>IF($W99="","",INDEX('Per Line'!$D$2:$D$1501,$W99)&amp;"")</f>
        <v/>
      </c>
      <c r="F99">
        <f>IF($W99="","",INDEX('Per Line'!$F$2:$F$1501,$W99)&amp;"")</f>
        <v/>
      </c>
      <c r="G99">
        <f>IF($W99="","",INDEX('Per Line'!$G$2:$G$1501,$W99)&amp;"")</f>
        <v/>
      </c>
      <c r="H99">
        <f>IF($W99="","",INDEX('Per Line'!$H$2:$H$1501,$W99)&amp;"")</f>
        <v/>
      </c>
      <c r="I99">
        <f>IF($W99="","",INDEX('Per Line'!$I$2:$I$1501,$W99))</f>
        <v/>
      </c>
      <c r="J99" s="7">
        <f>IF($W99="","",I99*U99/100)</f>
        <v/>
      </c>
      <c r="K99">
        <f>IF($W99="","",INDEX('Per Line'!$U$2:$U$1501,$W99)&amp;"")</f>
        <v/>
      </c>
      <c r="L99" s="7">
        <f>IF($W99="","",SUMIFS('Per Line'!$Q$2:$Q$1501,'Per Line'!$B$2:$B$1501,$B99,'Per Line'!$AI$2:$AI$1501,1))</f>
        <v/>
      </c>
      <c r="M99">
        <f>IF($W99="","",Settings!$C$7)</f>
        <v/>
      </c>
      <c r="N99" s="7">
        <f>IF($W99="","",SUMIFS('Per Line'!$Q$2:$Q$1501,'Per Line'!$B$2:$B$1501,$B99,'Per Line'!$AH$2:$AH$1501,0,'Per Line'!$AI$2:$AI$1501,0))</f>
        <v/>
      </c>
      <c r="O99" s="7">
        <f>IF($W99="","",N99*M99)</f>
        <v/>
      </c>
      <c r="P99">
        <f>IF($W99="","",Settings!$C$6)</f>
        <v/>
      </c>
      <c r="Q99" s="7">
        <f>IF($W99="","",SUMIFS('Per Line'!$Q$2:$Q$1501,'Per Line'!$B$2:$B$1501,$B99,'Per Line'!$AH$2:$AH$1501,1,'Per Line'!$AI$2:$AI$1501,0))</f>
        <v/>
      </c>
      <c r="R99" s="7">
        <f>IF($W99="","",Q99*P99)</f>
        <v/>
      </c>
      <c r="S99" s="7">
        <f>IF($W99="","",R99+O99)</f>
        <v/>
      </c>
      <c r="T99" s="7">
        <f>IF($W99="","",U99-S99)</f>
        <v/>
      </c>
      <c r="U99" s="7">
        <f>IF($W99="","",N99+Q99+L99)</f>
        <v/>
      </c>
      <c r="V99" s="7">
        <f>IF($W99="","",U99-S99-J99)</f>
        <v/>
      </c>
      <c r="W99" s="13">
        <f>IF(ROWS($W$2:$W99)&lt;=MAX('Per Line'!$AG$2:$AG$1501),MATCH(ROWS($W$2:$W99),'Per Line'!$AG$2:$AG$1501,0),"")</f>
        <v/>
      </c>
    </row>
    <row r="100">
      <c r="A100" s="12" t="n"/>
      <c r="B100">
        <f>IF($W100="","",INDEX('Per Line'!$B$2:$B$1501,$W100)&amp;"")</f>
        <v/>
      </c>
      <c r="C100">
        <f>IF($W100="","",INDEX('Per Line'!$A$2:$A$1501,$W100))</f>
        <v/>
      </c>
      <c r="D100" s="11">
        <f>IF($W100="","",INDEX('Per Line'!$C$2:$C$1501,$W100))</f>
        <v/>
      </c>
      <c r="E100">
        <f>IF($W100="","",INDEX('Per Line'!$D$2:$D$1501,$W100)&amp;"")</f>
        <v/>
      </c>
      <c r="F100">
        <f>IF($W100="","",INDEX('Per Line'!$F$2:$F$1501,$W100)&amp;"")</f>
        <v/>
      </c>
      <c r="G100">
        <f>IF($W100="","",INDEX('Per Line'!$G$2:$G$1501,$W100)&amp;"")</f>
        <v/>
      </c>
      <c r="H100">
        <f>IF($W100="","",INDEX('Per Line'!$H$2:$H$1501,$W100)&amp;"")</f>
        <v/>
      </c>
      <c r="I100">
        <f>IF($W100="","",INDEX('Per Line'!$I$2:$I$1501,$W100))</f>
        <v/>
      </c>
      <c r="J100" s="7">
        <f>IF($W100="","",I100*U100/100)</f>
        <v/>
      </c>
      <c r="K100">
        <f>IF($W100="","",INDEX('Per Line'!$U$2:$U$1501,$W100)&amp;"")</f>
        <v/>
      </c>
      <c r="L100" s="7">
        <f>IF($W100="","",SUMIFS('Per Line'!$Q$2:$Q$1501,'Per Line'!$B$2:$B$1501,$B100,'Per Line'!$AI$2:$AI$1501,1))</f>
        <v/>
      </c>
      <c r="M100">
        <f>IF($W100="","",Settings!$C$7)</f>
        <v/>
      </c>
      <c r="N100" s="7">
        <f>IF($W100="","",SUMIFS('Per Line'!$Q$2:$Q$1501,'Per Line'!$B$2:$B$1501,$B100,'Per Line'!$AH$2:$AH$1501,0,'Per Line'!$AI$2:$AI$1501,0))</f>
        <v/>
      </c>
      <c r="O100" s="7">
        <f>IF($W100="","",N100*M100)</f>
        <v/>
      </c>
      <c r="P100">
        <f>IF($W100="","",Settings!$C$6)</f>
        <v/>
      </c>
      <c r="Q100" s="7">
        <f>IF($W100="","",SUMIFS('Per Line'!$Q$2:$Q$1501,'Per Line'!$B$2:$B$1501,$B100,'Per Line'!$AH$2:$AH$1501,1,'Per Line'!$AI$2:$AI$1501,0))</f>
        <v/>
      </c>
      <c r="R100" s="7">
        <f>IF($W100="","",Q100*P100)</f>
        <v/>
      </c>
      <c r="S100" s="7">
        <f>IF($W100="","",R100+O100)</f>
        <v/>
      </c>
      <c r="T100" s="7">
        <f>IF($W100="","",U100-S100)</f>
        <v/>
      </c>
      <c r="U100" s="7">
        <f>IF($W100="","",N100+Q100+L100)</f>
        <v/>
      </c>
      <c r="V100" s="7">
        <f>IF($W100="","",U100-S100-J100)</f>
        <v/>
      </c>
      <c r="W100" s="13">
        <f>IF(ROWS($W$2:$W100)&lt;=MAX('Per Line'!$AG$2:$AG$1501),MATCH(ROWS($W$2:$W100),'Per Line'!$AG$2:$AG$1501,0),"")</f>
        <v/>
      </c>
    </row>
    <row r="101">
      <c r="A101" s="12" t="n"/>
      <c r="B101">
        <f>IF($W101="","",INDEX('Per Line'!$B$2:$B$1501,$W101)&amp;"")</f>
        <v/>
      </c>
      <c r="C101">
        <f>IF($W101="","",INDEX('Per Line'!$A$2:$A$1501,$W101))</f>
        <v/>
      </c>
      <c r="D101" s="11">
        <f>IF($W101="","",INDEX('Per Line'!$C$2:$C$1501,$W101))</f>
        <v/>
      </c>
      <c r="E101">
        <f>IF($W101="","",INDEX('Per Line'!$D$2:$D$1501,$W101)&amp;"")</f>
        <v/>
      </c>
      <c r="F101">
        <f>IF($W101="","",INDEX('Per Line'!$F$2:$F$1501,$W101)&amp;"")</f>
        <v/>
      </c>
      <c r="G101">
        <f>IF($W101="","",INDEX('Per Line'!$G$2:$G$1501,$W101)&amp;"")</f>
        <v/>
      </c>
      <c r="H101">
        <f>IF($W101="","",INDEX('Per Line'!$H$2:$H$1501,$W101)&amp;"")</f>
        <v/>
      </c>
      <c r="I101">
        <f>IF($W101="","",INDEX('Per Line'!$I$2:$I$1501,$W101))</f>
        <v/>
      </c>
      <c r="J101" s="7">
        <f>IF($W101="","",I101*U101/100)</f>
        <v/>
      </c>
      <c r="K101">
        <f>IF($W101="","",INDEX('Per Line'!$U$2:$U$1501,$W101)&amp;"")</f>
        <v/>
      </c>
      <c r="L101" s="7">
        <f>IF($W101="","",SUMIFS('Per Line'!$Q$2:$Q$1501,'Per Line'!$B$2:$B$1501,$B101,'Per Line'!$AI$2:$AI$1501,1))</f>
        <v/>
      </c>
      <c r="M101">
        <f>IF($W101="","",Settings!$C$7)</f>
        <v/>
      </c>
      <c r="N101" s="7">
        <f>IF($W101="","",SUMIFS('Per Line'!$Q$2:$Q$1501,'Per Line'!$B$2:$B$1501,$B101,'Per Line'!$AH$2:$AH$1501,0,'Per Line'!$AI$2:$AI$1501,0))</f>
        <v/>
      </c>
      <c r="O101" s="7">
        <f>IF($W101="","",N101*M101)</f>
        <v/>
      </c>
      <c r="P101">
        <f>IF($W101="","",Settings!$C$6)</f>
        <v/>
      </c>
      <c r="Q101" s="7">
        <f>IF($W101="","",SUMIFS('Per Line'!$Q$2:$Q$1501,'Per Line'!$B$2:$B$1501,$B101,'Per Line'!$AH$2:$AH$1501,1,'Per Line'!$AI$2:$AI$1501,0))</f>
        <v/>
      </c>
      <c r="R101" s="7">
        <f>IF($W101="","",Q101*P101)</f>
        <v/>
      </c>
      <c r="S101" s="7">
        <f>IF($W101="","",R101+O101)</f>
        <v/>
      </c>
      <c r="T101" s="7">
        <f>IF($W101="","",U101-S101)</f>
        <v/>
      </c>
      <c r="U101" s="7">
        <f>IF($W101="","",N101+Q101+L101)</f>
        <v/>
      </c>
      <c r="V101" s="7">
        <f>IF($W101="","",U101-S101-J101)</f>
        <v/>
      </c>
      <c r="W101" s="13">
        <f>IF(ROWS($W$2:$W101)&lt;=MAX('Per Line'!$AG$2:$AG$1501),MATCH(ROWS($W$2:$W101),'Per Line'!$AG$2:$AG$1501,0),"")</f>
        <v/>
      </c>
    </row>
    <row r="102">
      <c r="A102" s="12" t="n"/>
      <c r="B102">
        <f>IF($W102="","",INDEX('Per Line'!$B$2:$B$1501,$W102)&amp;"")</f>
        <v/>
      </c>
      <c r="C102">
        <f>IF($W102="","",INDEX('Per Line'!$A$2:$A$1501,$W102))</f>
        <v/>
      </c>
      <c r="D102" s="11">
        <f>IF($W102="","",INDEX('Per Line'!$C$2:$C$1501,$W102))</f>
        <v/>
      </c>
      <c r="E102">
        <f>IF($W102="","",INDEX('Per Line'!$D$2:$D$1501,$W102)&amp;"")</f>
        <v/>
      </c>
      <c r="F102">
        <f>IF($W102="","",INDEX('Per Line'!$F$2:$F$1501,$W102)&amp;"")</f>
        <v/>
      </c>
      <c r="G102">
        <f>IF($W102="","",INDEX('Per Line'!$G$2:$G$1501,$W102)&amp;"")</f>
        <v/>
      </c>
      <c r="H102">
        <f>IF($W102="","",INDEX('Per Line'!$H$2:$H$1501,$W102)&amp;"")</f>
        <v/>
      </c>
      <c r="I102">
        <f>IF($W102="","",INDEX('Per Line'!$I$2:$I$1501,$W102))</f>
        <v/>
      </c>
      <c r="J102" s="7">
        <f>IF($W102="","",I102*U102/100)</f>
        <v/>
      </c>
      <c r="K102">
        <f>IF($W102="","",INDEX('Per Line'!$U$2:$U$1501,$W102)&amp;"")</f>
        <v/>
      </c>
      <c r="L102" s="7">
        <f>IF($W102="","",SUMIFS('Per Line'!$Q$2:$Q$1501,'Per Line'!$B$2:$B$1501,$B102,'Per Line'!$AI$2:$AI$1501,1))</f>
        <v/>
      </c>
      <c r="M102">
        <f>IF($W102="","",Settings!$C$7)</f>
        <v/>
      </c>
      <c r="N102" s="7">
        <f>IF($W102="","",SUMIFS('Per Line'!$Q$2:$Q$1501,'Per Line'!$B$2:$B$1501,$B102,'Per Line'!$AH$2:$AH$1501,0,'Per Line'!$AI$2:$AI$1501,0))</f>
        <v/>
      </c>
      <c r="O102" s="7">
        <f>IF($W102="","",N102*M102)</f>
        <v/>
      </c>
      <c r="P102">
        <f>IF($W102="","",Settings!$C$6)</f>
        <v/>
      </c>
      <c r="Q102" s="7">
        <f>IF($W102="","",SUMIFS('Per Line'!$Q$2:$Q$1501,'Per Line'!$B$2:$B$1501,$B102,'Per Line'!$AH$2:$AH$1501,1,'Per Line'!$AI$2:$AI$1501,0))</f>
        <v/>
      </c>
      <c r="R102" s="7">
        <f>IF($W102="","",Q102*P102)</f>
        <v/>
      </c>
      <c r="S102" s="7">
        <f>IF($W102="","",R102+O102)</f>
        <v/>
      </c>
      <c r="T102" s="7">
        <f>IF($W102="","",U102-S102)</f>
        <v/>
      </c>
      <c r="U102" s="7">
        <f>IF($W102="","",N102+Q102+L102)</f>
        <v/>
      </c>
      <c r="V102" s="7">
        <f>IF($W102="","",U102-S102-J102)</f>
        <v/>
      </c>
      <c r="W102" s="13">
        <f>IF(ROWS($W$2:$W102)&lt;=MAX('Per Line'!$AG$2:$AG$1501),MATCH(ROWS($W$2:$W102),'Per Line'!$AG$2:$AG$1501,0),"")</f>
        <v/>
      </c>
    </row>
    <row r="103">
      <c r="A103" s="12" t="n"/>
      <c r="B103">
        <f>IF($W103="","",INDEX('Per Line'!$B$2:$B$1501,$W103)&amp;"")</f>
        <v/>
      </c>
      <c r="C103">
        <f>IF($W103="","",INDEX('Per Line'!$A$2:$A$1501,$W103))</f>
        <v/>
      </c>
      <c r="D103" s="11">
        <f>IF($W103="","",INDEX('Per Line'!$C$2:$C$1501,$W103))</f>
        <v/>
      </c>
      <c r="E103">
        <f>IF($W103="","",INDEX('Per Line'!$D$2:$D$1501,$W103)&amp;"")</f>
        <v/>
      </c>
      <c r="F103">
        <f>IF($W103="","",INDEX('Per Line'!$F$2:$F$1501,$W103)&amp;"")</f>
        <v/>
      </c>
      <c r="G103">
        <f>IF($W103="","",INDEX('Per Line'!$G$2:$G$1501,$W103)&amp;"")</f>
        <v/>
      </c>
      <c r="H103">
        <f>IF($W103="","",INDEX('Per Line'!$H$2:$H$1501,$W103)&amp;"")</f>
        <v/>
      </c>
      <c r="I103">
        <f>IF($W103="","",INDEX('Per Line'!$I$2:$I$1501,$W103))</f>
        <v/>
      </c>
      <c r="J103" s="7">
        <f>IF($W103="","",I103*U103/100)</f>
        <v/>
      </c>
      <c r="K103">
        <f>IF($W103="","",INDEX('Per Line'!$U$2:$U$1501,$W103)&amp;"")</f>
        <v/>
      </c>
      <c r="L103" s="7">
        <f>IF($W103="","",SUMIFS('Per Line'!$Q$2:$Q$1501,'Per Line'!$B$2:$B$1501,$B103,'Per Line'!$AI$2:$AI$1501,1))</f>
        <v/>
      </c>
      <c r="M103">
        <f>IF($W103="","",Settings!$C$7)</f>
        <v/>
      </c>
      <c r="N103" s="7">
        <f>IF($W103="","",SUMIFS('Per Line'!$Q$2:$Q$1501,'Per Line'!$B$2:$B$1501,$B103,'Per Line'!$AH$2:$AH$1501,0,'Per Line'!$AI$2:$AI$1501,0))</f>
        <v/>
      </c>
      <c r="O103" s="7">
        <f>IF($W103="","",N103*M103)</f>
        <v/>
      </c>
      <c r="P103">
        <f>IF($W103="","",Settings!$C$6)</f>
        <v/>
      </c>
      <c r="Q103" s="7">
        <f>IF($W103="","",SUMIFS('Per Line'!$Q$2:$Q$1501,'Per Line'!$B$2:$B$1501,$B103,'Per Line'!$AH$2:$AH$1501,1,'Per Line'!$AI$2:$AI$1501,0))</f>
        <v/>
      </c>
      <c r="R103" s="7">
        <f>IF($W103="","",Q103*P103)</f>
        <v/>
      </c>
      <c r="S103" s="7">
        <f>IF($W103="","",R103+O103)</f>
        <v/>
      </c>
      <c r="T103" s="7">
        <f>IF($W103="","",U103-S103)</f>
        <v/>
      </c>
      <c r="U103" s="7">
        <f>IF($W103="","",N103+Q103+L103)</f>
        <v/>
      </c>
      <c r="V103" s="7">
        <f>IF($W103="","",U103-S103-J103)</f>
        <v/>
      </c>
      <c r="W103" s="13">
        <f>IF(ROWS($W$2:$W103)&lt;=MAX('Per Line'!$AG$2:$AG$1501),MATCH(ROWS($W$2:$W103),'Per Line'!$AG$2:$AG$1501,0),"")</f>
        <v/>
      </c>
    </row>
    <row r="104">
      <c r="A104" s="12" t="n"/>
      <c r="B104">
        <f>IF($W104="","",INDEX('Per Line'!$B$2:$B$1501,$W104)&amp;"")</f>
        <v/>
      </c>
      <c r="C104">
        <f>IF($W104="","",INDEX('Per Line'!$A$2:$A$1501,$W104))</f>
        <v/>
      </c>
      <c r="D104" s="11">
        <f>IF($W104="","",INDEX('Per Line'!$C$2:$C$1501,$W104))</f>
        <v/>
      </c>
      <c r="E104">
        <f>IF($W104="","",INDEX('Per Line'!$D$2:$D$1501,$W104)&amp;"")</f>
        <v/>
      </c>
      <c r="F104">
        <f>IF($W104="","",INDEX('Per Line'!$F$2:$F$1501,$W104)&amp;"")</f>
        <v/>
      </c>
      <c r="G104">
        <f>IF($W104="","",INDEX('Per Line'!$G$2:$G$1501,$W104)&amp;"")</f>
        <v/>
      </c>
      <c r="H104">
        <f>IF($W104="","",INDEX('Per Line'!$H$2:$H$1501,$W104)&amp;"")</f>
        <v/>
      </c>
      <c r="I104">
        <f>IF($W104="","",INDEX('Per Line'!$I$2:$I$1501,$W104))</f>
        <v/>
      </c>
      <c r="J104" s="7">
        <f>IF($W104="","",I104*U104/100)</f>
        <v/>
      </c>
      <c r="K104">
        <f>IF($W104="","",INDEX('Per Line'!$U$2:$U$1501,$W104)&amp;"")</f>
        <v/>
      </c>
      <c r="L104" s="7">
        <f>IF($W104="","",SUMIFS('Per Line'!$Q$2:$Q$1501,'Per Line'!$B$2:$B$1501,$B104,'Per Line'!$AI$2:$AI$1501,1))</f>
        <v/>
      </c>
      <c r="M104">
        <f>IF($W104="","",Settings!$C$7)</f>
        <v/>
      </c>
      <c r="N104" s="7">
        <f>IF($W104="","",SUMIFS('Per Line'!$Q$2:$Q$1501,'Per Line'!$B$2:$B$1501,$B104,'Per Line'!$AH$2:$AH$1501,0,'Per Line'!$AI$2:$AI$1501,0))</f>
        <v/>
      </c>
      <c r="O104" s="7">
        <f>IF($W104="","",N104*M104)</f>
        <v/>
      </c>
      <c r="P104">
        <f>IF($W104="","",Settings!$C$6)</f>
        <v/>
      </c>
      <c r="Q104" s="7">
        <f>IF($W104="","",SUMIFS('Per Line'!$Q$2:$Q$1501,'Per Line'!$B$2:$B$1501,$B104,'Per Line'!$AH$2:$AH$1501,1,'Per Line'!$AI$2:$AI$1501,0))</f>
        <v/>
      </c>
      <c r="R104" s="7">
        <f>IF($W104="","",Q104*P104)</f>
        <v/>
      </c>
      <c r="S104" s="7">
        <f>IF($W104="","",R104+O104)</f>
        <v/>
      </c>
      <c r="T104" s="7">
        <f>IF($W104="","",U104-S104)</f>
        <v/>
      </c>
      <c r="U104" s="7">
        <f>IF($W104="","",N104+Q104+L104)</f>
        <v/>
      </c>
      <c r="V104" s="7">
        <f>IF($W104="","",U104-S104-J104)</f>
        <v/>
      </c>
      <c r="W104" s="13">
        <f>IF(ROWS($W$2:$W104)&lt;=MAX('Per Line'!$AG$2:$AG$1501),MATCH(ROWS($W$2:$W104),'Per Line'!$AG$2:$AG$1501,0),"")</f>
        <v/>
      </c>
    </row>
    <row r="105">
      <c r="A105" s="12" t="n"/>
      <c r="B105">
        <f>IF($W105="","",INDEX('Per Line'!$B$2:$B$1501,$W105)&amp;"")</f>
        <v/>
      </c>
      <c r="C105">
        <f>IF($W105="","",INDEX('Per Line'!$A$2:$A$1501,$W105))</f>
        <v/>
      </c>
      <c r="D105" s="11">
        <f>IF($W105="","",INDEX('Per Line'!$C$2:$C$1501,$W105))</f>
        <v/>
      </c>
      <c r="E105">
        <f>IF($W105="","",INDEX('Per Line'!$D$2:$D$1501,$W105)&amp;"")</f>
        <v/>
      </c>
      <c r="F105">
        <f>IF($W105="","",INDEX('Per Line'!$F$2:$F$1501,$W105)&amp;"")</f>
        <v/>
      </c>
      <c r="G105">
        <f>IF($W105="","",INDEX('Per Line'!$G$2:$G$1501,$W105)&amp;"")</f>
        <v/>
      </c>
      <c r="H105">
        <f>IF($W105="","",INDEX('Per Line'!$H$2:$H$1501,$W105)&amp;"")</f>
        <v/>
      </c>
      <c r="I105">
        <f>IF($W105="","",INDEX('Per Line'!$I$2:$I$1501,$W105))</f>
        <v/>
      </c>
      <c r="J105" s="7">
        <f>IF($W105="","",I105*U105/100)</f>
        <v/>
      </c>
      <c r="K105">
        <f>IF($W105="","",INDEX('Per Line'!$U$2:$U$1501,$W105)&amp;"")</f>
        <v/>
      </c>
      <c r="L105" s="7">
        <f>IF($W105="","",SUMIFS('Per Line'!$Q$2:$Q$1501,'Per Line'!$B$2:$B$1501,$B105,'Per Line'!$AI$2:$AI$1501,1))</f>
        <v/>
      </c>
      <c r="M105">
        <f>IF($W105="","",Settings!$C$7)</f>
        <v/>
      </c>
      <c r="N105" s="7">
        <f>IF($W105="","",SUMIFS('Per Line'!$Q$2:$Q$1501,'Per Line'!$B$2:$B$1501,$B105,'Per Line'!$AH$2:$AH$1501,0,'Per Line'!$AI$2:$AI$1501,0))</f>
        <v/>
      </c>
      <c r="O105" s="7">
        <f>IF($W105="","",N105*M105)</f>
        <v/>
      </c>
      <c r="P105">
        <f>IF($W105="","",Settings!$C$6)</f>
        <v/>
      </c>
      <c r="Q105" s="7">
        <f>IF($W105="","",SUMIFS('Per Line'!$Q$2:$Q$1501,'Per Line'!$B$2:$B$1501,$B105,'Per Line'!$AH$2:$AH$1501,1,'Per Line'!$AI$2:$AI$1501,0))</f>
        <v/>
      </c>
      <c r="R105" s="7">
        <f>IF($W105="","",Q105*P105)</f>
        <v/>
      </c>
      <c r="S105" s="7">
        <f>IF($W105="","",R105+O105)</f>
        <v/>
      </c>
      <c r="T105" s="7">
        <f>IF($W105="","",U105-S105)</f>
        <v/>
      </c>
      <c r="U105" s="7">
        <f>IF($W105="","",N105+Q105+L105)</f>
        <v/>
      </c>
      <c r="V105" s="7">
        <f>IF($W105="","",U105-S105-J105)</f>
        <v/>
      </c>
      <c r="W105" s="13">
        <f>IF(ROWS($W$2:$W105)&lt;=MAX('Per Line'!$AG$2:$AG$1501),MATCH(ROWS($W$2:$W105),'Per Line'!$AG$2:$AG$1501,0),"")</f>
        <v/>
      </c>
    </row>
    <row r="106">
      <c r="A106" s="12" t="n"/>
      <c r="B106">
        <f>IF($W106="","",INDEX('Per Line'!$B$2:$B$1501,$W106)&amp;"")</f>
        <v/>
      </c>
      <c r="C106">
        <f>IF($W106="","",INDEX('Per Line'!$A$2:$A$1501,$W106))</f>
        <v/>
      </c>
      <c r="D106" s="11">
        <f>IF($W106="","",INDEX('Per Line'!$C$2:$C$1501,$W106))</f>
        <v/>
      </c>
      <c r="E106">
        <f>IF($W106="","",INDEX('Per Line'!$D$2:$D$1501,$W106)&amp;"")</f>
        <v/>
      </c>
      <c r="F106">
        <f>IF($W106="","",INDEX('Per Line'!$F$2:$F$1501,$W106)&amp;"")</f>
        <v/>
      </c>
      <c r="G106">
        <f>IF($W106="","",INDEX('Per Line'!$G$2:$G$1501,$W106)&amp;"")</f>
        <v/>
      </c>
      <c r="H106">
        <f>IF($W106="","",INDEX('Per Line'!$H$2:$H$1501,$W106)&amp;"")</f>
        <v/>
      </c>
      <c r="I106">
        <f>IF($W106="","",INDEX('Per Line'!$I$2:$I$1501,$W106))</f>
        <v/>
      </c>
      <c r="J106" s="7">
        <f>IF($W106="","",I106*U106/100)</f>
        <v/>
      </c>
      <c r="K106">
        <f>IF($W106="","",INDEX('Per Line'!$U$2:$U$1501,$W106)&amp;"")</f>
        <v/>
      </c>
      <c r="L106" s="7">
        <f>IF($W106="","",SUMIFS('Per Line'!$Q$2:$Q$1501,'Per Line'!$B$2:$B$1501,$B106,'Per Line'!$AI$2:$AI$1501,1))</f>
        <v/>
      </c>
      <c r="M106">
        <f>IF($W106="","",Settings!$C$7)</f>
        <v/>
      </c>
      <c r="N106" s="7">
        <f>IF($W106="","",SUMIFS('Per Line'!$Q$2:$Q$1501,'Per Line'!$B$2:$B$1501,$B106,'Per Line'!$AH$2:$AH$1501,0,'Per Line'!$AI$2:$AI$1501,0))</f>
        <v/>
      </c>
      <c r="O106" s="7">
        <f>IF($W106="","",N106*M106)</f>
        <v/>
      </c>
      <c r="P106">
        <f>IF($W106="","",Settings!$C$6)</f>
        <v/>
      </c>
      <c r="Q106" s="7">
        <f>IF($W106="","",SUMIFS('Per Line'!$Q$2:$Q$1501,'Per Line'!$B$2:$B$1501,$B106,'Per Line'!$AH$2:$AH$1501,1,'Per Line'!$AI$2:$AI$1501,0))</f>
        <v/>
      </c>
      <c r="R106" s="7">
        <f>IF($W106="","",Q106*P106)</f>
        <v/>
      </c>
      <c r="S106" s="7">
        <f>IF($W106="","",R106+O106)</f>
        <v/>
      </c>
      <c r="T106" s="7">
        <f>IF($W106="","",U106-S106)</f>
        <v/>
      </c>
      <c r="U106" s="7">
        <f>IF($W106="","",N106+Q106+L106)</f>
        <v/>
      </c>
      <c r="V106" s="7">
        <f>IF($W106="","",U106-S106-J106)</f>
        <v/>
      </c>
      <c r="W106" s="13">
        <f>IF(ROWS($W$2:$W106)&lt;=MAX('Per Line'!$AG$2:$AG$1501),MATCH(ROWS($W$2:$W106),'Per Line'!$AG$2:$AG$1501,0),"")</f>
        <v/>
      </c>
    </row>
    <row r="107">
      <c r="A107" s="12" t="n"/>
      <c r="B107">
        <f>IF($W107="","",INDEX('Per Line'!$B$2:$B$1501,$W107)&amp;"")</f>
        <v/>
      </c>
      <c r="C107">
        <f>IF($W107="","",INDEX('Per Line'!$A$2:$A$1501,$W107))</f>
        <v/>
      </c>
      <c r="D107" s="11">
        <f>IF($W107="","",INDEX('Per Line'!$C$2:$C$1501,$W107))</f>
        <v/>
      </c>
      <c r="E107">
        <f>IF($W107="","",INDEX('Per Line'!$D$2:$D$1501,$W107)&amp;"")</f>
        <v/>
      </c>
      <c r="F107">
        <f>IF($W107="","",INDEX('Per Line'!$F$2:$F$1501,$W107)&amp;"")</f>
        <v/>
      </c>
      <c r="G107">
        <f>IF($W107="","",INDEX('Per Line'!$G$2:$G$1501,$W107)&amp;"")</f>
        <v/>
      </c>
      <c r="H107">
        <f>IF($W107="","",INDEX('Per Line'!$H$2:$H$1501,$W107)&amp;"")</f>
        <v/>
      </c>
      <c r="I107">
        <f>IF($W107="","",INDEX('Per Line'!$I$2:$I$1501,$W107))</f>
        <v/>
      </c>
      <c r="J107" s="7">
        <f>IF($W107="","",I107*U107/100)</f>
        <v/>
      </c>
      <c r="K107">
        <f>IF($W107="","",INDEX('Per Line'!$U$2:$U$1501,$W107)&amp;"")</f>
        <v/>
      </c>
      <c r="L107" s="7">
        <f>IF($W107="","",SUMIFS('Per Line'!$Q$2:$Q$1501,'Per Line'!$B$2:$B$1501,$B107,'Per Line'!$AI$2:$AI$1501,1))</f>
        <v/>
      </c>
      <c r="M107">
        <f>IF($W107="","",Settings!$C$7)</f>
        <v/>
      </c>
      <c r="N107" s="7">
        <f>IF($W107="","",SUMIFS('Per Line'!$Q$2:$Q$1501,'Per Line'!$B$2:$B$1501,$B107,'Per Line'!$AH$2:$AH$1501,0,'Per Line'!$AI$2:$AI$1501,0))</f>
        <v/>
      </c>
      <c r="O107" s="7">
        <f>IF($W107="","",N107*M107)</f>
        <v/>
      </c>
      <c r="P107">
        <f>IF($W107="","",Settings!$C$6)</f>
        <v/>
      </c>
      <c r="Q107" s="7">
        <f>IF($W107="","",SUMIFS('Per Line'!$Q$2:$Q$1501,'Per Line'!$B$2:$B$1501,$B107,'Per Line'!$AH$2:$AH$1501,1,'Per Line'!$AI$2:$AI$1501,0))</f>
        <v/>
      </c>
      <c r="R107" s="7">
        <f>IF($W107="","",Q107*P107)</f>
        <v/>
      </c>
      <c r="S107" s="7">
        <f>IF($W107="","",R107+O107)</f>
        <v/>
      </c>
      <c r="T107" s="7">
        <f>IF($W107="","",U107-S107)</f>
        <v/>
      </c>
      <c r="U107" s="7">
        <f>IF($W107="","",N107+Q107+L107)</f>
        <v/>
      </c>
      <c r="V107" s="7">
        <f>IF($W107="","",U107-S107-J107)</f>
        <v/>
      </c>
      <c r="W107" s="13">
        <f>IF(ROWS($W$2:$W107)&lt;=MAX('Per Line'!$AG$2:$AG$1501),MATCH(ROWS($W$2:$W107),'Per Line'!$AG$2:$AG$1501,0),"")</f>
        <v/>
      </c>
    </row>
    <row r="108">
      <c r="A108" s="12" t="n"/>
      <c r="B108">
        <f>IF($W108="","",INDEX('Per Line'!$B$2:$B$1501,$W108)&amp;"")</f>
        <v/>
      </c>
      <c r="C108">
        <f>IF($W108="","",INDEX('Per Line'!$A$2:$A$1501,$W108))</f>
        <v/>
      </c>
      <c r="D108" s="11">
        <f>IF($W108="","",INDEX('Per Line'!$C$2:$C$1501,$W108))</f>
        <v/>
      </c>
      <c r="E108">
        <f>IF($W108="","",INDEX('Per Line'!$D$2:$D$1501,$W108)&amp;"")</f>
        <v/>
      </c>
      <c r="F108">
        <f>IF($W108="","",INDEX('Per Line'!$F$2:$F$1501,$W108)&amp;"")</f>
        <v/>
      </c>
      <c r="G108">
        <f>IF($W108="","",INDEX('Per Line'!$G$2:$G$1501,$W108)&amp;"")</f>
        <v/>
      </c>
      <c r="H108">
        <f>IF($W108="","",INDEX('Per Line'!$H$2:$H$1501,$W108)&amp;"")</f>
        <v/>
      </c>
      <c r="I108">
        <f>IF($W108="","",INDEX('Per Line'!$I$2:$I$1501,$W108))</f>
        <v/>
      </c>
      <c r="J108" s="7">
        <f>IF($W108="","",I108*U108/100)</f>
        <v/>
      </c>
      <c r="K108">
        <f>IF($W108="","",INDEX('Per Line'!$U$2:$U$1501,$W108)&amp;"")</f>
        <v/>
      </c>
      <c r="L108" s="7">
        <f>IF($W108="","",SUMIFS('Per Line'!$Q$2:$Q$1501,'Per Line'!$B$2:$B$1501,$B108,'Per Line'!$AI$2:$AI$1501,1))</f>
        <v/>
      </c>
      <c r="M108">
        <f>IF($W108="","",Settings!$C$7)</f>
        <v/>
      </c>
      <c r="N108" s="7">
        <f>IF($W108="","",SUMIFS('Per Line'!$Q$2:$Q$1501,'Per Line'!$B$2:$B$1501,$B108,'Per Line'!$AH$2:$AH$1501,0,'Per Line'!$AI$2:$AI$1501,0))</f>
        <v/>
      </c>
      <c r="O108" s="7">
        <f>IF($W108="","",N108*M108)</f>
        <v/>
      </c>
      <c r="P108">
        <f>IF($W108="","",Settings!$C$6)</f>
        <v/>
      </c>
      <c r="Q108" s="7">
        <f>IF($W108="","",SUMIFS('Per Line'!$Q$2:$Q$1501,'Per Line'!$B$2:$B$1501,$B108,'Per Line'!$AH$2:$AH$1501,1,'Per Line'!$AI$2:$AI$1501,0))</f>
        <v/>
      </c>
      <c r="R108" s="7">
        <f>IF($W108="","",Q108*P108)</f>
        <v/>
      </c>
      <c r="S108" s="7">
        <f>IF($W108="","",R108+O108)</f>
        <v/>
      </c>
      <c r="T108" s="7">
        <f>IF($W108="","",U108-S108)</f>
        <v/>
      </c>
      <c r="U108" s="7">
        <f>IF($W108="","",N108+Q108+L108)</f>
        <v/>
      </c>
      <c r="V108" s="7">
        <f>IF($W108="","",U108-S108-J108)</f>
        <v/>
      </c>
      <c r="W108" s="13">
        <f>IF(ROWS($W$2:$W108)&lt;=MAX('Per Line'!$AG$2:$AG$1501),MATCH(ROWS($W$2:$W108),'Per Line'!$AG$2:$AG$1501,0),"")</f>
        <v/>
      </c>
    </row>
    <row r="109">
      <c r="A109" s="12" t="n"/>
      <c r="B109">
        <f>IF($W109="","",INDEX('Per Line'!$B$2:$B$1501,$W109)&amp;"")</f>
        <v/>
      </c>
      <c r="C109">
        <f>IF($W109="","",INDEX('Per Line'!$A$2:$A$1501,$W109))</f>
        <v/>
      </c>
      <c r="D109" s="11">
        <f>IF($W109="","",INDEX('Per Line'!$C$2:$C$1501,$W109))</f>
        <v/>
      </c>
      <c r="E109">
        <f>IF($W109="","",INDEX('Per Line'!$D$2:$D$1501,$W109)&amp;"")</f>
        <v/>
      </c>
      <c r="F109">
        <f>IF($W109="","",INDEX('Per Line'!$F$2:$F$1501,$W109)&amp;"")</f>
        <v/>
      </c>
      <c r="G109">
        <f>IF($W109="","",INDEX('Per Line'!$G$2:$G$1501,$W109)&amp;"")</f>
        <v/>
      </c>
      <c r="H109">
        <f>IF($W109="","",INDEX('Per Line'!$H$2:$H$1501,$W109)&amp;"")</f>
        <v/>
      </c>
      <c r="I109">
        <f>IF($W109="","",INDEX('Per Line'!$I$2:$I$1501,$W109))</f>
        <v/>
      </c>
      <c r="J109" s="7">
        <f>IF($W109="","",I109*U109/100)</f>
        <v/>
      </c>
      <c r="K109">
        <f>IF($W109="","",INDEX('Per Line'!$U$2:$U$1501,$W109)&amp;"")</f>
        <v/>
      </c>
      <c r="L109" s="7">
        <f>IF($W109="","",SUMIFS('Per Line'!$Q$2:$Q$1501,'Per Line'!$B$2:$B$1501,$B109,'Per Line'!$AI$2:$AI$1501,1))</f>
        <v/>
      </c>
      <c r="M109">
        <f>IF($W109="","",Settings!$C$7)</f>
        <v/>
      </c>
      <c r="N109" s="7">
        <f>IF($W109="","",SUMIFS('Per Line'!$Q$2:$Q$1501,'Per Line'!$B$2:$B$1501,$B109,'Per Line'!$AH$2:$AH$1501,0,'Per Line'!$AI$2:$AI$1501,0))</f>
        <v/>
      </c>
      <c r="O109" s="7">
        <f>IF($W109="","",N109*M109)</f>
        <v/>
      </c>
      <c r="P109">
        <f>IF($W109="","",Settings!$C$6)</f>
        <v/>
      </c>
      <c r="Q109" s="7">
        <f>IF($W109="","",SUMIFS('Per Line'!$Q$2:$Q$1501,'Per Line'!$B$2:$B$1501,$B109,'Per Line'!$AH$2:$AH$1501,1,'Per Line'!$AI$2:$AI$1501,0))</f>
        <v/>
      </c>
      <c r="R109" s="7">
        <f>IF($W109="","",Q109*P109)</f>
        <v/>
      </c>
      <c r="S109" s="7">
        <f>IF($W109="","",R109+O109)</f>
        <v/>
      </c>
      <c r="T109" s="7">
        <f>IF($W109="","",U109-S109)</f>
        <v/>
      </c>
      <c r="U109" s="7">
        <f>IF($W109="","",N109+Q109+L109)</f>
        <v/>
      </c>
      <c r="V109" s="7">
        <f>IF($W109="","",U109-S109-J109)</f>
        <v/>
      </c>
      <c r="W109" s="13">
        <f>IF(ROWS($W$2:$W109)&lt;=MAX('Per Line'!$AG$2:$AG$1501),MATCH(ROWS($W$2:$W109),'Per Line'!$AG$2:$AG$1501,0),"")</f>
        <v/>
      </c>
    </row>
    <row r="110">
      <c r="A110" s="12" t="n"/>
      <c r="B110">
        <f>IF($W110="","",INDEX('Per Line'!$B$2:$B$1501,$W110)&amp;"")</f>
        <v/>
      </c>
      <c r="C110">
        <f>IF($W110="","",INDEX('Per Line'!$A$2:$A$1501,$W110))</f>
        <v/>
      </c>
      <c r="D110" s="11">
        <f>IF($W110="","",INDEX('Per Line'!$C$2:$C$1501,$W110))</f>
        <v/>
      </c>
      <c r="E110">
        <f>IF($W110="","",INDEX('Per Line'!$D$2:$D$1501,$W110)&amp;"")</f>
        <v/>
      </c>
      <c r="F110">
        <f>IF($W110="","",INDEX('Per Line'!$F$2:$F$1501,$W110)&amp;"")</f>
        <v/>
      </c>
      <c r="G110">
        <f>IF($W110="","",INDEX('Per Line'!$G$2:$G$1501,$W110)&amp;"")</f>
        <v/>
      </c>
      <c r="H110">
        <f>IF($W110="","",INDEX('Per Line'!$H$2:$H$1501,$W110)&amp;"")</f>
        <v/>
      </c>
      <c r="I110">
        <f>IF($W110="","",INDEX('Per Line'!$I$2:$I$1501,$W110))</f>
        <v/>
      </c>
      <c r="J110" s="7">
        <f>IF($W110="","",I110*U110/100)</f>
        <v/>
      </c>
      <c r="K110">
        <f>IF($W110="","",INDEX('Per Line'!$U$2:$U$1501,$W110)&amp;"")</f>
        <v/>
      </c>
      <c r="L110" s="7">
        <f>IF($W110="","",SUMIFS('Per Line'!$Q$2:$Q$1501,'Per Line'!$B$2:$B$1501,$B110,'Per Line'!$AI$2:$AI$1501,1))</f>
        <v/>
      </c>
      <c r="M110">
        <f>IF($W110="","",Settings!$C$7)</f>
        <v/>
      </c>
      <c r="N110" s="7">
        <f>IF($W110="","",SUMIFS('Per Line'!$Q$2:$Q$1501,'Per Line'!$B$2:$B$1501,$B110,'Per Line'!$AH$2:$AH$1501,0,'Per Line'!$AI$2:$AI$1501,0))</f>
        <v/>
      </c>
      <c r="O110" s="7">
        <f>IF($W110="","",N110*M110)</f>
        <v/>
      </c>
      <c r="P110">
        <f>IF($W110="","",Settings!$C$6)</f>
        <v/>
      </c>
      <c r="Q110" s="7">
        <f>IF($W110="","",SUMIFS('Per Line'!$Q$2:$Q$1501,'Per Line'!$B$2:$B$1501,$B110,'Per Line'!$AH$2:$AH$1501,1,'Per Line'!$AI$2:$AI$1501,0))</f>
        <v/>
      </c>
      <c r="R110" s="7">
        <f>IF($W110="","",Q110*P110)</f>
        <v/>
      </c>
      <c r="S110" s="7">
        <f>IF($W110="","",R110+O110)</f>
        <v/>
      </c>
      <c r="T110" s="7">
        <f>IF($W110="","",U110-S110)</f>
        <v/>
      </c>
      <c r="U110" s="7">
        <f>IF($W110="","",N110+Q110+L110)</f>
        <v/>
      </c>
      <c r="V110" s="7">
        <f>IF($W110="","",U110-S110-J110)</f>
        <v/>
      </c>
      <c r="W110" s="13">
        <f>IF(ROWS($W$2:$W110)&lt;=MAX('Per Line'!$AG$2:$AG$1501),MATCH(ROWS($W$2:$W110),'Per Line'!$AG$2:$AG$1501,0),"")</f>
        <v/>
      </c>
    </row>
    <row r="111">
      <c r="A111" s="12" t="n"/>
      <c r="B111">
        <f>IF($W111="","",INDEX('Per Line'!$B$2:$B$1501,$W111)&amp;"")</f>
        <v/>
      </c>
      <c r="C111">
        <f>IF($W111="","",INDEX('Per Line'!$A$2:$A$1501,$W111))</f>
        <v/>
      </c>
      <c r="D111" s="11">
        <f>IF($W111="","",INDEX('Per Line'!$C$2:$C$1501,$W111))</f>
        <v/>
      </c>
      <c r="E111">
        <f>IF($W111="","",INDEX('Per Line'!$D$2:$D$1501,$W111)&amp;"")</f>
        <v/>
      </c>
      <c r="F111">
        <f>IF($W111="","",INDEX('Per Line'!$F$2:$F$1501,$W111)&amp;"")</f>
        <v/>
      </c>
      <c r="G111">
        <f>IF($W111="","",INDEX('Per Line'!$G$2:$G$1501,$W111)&amp;"")</f>
        <v/>
      </c>
      <c r="H111">
        <f>IF($W111="","",INDEX('Per Line'!$H$2:$H$1501,$W111)&amp;"")</f>
        <v/>
      </c>
      <c r="I111">
        <f>IF($W111="","",INDEX('Per Line'!$I$2:$I$1501,$W111))</f>
        <v/>
      </c>
      <c r="J111" s="7">
        <f>IF($W111="","",I111*U111/100)</f>
        <v/>
      </c>
      <c r="K111">
        <f>IF($W111="","",INDEX('Per Line'!$U$2:$U$1501,$W111)&amp;"")</f>
        <v/>
      </c>
      <c r="L111" s="7">
        <f>IF($W111="","",SUMIFS('Per Line'!$Q$2:$Q$1501,'Per Line'!$B$2:$B$1501,$B111,'Per Line'!$AI$2:$AI$1501,1))</f>
        <v/>
      </c>
      <c r="M111">
        <f>IF($W111="","",Settings!$C$7)</f>
        <v/>
      </c>
      <c r="N111" s="7">
        <f>IF($W111="","",SUMIFS('Per Line'!$Q$2:$Q$1501,'Per Line'!$B$2:$B$1501,$B111,'Per Line'!$AH$2:$AH$1501,0,'Per Line'!$AI$2:$AI$1501,0))</f>
        <v/>
      </c>
      <c r="O111" s="7">
        <f>IF($W111="","",N111*M111)</f>
        <v/>
      </c>
      <c r="P111">
        <f>IF($W111="","",Settings!$C$6)</f>
        <v/>
      </c>
      <c r="Q111" s="7">
        <f>IF($W111="","",SUMIFS('Per Line'!$Q$2:$Q$1501,'Per Line'!$B$2:$B$1501,$B111,'Per Line'!$AH$2:$AH$1501,1,'Per Line'!$AI$2:$AI$1501,0))</f>
        <v/>
      </c>
      <c r="R111" s="7">
        <f>IF($W111="","",Q111*P111)</f>
        <v/>
      </c>
      <c r="S111" s="7">
        <f>IF($W111="","",R111+O111)</f>
        <v/>
      </c>
      <c r="T111" s="7">
        <f>IF($W111="","",U111-S111)</f>
        <v/>
      </c>
      <c r="U111" s="7">
        <f>IF($W111="","",N111+Q111+L111)</f>
        <v/>
      </c>
      <c r="V111" s="7">
        <f>IF($W111="","",U111-S111-J111)</f>
        <v/>
      </c>
      <c r="W111" s="13">
        <f>IF(ROWS($W$2:$W111)&lt;=MAX('Per Line'!$AG$2:$AG$1501),MATCH(ROWS($W$2:$W111),'Per Line'!$AG$2:$AG$1501,0),"")</f>
        <v/>
      </c>
    </row>
    <row r="112">
      <c r="A112" s="12" t="n"/>
      <c r="B112">
        <f>IF($W112="","",INDEX('Per Line'!$B$2:$B$1501,$W112)&amp;"")</f>
        <v/>
      </c>
      <c r="C112">
        <f>IF($W112="","",INDEX('Per Line'!$A$2:$A$1501,$W112))</f>
        <v/>
      </c>
      <c r="D112" s="11">
        <f>IF($W112="","",INDEX('Per Line'!$C$2:$C$1501,$W112))</f>
        <v/>
      </c>
      <c r="E112">
        <f>IF($W112="","",INDEX('Per Line'!$D$2:$D$1501,$W112)&amp;"")</f>
        <v/>
      </c>
      <c r="F112">
        <f>IF($W112="","",INDEX('Per Line'!$F$2:$F$1501,$W112)&amp;"")</f>
        <v/>
      </c>
      <c r="G112">
        <f>IF($W112="","",INDEX('Per Line'!$G$2:$G$1501,$W112)&amp;"")</f>
        <v/>
      </c>
      <c r="H112">
        <f>IF($W112="","",INDEX('Per Line'!$H$2:$H$1501,$W112)&amp;"")</f>
        <v/>
      </c>
      <c r="I112">
        <f>IF($W112="","",INDEX('Per Line'!$I$2:$I$1501,$W112))</f>
        <v/>
      </c>
      <c r="J112" s="7">
        <f>IF($W112="","",I112*U112/100)</f>
        <v/>
      </c>
      <c r="K112">
        <f>IF($W112="","",INDEX('Per Line'!$U$2:$U$1501,$W112)&amp;"")</f>
        <v/>
      </c>
      <c r="L112" s="7">
        <f>IF($W112="","",SUMIFS('Per Line'!$Q$2:$Q$1501,'Per Line'!$B$2:$B$1501,$B112,'Per Line'!$AI$2:$AI$1501,1))</f>
        <v/>
      </c>
      <c r="M112">
        <f>IF($W112="","",Settings!$C$7)</f>
        <v/>
      </c>
      <c r="N112" s="7">
        <f>IF($W112="","",SUMIFS('Per Line'!$Q$2:$Q$1501,'Per Line'!$B$2:$B$1501,$B112,'Per Line'!$AH$2:$AH$1501,0,'Per Line'!$AI$2:$AI$1501,0))</f>
        <v/>
      </c>
      <c r="O112" s="7">
        <f>IF($W112="","",N112*M112)</f>
        <v/>
      </c>
      <c r="P112">
        <f>IF($W112="","",Settings!$C$6)</f>
        <v/>
      </c>
      <c r="Q112" s="7">
        <f>IF($W112="","",SUMIFS('Per Line'!$Q$2:$Q$1501,'Per Line'!$B$2:$B$1501,$B112,'Per Line'!$AH$2:$AH$1501,1,'Per Line'!$AI$2:$AI$1501,0))</f>
        <v/>
      </c>
      <c r="R112" s="7">
        <f>IF($W112="","",Q112*P112)</f>
        <v/>
      </c>
      <c r="S112" s="7">
        <f>IF($W112="","",R112+O112)</f>
        <v/>
      </c>
      <c r="T112" s="7">
        <f>IF($W112="","",U112-S112)</f>
        <v/>
      </c>
      <c r="U112" s="7">
        <f>IF($W112="","",N112+Q112+L112)</f>
        <v/>
      </c>
      <c r="V112" s="7">
        <f>IF($W112="","",U112-S112-J112)</f>
        <v/>
      </c>
      <c r="W112" s="13">
        <f>IF(ROWS($W$2:$W112)&lt;=MAX('Per Line'!$AG$2:$AG$1501),MATCH(ROWS($W$2:$W112),'Per Line'!$AG$2:$AG$1501,0),"")</f>
        <v/>
      </c>
    </row>
    <row r="113">
      <c r="A113" s="12" t="n"/>
      <c r="B113">
        <f>IF($W113="","",INDEX('Per Line'!$B$2:$B$1501,$W113)&amp;"")</f>
        <v/>
      </c>
      <c r="C113">
        <f>IF($W113="","",INDEX('Per Line'!$A$2:$A$1501,$W113))</f>
        <v/>
      </c>
      <c r="D113" s="11">
        <f>IF($W113="","",INDEX('Per Line'!$C$2:$C$1501,$W113))</f>
        <v/>
      </c>
      <c r="E113">
        <f>IF($W113="","",INDEX('Per Line'!$D$2:$D$1501,$W113)&amp;"")</f>
        <v/>
      </c>
      <c r="F113">
        <f>IF($W113="","",INDEX('Per Line'!$F$2:$F$1501,$W113)&amp;"")</f>
        <v/>
      </c>
      <c r="G113">
        <f>IF($W113="","",INDEX('Per Line'!$G$2:$G$1501,$W113)&amp;"")</f>
        <v/>
      </c>
      <c r="H113">
        <f>IF($W113="","",INDEX('Per Line'!$H$2:$H$1501,$W113)&amp;"")</f>
        <v/>
      </c>
      <c r="I113">
        <f>IF($W113="","",INDEX('Per Line'!$I$2:$I$1501,$W113))</f>
        <v/>
      </c>
      <c r="J113" s="7">
        <f>IF($W113="","",I113*U113/100)</f>
        <v/>
      </c>
      <c r="K113">
        <f>IF($W113="","",INDEX('Per Line'!$U$2:$U$1501,$W113)&amp;"")</f>
        <v/>
      </c>
      <c r="L113" s="7">
        <f>IF($W113="","",SUMIFS('Per Line'!$Q$2:$Q$1501,'Per Line'!$B$2:$B$1501,$B113,'Per Line'!$AI$2:$AI$1501,1))</f>
        <v/>
      </c>
      <c r="M113">
        <f>IF($W113="","",Settings!$C$7)</f>
        <v/>
      </c>
      <c r="N113" s="7">
        <f>IF($W113="","",SUMIFS('Per Line'!$Q$2:$Q$1501,'Per Line'!$B$2:$B$1501,$B113,'Per Line'!$AH$2:$AH$1501,0,'Per Line'!$AI$2:$AI$1501,0))</f>
        <v/>
      </c>
      <c r="O113" s="7">
        <f>IF($W113="","",N113*M113)</f>
        <v/>
      </c>
      <c r="P113">
        <f>IF($W113="","",Settings!$C$6)</f>
        <v/>
      </c>
      <c r="Q113" s="7">
        <f>IF($W113="","",SUMIFS('Per Line'!$Q$2:$Q$1501,'Per Line'!$B$2:$B$1501,$B113,'Per Line'!$AH$2:$AH$1501,1,'Per Line'!$AI$2:$AI$1501,0))</f>
        <v/>
      </c>
      <c r="R113" s="7">
        <f>IF($W113="","",Q113*P113)</f>
        <v/>
      </c>
      <c r="S113" s="7">
        <f>IF($W113="","",R113+O113)</f>
        <v/>
      </c>
      <c r="T113" s="7">
        <f>IF($W113="","",U113-S113)</f>
        <v/>
      </c>
      <c r="U113" s="7">
        <f>IF($W113="","",N113+Q113+L113)</f>
        <v/>
      </c>
      <c r="V113" s="7">
        <f>IF($W113="","",U113-S113-J113)</f>
        <v/>
      </c>
      <c r="W113" s="13">
        <f>IF(ROWS($W$2:$W113)&lt;=MAX('Per Line'!$AG$2:$AG$1501),MATCH(ROWS($W$2:$W113),'Per Line'!$AG$2:$AG$1501,0),"")</f>
        <v/>
      </c>
    </row>
    <row r="114">
      <c r="A114" s="12" t="n"/>
      <c r="B114">
        <f>IF($W114="","",INDEX('Per Line'!$B$2:$B$1501,$W114)&amp;"")</f>
        <v/>
      </c>
      <c r="C114">
        <f>IF($W114="","",INDEX('Per Line'!$A$2:$A$1501,$W114))</f>
        <v/>
      </c>
      <c r="D114" s="11">
        <f>IF($W114="","",INDEX('Per Line'!$C$2:$C$1501,$W114))</f>
        <v/>
      </c>
      <c r="E114">
        <f>IF($W114="","",INDEX('Per Line'!$D$2:$D$1501,$W114)&amp;"")</f>
        <v/>
      </c>
      <c r="F114">
        <f>IF($W114="","",INDEX('Per Line'!$F$2:$F$1501,$W114)&amp;"")</f>
        <v/>
      </c>
      <c r="G114">
        <f>IF($W114="","",INDEX('Per Line'!$G$2:$G$1501,$W114)&amp;"")</f>
        <v/>
      </c>
      <c r="H114">
        <f>IF($W114="","",INDEX('Per Line'!$H$2:$H$1501,$W114)&amp;"")</f>
        <v/>
      </c>
      <c r="I114">
        <f>IF($W114="","",INDEX('Per Line'!$I$2:$I$1501,$W114))</f>
        <v/>
      </c>
      <c r="J114" s="7">
        <f>IF($W114="","",I114*U114/100)</f>
        <v/>
      </c>
      <c r="K114">
        <f>IF($W114="","",INDEX('Per Line'!$U$2:$U$1501,$W114)&amp;"")</f>
        <v/>
      </c>
      <c r="L114" s="7">
        <f>IF($W114="","",SUMIFS('Per Line'!$Q$2:$Q$1501,'Per Line'!$B$2:$B$1501,$B114,'Per Line'!$AI$2:$AI$1501,1))</f>
        <v/>
      </c>
      <c r="M114">
        <f>IF($W114="","",Settings!$C$7)</f>
        <v/>
      </c>
      <c r="N114" s="7">
        <f>IF($W114="","",SUMIFS('Per Line'!$Q$2:$Q$1501,'Per Line'!$B$2:$B$1501,$B114,'Per Line'!$AH$2:$AH$1501,0,'Per Line'!$AI$2:$AI$1501,0))</f>
        <v/>
      </c>
      <c r="O114" s="7">
        <f>IF($W114="","",N114*M114)</f>
        <v/>
      </c>
      <c r="P114">
        <f>IF($W114="","",Settings!$C$6)</f>
        <v/>
      </c>
      <c r="Q114" s="7">
        <f>IF($W114="","",SUMIFS('Per Line'!$Q$2:$Q$1501,'Per Line'!$B$2:$B$1501,$B114,'Per Line'!$AH$2:$AH$1501,1,'Per Line'!$AI$2:$AI$1501,0))</f>
        <v/>
      </c>
      <c r="R114" s="7">
        <f>IF($W114="","",Q114*P114)</f>
        <v/>
      </c>
      <c r="S114" s="7">
        <f>IF($W114="","",R114+O114)</f>
        <v/>
      </c>
      <c r="T114" s="7">
        <f>IF($W114="","",U114-S114)</f>
        <v/>
      </c>
      <c r="U114" s="7">
        <f>IF($W114="","",N114+Q114+L114)</f>
        <v/>
      </c>
      <c r="V114" s="7">
        <f>IF($W114="","",U114-S114-J114)</f>
        <v/>
      </c>
      <c r="W114" s="13">
        <f>IF(ROWS($W$2:$W114)&lt;=MAX('Per Line'!$AG$2:$AG$1501),MATCH(ROWS($W$2:$W114),'Per Line'!$AG$2:$AG$1501,0),"")</f>
        <v/>
      </c>
    </row>
    <row r="115">
      <c r="A115" s="12" t="n"/>
      <c r="B115">
        <f>IF($W115="","",INDEX('Per Line'!$B$2:$B$1501,$W115)&amp;"")</f>
        <v/>
      </c>
      <c r="C115">
        <f>IF($W115="","",INDEX('Per Line'!$A$2:$A$1501,$W115))</f>
        <v/>
      </c>
      <c r="D115" s="11">
        <f>IF($W115="","",INDEX('Per Line'!$C$2:$C$1501,$W115))</f>
        <v/>
      </c>
      <c r="E115">
        <f>IF($W115="","",INDEX('Per Line'!$D$2:$D$1501,$W115)&amp;"")</f>
        <v/>
      </c>
      <c r="F115">
        <f>IF($W115="","",INDEX('Per Line'!$F$2:$F$1501,$W115)&amp;"")</f>
        <v/>
      </c>
      <c r="G115">
        <f>IF($W115="","",INDEX('Per Line'!$G$2:$G$1501,$W115)&amp;"")</f>
        <v/>
      </c>
      <c r="H115">
        <f>IF($W115="","",INDEX('Per Line'!$H$2:$H$1501,$W115)&amp;"")</f>
        <v/>
      </c>
      <c r="I115">
        <f>IF($W115="","",INDEX('Per Line'!$I$2:$I$1501,$W115))</f>
        <v/>
      </c>
      <c r="J115" s="7">
        <f>IF($W115="","",I115*U115/100)</f>
        <v/>
      </c>
      <c r="K115">
        <f>IF($W115="","",INDEX('Per Line'!$U$2:$U$1501,$W115)&amp;"")</f>
        <v/>
      </c>
      <c r="L115" s="7">
        <f>IF($W115="","",SUMIFS('Per Line'!$Q$2:$Q$1501,'Per Line'!$B$2:$B$1501,$B115,'Per Line'!$AI$2:$AI$1501,1))</f>
        <v/>
      </c>
      <c r="M115">
        <f>IF($W115="","",Settings!$C$7)</f>
        <v/>
      </c>
      <c r="N115" s="7">
        <f>IF($W115="","",SUMIFS('Per Line'!$Q$2:$Q$1501,'Per Line'!$B$2:$B$1501,$B115,'Per Line'!$AH$2:$AH$1501,0,'Per Line'!$AI$2:$AI$1501,0))</f>
        <v/>
      </c>
      <c r="O115" s="7">
        <f>IF($W115="","",N115*M115)</f>
        <v/>
      </c>
      <c r="P115">
        <f>IF($W115="","",Settings!$C$6)</f>
        <v/>
      </c>
      <c r="Q115" s="7">
        <f>IF($W115="","",SUMIFS('Per Line'!$Q$2:$Q$1501,'Per Line'!$B$2:$B$1501,$B115,'Per Line'!$AH$2:$AH$1501,1,'Per Line'!$AI$2:$AI$1501,0))</f>
        <v/>
      </c>
      <c r="R115" s="7">
        <f>IF($W115="","",Q115*P115)</f>
        <v/>
      </c>
      <c r="S115" s="7">
        <f>IF($W115="","",R115+O115)</f>
        <v/>
      </c>
      <c r="T115" s="7">
        <f>IF($W115="","",U115-S115)</f>
        <v/>
      </c>
      <c r="U115" s="7">
        <f>IF($W115="","",N115+Q115+L115)</f>
        <v/>
      </c>
      <c r="V115" s="7">
        <f>IF($W115="","",U115-S115-J115)</f>
        <v/>
      </c>
      <c r="W115" s="13">
        <f>IF(ROWS($W$2:$W115)&lt;=MAX('Per Line'!$AG$2:$AG$1501),MATCH(ROWS($W$2:$W115),'Per Line'!$AG$2:$AG$1501,0),"")</f>
        <v/>
      </c>
    </row>
    <row r="116">
      <c r="A116" s="12" t="n"/>
      <c r="B116">
        <f>IF($W116="","",INDEX('Per Line'!$B$2:$B$1501,$W116)&amp;"")</f>
        <v/>
      </c>
      <c r="C116">
        <f>IF($W116="","",INDEX('Per Line'!$A$2:$A$1501,$W116))</f>
        <v/>
      </c>
      <c r="D116" s="11">
        <f>IF($W116="","",INDEX('Per Line'!$C$2:$C$1501,$W116))</f>
        <v/>
      </c>
      <c r="E116">
        <f>IF($W116="","",INDEX('Per Line'!$D$2:$D$1501,$W116)&amp;"")</f>
        <v/>
      </c>
      <c r="F116">
        <f>IF($W116="","",INDEX('Per Line'!$F$2:$F$1501,$W116)&amp;"")</f>
        <v/>
      </c>
      <c r="G116">
        <f>IF($W116="","",INDEX('Per Line'!$G$2:$G$1501,$W116)&amp;"")</f>
        <v/>
      </c>
      <c r="H116">
        <f>IF($W116="","",INDEX('Per Line'!$H$2:$H$1501,$W116)&amp;"")</f>
        <v/>
      </c>
      <c r="I116">
        <f>IF($W116="","",INDEX('Per Line'!$I$2:$I$1501,$W116))</f>
        <v/>
      </c>
      <c r="J116" s="7">
        <f>IF($W116="","",I116*U116/100)</f>
        <v/>
      </c>
      <c r="K116">
        <f>IF($W116="","",INDEX('Per Line'!$U$2:$U$1501,$W116)&amp;"")</f>
        <v/>
      </c>
      <c r="L116" s="7">
        <f>IF($W116="","",SUMIFS('Per Line'!$Q$2:$Q$1501,'Per Line'!$B$2:$B$1501,$B116,'Per Line'!$AI$2:$AI$1501,1))</f>
        <v/>
      </c>
      <c r="M116">
        <f>IF($W116="","",Settings!$C$7)</f>
        <v/>
      </c>
      <c r="N116" s="7">
        <f>IF($W116="","",SUMIFS('Per Line'!$Q$2:$Q$1501,'Per Line'!$B$2:$B$1501,$B116,'Per Line'!$AH$2:$AH$1501,0,'Per Line'!$AI$2:$AI$1501,0))</f>
        <v/>
      </c>
      <c r="O116" s="7">
        <f>IF($W116="","",N116*M116)</f>
        <v/>
      </c>
      <c r="P116">
        <f>IF($W116="","",Settings!$C$6)</f>
        <v/>
      </c>
      <c r="Q116" s="7">
        <f>IF($W116="","",SUMIFS('Per Line'!$Q$2:$Q$1501,'Per Line'!$B$2:$B$1501,$B116,'Per Line'!$AH$2:$AH$1501,1,'Per Line'!$AI$2:$AI$1501,0))</f>
        <v/>
      </c>
      <c r="R116" s="7">
        <f>IF($W116="","",Q116*P116)</f>
        <v/>
      </c>
      <c r="S116" s="7">
        <f>IF($W116="","",R116+O116)</f>
        <v/>
      </c>
      <c r="T116" s="7">
        <f>IF($W116="","",U116-S116)</f>
        <v/>
      </c>
      <c r="U116" s="7">
        <f>IF($W116="","",N116+Q116+L116)</f>
        <v/>
      </c>
      <c r="V116" s="7">
        <f>IF($W116="","",U116-S116-J116)</f>
        <v/>
      </c>
      <c r="W116" s="13">
        <f>IF(ROWS($W$2:$W116)&lt;=MAX('Per Line'!$AG$2:$AG$1501),MATCH(ROWS($W$2:$W116),'Per Line'!$AG$2:$AG$1501,0),"")</f>
        <v/>
      </c>
    </row>
    <row r="117">
      <c r="A117" s="12" t="n"/>
      <c r="B117">
        <f>IF($W117="","",INDEX('Per Line'!$B$2:$B$1501,$W117)&amp;"")</f>
        <v/>
      </c>
      <c r="C117">
        <f>IF($W117="","",INDEX('Per Line'!$A$2:$A$1501,$W117))</f>
        <v/>
      </c>
      <c r="D117" s="11">
        <f>IF($W117="","",INDEX('Per Line'!$C$2:$C$1501,$W117))</f>
        <v/>
      </c>
      <c r="E117">
        <f>IF($W117="","",INDEX('Per Line'!$D$2:$D$1501,$W117)&amp;"")</f>
        <v/>
      </c>
      <c r="F117">
        <f>IF($W117="","",INDEX('Per Line'!$F$2:$F$1501,$W117)&amp;"")</f>
        <v/>
      </c>
      <c r="G117">
        <f>IF($W117="","",INDEX('Per Line'!$G$2:$G$1501,$W117)&amp;"")</f>
        <v/>
      </c>
      <c r="H117">
        <f>IF($W117="","",INDEX('Per Line'!$H$2:$H$1501,$W117)&amp;"")</f>
        <v/>
      </c>
      <c r="I117">
        <f>IF($W117="","",INDEX('Per Line'!$I$2:$I$1501,$W117))</f>
        <v/>
      </c>
      <c r="J117" s="7">
        <f>IF($W117="","",I117*U117/100)</f>
        <v/>
      </c>
      <c r="K117">
        <f>IF($W117="","",INDEX('Per Line'!$U$2:$U$1501,$W117)&amp;"")</f>
        <v/>
      </c>
      <c r="L117" s="7">
        <f>IF($W117="","",SUMIFS('Per Line'!$Q$2:$Q$1501,'Per Line'!$B$2:$B$1501,$B117,'Per Line'!$AI$2:$AI$1501,1))</f>
        <v/>
      </c>
      <c r="M117">
        <f>IF($W117="","",Settings!$C$7)</f>
        <v/>
      </c>
      <c r="N117" s="7">
        <f>IF($W117="","",SUMIFS('Per Line'!$Q$2:$Q$1501,'Per Line'!$B$2:$B$1501,$B117,'Per Line'!$AH$2:$AH$1501,0,'Per Line'!$AI$2:$AI$1501,0))</f>
        <v/>
      </c>
      <c r="O117" s="7">
        <f>IF($W117="","",N117*M117)</f>
        <v/>
      </c>
      <c r="P117">
        <f>IF($W117="","",Settings!$C$6)</f>
        <v/>
      </c>
      <c r="Q117" s="7">
        <f>IF($W117="","",SUMIFS('Per Line'!$Q$2:$Q$1501,'Per Line'!$B$2:$B$1501,$B117,'Per Line'!$AH$2:$AH$1501,1,'Per Line'!$AI$2:$AI$1501,0))</f>
        <v/>
      </c>
      <c r="R117" s="7">
        <f>IF($W117="","",Q117*P117)</f>
        <v/>
      </c>
      <c r="S117" s="7">
        <f>IF($W117="","",R117+O117)</f>
        <v/>
      </c>
      <c r="T117" s="7">
        <f>IF($W117="","",U117-S117)</f>
        <v/>
      </c>
      <c r="U117" s="7">
        <f>IF($W117="","",N117+Q117+L117)</f>
        <v/>
      </c>
      <c r="V117" s="7">
        <f>IF($W117="","",U117-S117-J117)</f>
        <v/>
      </c>
      <c r="W117" s="13">
        <f>IF(ROWS($W$2:$W117)&lt;=MAX('Per Line'!$AG$2:$AG$1501),MATCH(ROWS($W$2:$W117),'Per Line'!$AG$2:$AG$1501,0),"")</f>
        <v/>
      </c>
    </row>
    <row r="118">
      <c r="A118" s="12" t="n"/>
      <c r="B118">
        <f>IF($W118="","",INDEX('Per Line'!$B$2:$B$1501,$W118)&amp;"")</f>
        <v/>
      </c>
      <c r="C118">
        <f>IF($W118="","",INDEX('Per Line'!$A$2:$A$1501,$W118))</f>
        <v/>
      </c>
      <c r="D118" s="11">
        <f>IF($W118="","",INDEX('Per Line'!$C$2:$C$1501,$W118))</f>
        <v/>
      </c>
      <c r="E118">
        <f>IF($W118="","",INDEX('Per Line'!$D$2:$D$1501,$W118)&amp;"")</f>
        <v/>
      </c>
      <c r="F118">
        <f>IF($W118="","",INDEX('Per Line'!$F$2:$F$1501,$W118)&amp;"")</f>
        <v/>
      </c>
      <c r="G118">
        <f>IF($W118="","",INDEX('Per Line'!$G$2:$G$1501,$W118)&amp;"")</f>
        <v/>
      </c>
      <c r="H118">
        <f>IF($W118="","",INDEX('Per Line'!$H$2:$H$1501,$W118)&amp;"")</f>
        <v/>
      </c>
      <c r="I118">
        <f>IF($W118="","",INDEX('Per Line'!$I$2:$I$1501,$W118))</f>
        <v/>
      </c>
      <c r="J118" s="7">
        <f>IF($W118="","",I118*U118/100)</f>
        <v/>
      </c>
      <c r="K118">
        <f>IF($W118="","",INDEX('Per Line'!$U$2:$U$1501,$W118)&amp;"")</f>
        <v/>
      </c>
      <c r="L118" s="7">
        <f>IF($W118="","",SUMIFS('Per Line'!$Q$2:$Q$1501,'Per Line'!$B$2:$B$1501,$B118,'Per Line'!$AI$2:$AI$1501,1))</f>
        <v/>
      </c>
      <c r="M118">
        <f>IF($W118="","",Settings!$C$7)</f>
        <v/>
      </c>
      <c r="N118" s="7">
        <f>IF($W118="","",SUMIFS('Per Line'!$Q$2:$Q$1501,'Per Line'!$B$2:$B$1501,$B118,'Per Line'!$AH$2:$AH$1501,0,'Per Line'!$AI$2:$AI$1501,0))</f>
        <v/>
      </c>
      <c r="O118" s="7">
        <f>IF($W118="","",N118*M118)</f>
        <v/>
      </c>
      <c r="P118">
        <f>IF($W118="","",Settings!$C$6)</f>
        <v/>
      </c>
      <c r="Q118" s="7">
        <f>IF($W118="","",SUMIFS('Per Line'!$Q$2:$Q$1501,'Per Line'!$B$2:$B$1501,$B118,'Per Line'!$AH$2:$AH$1501,1,'Per Line'!$AI$2:$AI$1501,0))</f>
        <v/>
      </c>
      <c r="R118" s="7">
        <f>IF($W118="","",Q118*P118)</f>
        <v/>
      </c>
      <c r="S118" s="7">
        <f>IF($W118="","",R118+O118)</f>
        <v/>
      </c>
      <c r="T118" s="7">
        <f>IF($W118="","",U118-S118)</f>
        <v/>
      </c>
      <c r="U118" s="7">
        <f>IF($W118="","",N118+Q118+L118)</f>
        <v/>
      </c>
      <c r="V118" s="7">
        <f>IF($W118="","",U118-S118-J118)</f>
        <v/>
      </c>
      <c r="W118" s="13">
        <f>IF(ROWS($W$2:$W118)&lt;=MAX('Per Line'!$AG$2:$AG$1501),MATCH(ROWS($W$2:$W118),'Per Line'!$AG$2:$AG$1501,0),"")</f>
        <v/>
      </c>
    </row>
    <row r="119">
      <c r="A119" s="12" t="n"/>
      <c r="B119">
        <f>IF($W119="","",INDEX('Per Line'!$B$2:$B$1501,$W119)&amp;"")</f>
        <v/>
      </c>
      <c r="C119">
        <f>IF($W119="","",INDEX('Per Line'!$A$2:$A$1501,$W119))</f>
        <v/>
      </c>
      <c r="D119" s="11">
        <f>IF($W119="","",INDEX('Per Line'!$C$2:$C$1501,$W119))</f>
        <v/>
      </c>
      <c r="E119">
        <f>IF($W119="","",INDEX('Per Line'!$D$2:$D$1501,$W119)&amp;"")</f>
        <v/>
      </c>
      <c r="F119">
        <f>IF($W119="","",INDEX('Per Line'!$F$2:$F$1501,$W119)&amp;"")</f>
        <v/>
      </c>
      <c r="G119">
        <f>IF($W119="","",INDEX('Per Line'!$G$2:$G$1501,$W119)&amp;"")</f>
        <v/>
      </c>
      <c r="H119">
        <f>IF($W119="","",INDEX('Per Line'!$H$2:$H$1501,$W119)&amp;"")</f>
        <v/>
      </c>
      <c r="I119">
        <f>IF($W119="","",INDEX('Per Line'!$I$2:$I$1501,$W119))</f>
        <v/>
      </c>
      <c r="J119" s="7">
        <f>IF($W119="","",I119*U119/100)</f>
        <v/>
      </c>
      <c r="K119">
        <f>IF($W119="","",INDEX('Per Line'!$U$2:$U$1501,$W119)&amp;"")</f>
        <v/>
      </c>
      <c r="L119" s="7">
        <f>IF($W119="","",SUMIFS('Per Line'!$Q$2:$Q$1501,'Per Line'!$B$2:$B$1501,$B119,'Per Line'!$AI$2:$AI$1501,1))</f>
        <v/>
      </c>
      <c r="M119">
        <f>IF($W119="","",Settings!$C$7)</f>
        <v/>
      </c>
      <c r="N119" s="7">
        <f>IF($W119="","",SUMIFS('Per Line'!$Q$2:$Q$1501,'Per Line'!$B$2:$B$1501,$B119,'Per Line'!$AH$2:$AH$1501,0,'Per Line'!$AI$2:$AI$1501,0))</f>
        <v/>
      </c>
      <c r="O119" s="7">
        <f>IF($W119="","",N119*M119)</f>
        <v/>
      </c>
      <c r="P119">
        <f>IF($W119="","",Settings!$C$6)</f>
        <v/>
      </c>
      <c r="Q119" s="7">
        <f>IF($W119="","",SUMIFS('Per Line'!$Q$2:$Q$1501,'Per Line'!$B$2:$B$1501,$B119,'Per Line'!$AH$2:$AH$1501,1,'Per Line'!$AI$2:$AI$1501,0))</f>
        <v/>
      </c>
      <c r="R119" s="7">
        <f>IF($W119="","",Q119*P119)</f>
        <v/>
      </c>
      <c r="S119" s="7">
        <f>IF($W119="","",R119+O119)</f>
        <v/>
      </c>
      <c r="T119" s="7">
        <f>IF($W119="","",U119-S119)</f>
        <v/>
      </c>
      <c r="U119" s="7">
        <f>IF($W119="","",N119+Q119+L119)</f>
        <v/>
      </c>
      <c r="V119" s="7">
        <f>IF($W119="","",U119-S119-J119)</f>
        <v/>
      </c>
      <c r="W119" s="13">
        <f>IF(ROWS($W$2:$W119)&lt;=MAX('Per Line'!$AG$2:$AG$1501),MATCH(ROWS($W$2:$W119),'Per Line'!$AG$2:$AG$1501,0),"")</f>
        <v/>
      </c>
    </row>
    <row r="120">
      <c r="A120" s="12" t="n"/>
      <c r="B120">
        <f>IF($W120="","",INDEX('Per Line'!$B$2:$B$1501,$W120)&amp;"")</f>
        <v/>
      </c>
      <c r="C120">
        <f>IF($W120="","",INDEX('Per Line'!$A$2:$A$1501,$W120))</f>
        <v/>
      </c>
      <c r="D120" s="11">
        <f>IF($W120="","",INDEX('Per Line'!$C$2:$C$1501,$W120))</f>
        <v/>
      </c>
      <c r="E120">
        <f>IF($W120="","",INDEX('Per Line'!$D$2:$D$1501,$W120)&amp;"")</f>
        <v/>
      </c>
      <c r="F120">
        <f>IF($W120="","",INDEX('Per Line'!$F$2:$F$1501,$W120)&amp;"")</f>
        <v/>
      </c>
      <c r="G120">
        <f>IF($W120="","",INDEX('Per Line'!$G$2:$G$1501,$W120)&amp;"")</f>
        <v/>
      </c>
      <c r="H120">
        <f>IF($W120="","",INDEX('Per Line'!$H$2:$H$1501,$W120)&amp;"")</f>
        <v/>
      </c>
      <c r="I120">
        <f>IF($W120="","",INDEX('Per Line'!$I$2:$I$1501,$W120))</f>
        <v/>
      </c>
      <c r="J120" s="7">
        <f>IF($W120="","",I120*U120/100)</f>
        <v/>
      </c>
      <c r="K120">
        <f>IF($W120="","",INDEX('Per Line'!$U$2:$U$1501,$W120)&amp;"")</f>
        <v/>
      </c>
      <c r="L120" s="7">
        <f>IF($W120="","",SUMIFS('Per Line'!$Q$2:$Q$1501,'Per Line'!$B$2:$B$1501,$B120,'Per Line'!$AI$2:$AI$1501,1))</f>
        <v/>
      </c>
      <c r="M120">
        <f>IF($W120="","",Settings!$C$7)</f>
        <v/>
      </c>
      <c r="N120" s="7">
        <f>IF($W120="","",SUMIFS('Per Line'!$Q$2:$Q$1501,'Per Line'!$B$2:$B$1501,$B120,'Per Line'!$AH$2:$AH$1501,0,'Per Line'!$AI$2:$AI$1501,0))</f>
        <v/>
      </c>
      <c r="O120" s="7">
        <f>IF($W120="","",N120*M120)</f>
        <v/>
      </c>
      <c r="P120">
        <f>IF($W120="","",Settings!$C$6)</f>
        <v/>
      </c>
      <c r="Q120" s="7">
        <f>IF($W120="","",SUMIFS('Per Line'!$Q$2:$Q$1501,'Per Line'!$B$2:$B$1501,$B120,'Per Line'!$AH$2:$AH$1501,1,'Per Line'!$AI$2:$AI$1501,0))</f>
        <v/>
      </c>
      <c r="R120" s="7">
        <f>IF($W120="","",Q120*P120)</f>
        <v/>
      </c>
      <c r="S120" s="7">
        <f>IF($W120="","",R120+O120)</f>
        <v/>
      </c>
      <c r="T120" s="7">
        <f>IF($W120="","",U120-S120)</f>
        <v/>
      </c>
      <c r="U120" s="7">
        <f>IF($W120="","",N120+Q120+L120)</f>
        <v/>
      </c>
      <c r="V120" s="7">
        <f>IF($W120="","",U120-S120-J120)</f>
        <v/>
      </c>
      <c r="W120" s="13">
        <f>IF(ROWS($W$2:$W120)&lt;=MAX('Per Line'!$AG$2:$AG$1501),MATCH(ROWS($W$2:$W120),'Per Line'!$AG$2:$AG$1501,0),"")</f>
        <v/>
      </c>
    </row>
    <row r="121">
      <c r="A121" s="12" t="n"/>
      <c r="B121">
        <f>IF($W121="","",INDEX('Per Line'!$B$2:$B$1501,$W121)&amp;"")</f>
        <v/>
      </c>
      <c r="C121">
        <f>IF($W121="","",INDEX('Per Line'!$A$2:$A$1501,$W121))</f>
        <v/>
      </c>
      <c r="D121" s="11">
        <f>IF($W121="","",INDEX('Per Line'!$C$2:$C$1501,$W121))</f>
        <v/>
      </c>
      <c r="E121">
        <f>IF($W121="","",INDEX('Per Line'!$D$2:$D$1501,$W121)&amp;"")</f>
        <v/>
      </c>
      <c r="F121">
        <f>IF($W121="","",INDEX('Per Line'!$F$2:$F$1501,$W121)&amp;"")</f>
        <v/>
      </c>
      <c r="G121">
        <f>IF($W121="","",INDEX('Per Line'!$G$2:$G$1501,$W121)&amp;"")</f>
        <v/>
      </c>
      <c r="H121">
        <f>IF($W121="","",INDEX('Per Line'!$H$2:$H$1501,$W121)&amp;"")</f>
        <v/>
      </c>
      <c r="I121">
        <f>IF($W121="","",INDEX('Per Line'!$I$2:$I$1501,$W121))</f>
        <v/>
      </c>
      <c r="J121" s="7">
        <f>IF($W121="","",I121*U121/100)</f>
        <v/>
      </c>
      <c r="K121">
        <f>IF($W121="","",INDEX('Per Line'!$U$2:$U$1501,$W121)&amp;"")</f>
        <v/>
      </c>
      <c r="L121" s="7">
        <f>IF($W121="","",SUMIFS('Per Line'!$Q$2:$Q$1501,'Per Line'!$B$2:$B$1501,$B121,'Per Line'!$AI$2:$AI$1501,1))</f>
        <v/>
      </c>
      <c r="M121">
        <f>IF($W121="","",Settings!$C$7)</f>
        <v/>
      </c>
      <c r="N121" s="7">
        <f>IF($W121="","",SUMIFS('Per Line'!$Q$2:$Q$1501,'Per Line'!$B$2:$B$1501,$B121,'Per Line'!$AH$2:$AH$1501,0,'Per Line'!$AI$2:$AI$1501,0))</f>
        <v/>
      </c>
      <c r="O121" s="7">
        <f>IF($W121="","",N121*M121)</f>
        <v/>
      </c>
      <c r="P121">
        <f>IF($W121="","",Settings!$C$6)</f>
        <v/>
      </c>
      <c r="Q121" s="7">
        <f>IF($W121="","",SUMIFS('Per Line'!$Q$2:$Q$1501,'Per Line'!$B$2:$B$1501,$B121,'Per Line'!$AH$2:$AH$1501,1,'Per Line'!$AI$2:$AI$1501,0))</f>
        <v/>
      </c>
      <c r="R121" s="7">
        <f>IF($W121="","",Q121*P121)</f>
        <v/>
      </c>
      <c r="S121" s="7">
        <f>IF($W121="","",R121+O121)</f>
        <v/>
      </c>
      <c r="T121" s="7">
        <f>IF($W121="","",U121-S121)</f>
        <v/>
      </c>
      <c r="U121" s="7">
        <f>IF($W121="","",N121+Q121+L121)</f>
        <v/>
      </c>
      <c r="V121" s="7">
        <f>IF($W121="","",U121-S121-J121)</f>
        <v/>
      </c>
      <c r="W121" s="13">
        <f>IF(ROWS($W$2:$W121)&lt;=MAX('Per Line'!$AG$2:$AG$1501),MATCH(ROWS($W$2:$W121),'Per Line'!$AG$2:$AG$1501,0),"")</f>
        <v/>
      </c>
    </row>
    <row r="122">
      <c r="A122" s="12" t="n"/>
      <c r="B122">
        <f>IF($W122="","",INDEX('Per Line'!$B$2:$B$1501,$W122)&amp;"")</f>
        <v/>
      </c>
      <c r="C122">
        <f>IF($W122="","",INDEX('Per Line'!$A$2:$A$1501,$W122))</f>
        <v/>
      </c>
      <c r="D122" s="11">
        <f>IF($W122="","",INDEX('Per Line'!$C$2:$C$1501,$W122))</f>
        <v/>
      </c>
      <c r="E122">
        <f>IF($W122="","",INDEX('Per Line'!$D$2:$D$1501,$W122)&amp;"")</f>
        <v/>
      </c>
      <c r="F122">
        <f>IF($W122="","",INDEX('Per Line'!$F$2:$F$1501,$W122)&amp;"")</f>
        <v/>
      </c>
      <c r="G122">
        <f>IF($W122="","",INDEX('Per Line'!$G$2:$G$1501,$W122)&amp;"")</f>
        <v/>
      </c>
      <c r="H122">
        <f>IF($W122="","",INDEX('Per Line'!$H$2:$H$1501,$W122)&amp;"")</f>
        <v/>
      </c>
      <c r="I122">
        <f>IF($W122="","",INDEX('Per Line'!$I$2:$I$1501,$W122))</f>
        <v/>
      </c>
      <c r="J122" s="7">
        <f>IF($W122="","",I122*U122/100)</f>
        <v/>
      </c>
      <c r="K122">
        <f>IF($W122="","",INDEX('Per Line'!$U$2:$U$1501,$W122)&amp;"")</f>
        <v/>
      </c>
      <c r="L122" s="7">
        <f>IF($W122="","",SUMIFS('Per Line'!$Q$2:$Q$1501,'Per Line'!$B$2:$B$1501,$B122,'Per Line'!$AI$2:$AI$1501,1))</f>
        <v/>
      </c>
      <c r="M122">
        <f>IF($W122="","",Settings!$C$7)</f>
        <v/>
      </c>
      <c r="N122" s="7">
        <f>IF($W122="","",SUMIFS('Per Line'!$Q$2:$Q$1501,'Per Line'!$B$2:$B$1501,$B122,'Per Line'!$AH$2:$AH$1501,0,'Per Line'!$AI$2:$AI$1501,0))</f>
        <v/>
      </c>
      <c r="O122" s="7">
        <f>IF($W122="","",N122*M122)</f>
        <v/>
      </c>
      <c r="P122">
        <f>IF($W122="","",Settings!$C$6)</f>
        <v/>
      </c>
      <c r="Q122" s="7">
        <f>IF($W122="","",SUMIFS('Per Line'!$Q$2:$Q$1501,'Per Line'!$B$2:$B$1501,$B122,'Per Line'!$AH$2:$AH$1501,1,'Per Line'!$AI$2:$AI$1501,0))</f>
        <v/>
      </c>
      <c r="R122" s="7">
        <f>IF($W122="","",Q122*P122)</f>
        <v/>
      </c>
      <c r="S122" s="7">
        <f>IF($W122="","",R122+O122)</f>
        <v/>
      </c>
      <c r="T122" s="7">
        <f>IF($W122="","",U122-S122)</f>
        <v/>
      </c>
      <c r="U122" s="7">
        <f>IF($W122="","",N122+Q122+L122)</f>
        <v/>
      </c>
      <c r="V122" s="7">
        <f>IF($W122="","",U122-S122-J122)</f>
        <v/>
      </c>
      <c r="W122" s="13">
        <f>IF(ROWS($W$2:$W122)&lt;=MAX('Per Line'!$AG$2:$AG$1501),MATCH(ROWS($W$2:$W122),'Per Line'!$AG$2:$AG$1501,0),"")</f>
        <v/>
      </c>
    </row>
    <row r="123">
      <c r="A123" s="12" t="n"/>
      <c r="B123">
        <f>IF($W123="","",INDEX('Per Line'!$B$2:$B$1501,$W123)&amp;"")</f>
        <v/>
      </c>
      <c r="C123">
        <f>IF($W123="","",INDEX('Per Line'!$A$2:$A$1501,$W123))</f>
        <v/>
      </c>
      <c r="D123" s="11">
        <f>IF($W123="","",INDEX('Per Line'!$C$2:$C$1501,$W123))</f>
        <v/>
      </c>
      <c r="E123">
        <f>IF($W123="","",INDEX('Per Line'!$D$2:$D$1501,$W123)&amp;"")</f>
        <v/>
      </c>
      <c r="F123">
        <f>IF($W123="","",INDEX('Per Line'!$F$2:$F$1501,$W123)&amp;"")</f>
        <v/>
      </c>
      <c r="G123">
        <f>IF($W123="","",INDEX('Per Line'!$G$2:$G$1501,$W123)&amp;"")</f>
        <v/>
      </c>
      <c r="H123">
        <f>IF($W123="","",INDEX('Per Line'!$H$2:$H$1501,$W123)&amp;"")</f>
        <v/>
      </c>
      <c r="I123">
        <f>IF($W123="","",INDEX('Per Line'!$I$2:$I$1501,$W123))</f>
        <v/>
      </c>
      <c r="J123" s="7">
        <f>IF($W123="","",I123*U123/100)</f>
        <v/>
      </c>
      <c r="K123">
        <f>IF($W123="","",INDEX('Per Line'!$U$2:$U$1501,$W123)&amp;"")</f>
        <v/>
      </c>
      <c r="L123" s="7">
        <f>IF($W123="","",SUMIFS('Per Line'!$Q$2:$Q$1501,'Per Line'!$B$2:$B$1501,$B123,'Per Line'!$AI$2:$AI$1501,1))</f>
        <v/>
      </c>
      <c r="M123">
        <f>IF($W123="","",Settings!$C$7)</f>
        <v/>
      </c>
      <c r="N123" s="7">
        <f>IF($W123="","",SUMIFS('Per Line'!$Q$2:$Q$1501,'Per Line'!$B$2:$B$1501,$B123,'Per Line'!$AH$2:$AH$1501,0,'Per Line'!$AI$2:$AI$1501,0))</f>
        <v/>
      </c>
      <c r="O123" s="7">
        <f>IF($W123="","",N123*M123)</f>
        <v/>
      </c>
      <c r="P123">
        <f>IF($W123="","",Settings!$C$6)</f>
        <v/>
      </c>
      <c r="Q123" s="7">
        <f>IF($W123="","",SUMIFS('Per Line'!$Q$2:$Q$1501,'Per Line'!$B$2:$B$1501,$B123,'Per Line'!$AH$2:$AH$1501,1,'Per Line'!$AI$2:$AI$1501,0))</f>
        <v/>
      </c>
      <c r="R123" s="7">
        <f>IF($W123="","",Q123*P123)</f>
        <v/>
      </c>
      <c r="S123" s="7">
        <f>IF($W123="","",R123+O123)</f>
        <v/>
      </c>
      <c r="T123" s="7">
        <f>IF($W123="","",U123-S123)</f>
        <v/>
      </c>
      <c r="U123" s="7">
        <f>IF($W123="","",N123+Q123+L123)</f>
        <v/>
      </c>
      <c r="V123" s="7">
        <f>IF($W123="","",U123-S123-J123)</f>
        <v/>
      </c>
      <c r="W123" s="13">
        <f>IF(ROWS($W$2:$W123)&lt;=MAX('Per Line'!$AG$2:$AG$1501),MATCH(ROWS($W$2:$W123),'Per Line'!$AG$2:$AG$1501,0),"")</f>
        <v/>
      </c>
    </row>
    <row r="124">
      <c r="A124" s="12" t="n"/>
      <c r="B124">
        <f>IF($W124="","",INDEX('Per Line'!$B$2:$B$1501,$W124)&amp;"")</f>
        <v/>
      </c>
      <c r="C124">
        <f>IF($W124="","",INDEX('Per Line'!$A$2:$A$1501,$W124))</f>
        <v/>
      </c>
      <c r="D124" s="11">
        <f>IF($W124="","",INDEX('Per Line'!$C$2:$C$1501,$W124))</f>
        <v/>
      </c>
      <c r="E124">
        <f>IF($W124="","",INDEX('Per Line'!$D$2:$D$1501,$W124)&amp;"")</f>
        <v/>
      </c>
      <c r="F124">
        <f>IF($W124="","",INDEX('Per Line'!$F$2:$F$1501,$W124)&amp;"")</f>
        <v/>
      </c>
      <c r="G124">
        <f>IF($W124="","",INDEX('Per Line'!$G$2:$G$1501,$W124)&amp;"")</f>
        <v/>
      </c>
      <c r="H124">
        <f>IF($W124="","",INDEX('Per Line'!$H$2:$H$1501,$W124)&amp;"")</f>
        <v/>
      </c>
      <c r="I124">
        <f>IF($W124="","",INDEX('Per Line'!$I$2:$I$1501,$W124))</f>
        <v/>
      </c>
      <c r="J124" s="7">
        <f>IF($W124="","",I124*U124/100)</f>
        <v/>
      </c>
      <c r="K124">
        <f>IF($W124="","",INDEX('Per Line'!$U$2:$U$1501,$W124)&amp;"")</f>
        <v/>
      </c>
      <c r="L124" s="7">
        <f>IF($W124="","",SUMIFS('Per Line'!$Q$2:$Q$1501,'Per Line'!$B$2:$B$1501,$B124,'Per Line'!$AI$2:$AI$1501,1))</f>
        <v/>
      </c>
      <c r="M124">
        <f>IF($W124="","",Settings!$C$7)</f>
        <v/>
      </c>
      <c r="N124" s="7">
        <f>IF($W124="","",SUMIFS('Per Line'!$Q$2:$Q$1501,'Per Line'!$B$2:$B$1501,$B124,'Per Line'!$AH$2:$AH$1501,0,'Per Line'!$AI$2:$AI$1501,0))</f>
        <v/>
      </c>
      <c r="O124" s="7">
        <f>IF($W124="","",N124*M124)</f>
        <v/>
      </c>
      <c r="P124">
        <f>IF($W124="","",Settings!$C$6)</f>
        <v/>
      </c>
      <c r="Q124" s="7">
        <f>IF($W124="","",SUMIFS('Per Line'!$Q$2:$Q$1501,'Per Line'!$B$2:$B$1501,$B124,'Per Line'!$AH$2:$AH$1501,1,'Per Line'!$AI$2:$AI$1501,0))</f>
        <v/>
      </c>
      <c r="R124" s="7">
        <f>IF($W124="","",Q124*P124)</f>
        <v/>
      </c>
      <c r="S124" s="7">
        <f>IF($W124="","",R124+O124)</f>
        <v/>
      </c>
      <c r="T124" s="7">
        <f>IF($W124="","",U124-S124)</f>
        <v/>
      </c>
      <c r="U124" s="7">
        <f>IF($W124="","",N124+Q124+L124)</f>
        <v/>
      </c>
      <c r="V124" s="7">
        <f>IF($W124="","",U124-S124-J124)</f>
        <v/>
      </c>
      <c r="W124" s="13">
        <f>IF(ROWS($W$2:$W124)&lt;=MAX('Per Line'!$AG$2:$AG$1501),MATCH(ROWS($W$2:$W124),'Per Line'!$AG$2:$AG$1501,0),"")</f>
        <v/>
      </c>
    </row>
    <row r="125">
      <c r="A125" s="12" t="n"/>
      <c r="B125">
        <f>IF($W125="","",INDEX('Per Line'!$B$2:$B$1501,$W125)&amp;"")</f>
        <v/>
      </c>
      <c r="C125">
        <f>IF($W125="","",INDEX('Per Line'!$A$2:$A$1501,$W125))</f>
        <v/>
      </c>
      <c r="D125" s="11">
        <f>IF($W125="","",INDEX('Per Line'!$C$2:$C$1501,$W125))</f>
        <v/>
      </c>
      <c r="E125">
        <f>IF($W125="","",INDEX('Per Line'!$D$2:$D$1501,$W125)&amp;"")</f>
        <v/>
      </c>
      <c r="F125">
        <f>IF($W125="","",INDEX('Per Line'!$F$2:$F$1501,$W125)&amp;"")</f>
        <v/>
      </c>
      <c r="G125">
        <f>IF($W125="","",INDEX('Per Line'!$G$2:$G$1501,$W125)&amp;"")</f>
        <v/>
      </c>
      <c r="H125">
        <f>IF($W125="","",INDEX('Per Line'!$H$2:$H$1501,$W125)&amp;"")</f>
        <v/>
      </c>
      <c r="I125">
        <f>IF($W125="","",INDEX('Per Line'!$I$2:$I$1501,$W125))</f>
        <v/>
      </c>
      <c r="J125" s="7">
        <f>IF($W125="","",I125*U125/100)</f>
        <v/>
      </c>
      <c r="K125">
        <f>IF($W125="","",INDEX('Per Line'!$U$2:$U$1501,$W125)&amp;"")</f>
        <v/>
      </c>
      <c r="L125" s="7">
        <f>IF($W125="","",SUMIFS('Per Line'!$Q$2:$Q$1501,'Per Line'!$B$2:$B$1501,$B125,'Per Line'!$AI$2:$AI$1501,1))</f>
        <v/>
      </c>
      <c r="M125">
        <f>IF($W125="","",Settings!$C$7)</f>
        <v/>
      </c>
      <c r="N125" s="7">
        <f>IF($W125="","",SUMIFS('Per Line'!$Q$2:$Q$1501,'Per Line'!$B$2:$B$1501,$B125,'Per Line'!$AH$2:$AH$1501,0,'Per Line'!$AI$2:$AI$1501,0))</f>
        <v/>
      </c>
      <c r="O125" s="7">
        <f>IF($W125="","",N125*M125)</f>
        <v/>
      </c>
      <c r="P125">
        <f>IF($W125="","",Settings!$C$6)</f>
        <v/>
      </c>
      <c r="Q125" s="7">
        <f>IF($W125="","",SUMIFS('Per Line'!$Q$2:$Q$1501,'Per Line'!$B$2:$B$1501,$B125,'Per Line'!$AH$2:$AH$1501,1,'Per Line'!$AI$2:$AI$1501,0))</f>
        <v/>
      </c>
      <c r="R125" s="7">
        <f>IF($W125="","",Q125*P125)</f>
        <v/>
      </c>
      <c r="S125" s="7">
        <f>IF($W125="","",R125+O125)</f>
        <v/>
      </c>
      <c r="T125" s="7">
        <f>IF($W125="","",U125-S125)</f>
        <v/>
      </c>
      <c r="U125" s="7">
        <f>IF($W125="","",N125+Q125+L125)</f>
        <v/>
      </c>
      <c r="V125" s="7">
        <f>IF($W125="","",U125-S125-J125)</f>
        <v/>
      </c>
      <c r="W125" s="13">
        <f>IF(ROWS($W$2:$W125)&lt;=MAX('Per Line'!$AG$2:$AG$1501),MATCH(ROWS($W$2:$W125),'Per Line'!$AG$2:$AG$1501,0),"")</f>
        <v/>
      </c>
    </row>
    <row r="126">
      <c r="A126" s="12" t="n"/>
      <c r="B126">
        <f>IF($W126="","",INDEX('Per Line'!$B$2:$B$1501,$W126)&amp;"")</f>
        <v/>
      </c>
      <c r="C126">
        <f>IF($W126="","",INDEX('Per Line'!$A$2:$A$1501,$W126))</f>
        <v/>
      </c>
      <c r="D126" s="11">
        <f>IF($W126="","",INDEX('Per Line'!$C$2:$C$1501,$W126))</f>
        <v/>
      </c>
      <c r="E126">
        <f>IF($W126="","",INDEX('Per Line'!$D$2:$D$1501,$W126)&amp;"")</f>
        <v/>
      </c>
      <c r="F126">
        <f>IF($W126="","",INDEX('Per Line'!$F$2:$F$1501,$W126)&amp;"")</f>
        <v/>
      </c>
      <c r="G126">
        <f>IF($W126="","",INDEX('Per Line'!$G$2:$G$1501,$W126)&amp;"")</f>
        <v/>
      </c>
      <c r="H126">
        <f>IF($W126="","",INDEX('Per Line'!$H$2:$H$1501,$W126)&amp;"")</f>
        <v/>
      </c>
      <c r="I126">
        <f>IF($W126="","",INDEX('Per Line'!$I$2:$I$1501,$W126))</f>
        <v/>
      </c>
      <c r="J126" s="7">
        <f>IF($W126="","",I126*U126/100)</f>
        <v/>
      </c>
      <c r="K126">
        <f>IF($W126="","",INDEX('Per Line'!$U$2:$U$1501,$W126)&amp;"")</f>
        <v/>
      </c>
      <c r="L126" s="7">
        <f>IF($W126="","",SUMIFS('Per Line'!$Q$2:$Q$1501,'Per Line'!$B$2:$B$1501,$B126,'Per Line'!$AI$2:$AI$1501,1))</f>
        <v/>
      </c>
      <c r="M126">
        <f>IF($W126="","",Settings!$C$7)</f>
        <v/>
      </c>
      <c r="N126" s="7">
        <f>IF($W126="","",SUMIFS('Per Line'!$Q$2:$Q$1501,'Per Line'!$B$2:$B$1501,$B126,'Per Line'!$AH$2:$AH$1501,0,'Per Line'!$AI$2:$AI$1501,0))</f>
        <v/>
      </c>
      <c r="O126" s="7">
        <f>IF($W126="","",N126*M126)</f>
        <v/>
      </c>
      <c r="P126">
        <f>IF($W126="","",Settings!$C$6)</f>
        <v/>
      </c>
      <c r="Q126" s="7">
        <f>IF($W126="","",SUMIFS('Per Line'!$Q$2:$Q$1501,'Per Line'!$B$2:$B$1501,$B126,'Per Line'!$AH$2:$AH$1501,1,'Per Line'!$AI$2:$AI$1501,0))</f>
        <v/>
      </c>
      <c r="R126" s="7">
        <f>IF($W126="","",Q126*P126)</f>
        <v/>
      </c>
      <c r="S126" s="7">
        <f>IF($W126="","",R126+O126)</f>
        <v/>
      </c>
      <c r="T126" s="7">
        <f>IF($W126="","",U126-S126)</f>
        <v/>
      </c>
      <c r="U126" s="7">
        <f>IF($W126="","",N126+Q126+L126)</f>
        <v/>
      </c>
      <c r="V126" s="7">
        <f>IF($W126="","",U126-S126-J126)</f>
        <v/>
      </c>
      <c r="W126" s="13">
        <f>IF(ROWS($W$2:$W126)&lt;=MAX('Per Line'!$AG$2:$AG$1501),MATCH(ROWS($W$2:$W126),'Per Line'!$AG$2:$AG$1501,0),"")</f>
        <v/>
      </c>
    </row>
    <row r="127">
      <c r="A127" s="12" t="n"/>
      <c r="B127">
        <f>IF($W127="","",INDEX('Per Line'!$B$2:$B$1501,$W127)&amp;"")</f>
        <v/>
      </c>
      <c r="C127">
        <f>IF($W127="","",INDEX('Per Line'!$A$2:$A$1501,$W127))</f>
        <v/>
      </c>
      <c r="D127" s="11">
        <f>IF($W127="","",INDEX('Per Line'!$C$2:$C$1501,$W127))</f>
        <v/>
      </c>
      <c r="E127">
        <f>IF($W127="","",INDEX('Per Line'!$D$2:$D$1501,$W127)&amp;"")</f>
        <v/>
      </c>
      <c r="F127">
        <f>IF($W127="","",INDEX('Per Line'!$F$2:$F$1501,$W127)&amp;"")</f>
        <v/>
      </c>
      <c r="G127">
        <f>IF($W127="","",INDEX('Per Line'!$G$2:$G$1501,$W127)&amp;"")</f>
        <v/>
      </c>
      <c r="H127">
        <f>IF($W127="","",INDEX('Per Line'!$H$2:$H$1501,$W127)&amp;"")</f>
        <v/>
      </c>
      <c r="I127">
        <f>IF($W127="","",INDEX('Per Line'!$I$2:$I$1501,$W127))</f>
        <v/>
      </c>
      <c r="J127" s="7">
        <f>IF($W127="","",I127*U127/100)</f>
        <v/>
      </c>
      <c r="K127">
        <f>IF($W127="","",INDEX('Per Line'!$U$2:$U$1501,$W127)&amp;"")</f>
        <v/>
      </c>
      <c r="L127" s="7">
        <f>IF($W127="","",SUMIFS('Per Line'!$Q$2:$Q$1501,'Per Line'!$B$2:$B$1501,$B127,'Per Line'!$AI$2:$AI$1501,1))</f>
        <v/>
      </c>
      <c r="M127">
        <f>IF($W127="","",Settings!$C$7)</f>
        <v/>
      </c>
      <c r="N127" s="7">
        <f>IF($W127="","",SUMIFS('Per Line'!$Q$2:$Q$1501,'Per Line'!$B$2:$B$1501,$B127,'Per Line'!$AH$2:$AH$1501,0,'Per Line'!$AI$2:$AI$1501,0))</f>
        <v/>
      </c>
      <c r="O127" s="7">
        <f>IF($W127="","",N127*M127)</f>
        <v/>
      </c>
      <c r="P127">
        <f>IF($W127="","",Settings!$C$6)</f>
        <v/>
      </c>
      <c r="Q127" s="7">
        <f>IF($W127="","",SUMIFS('Per Line'!$Q$2:$Q$1501,'Per Line'!$B$2:$B$1501,$B127,'Per Line'!$AH$2:$AH$1501,1,'Per Line'!$AI$2:$AI$1501,0))</f>
        <v/>
      </c>
      <c r="R127" s="7">
        <f>IF($W127="","",Q127*P127)</f>
        <v/>
      </c>
      <c r="S127" s="7">
        <f>IF($W127="","",R127+O127)</f>
        <v/>
      </c>
      <c r="T127" s="7">
        <f>IF($W127="","",U127-S127)</f>
        <v/>
      </c>
      <c r="U127" s="7">
        <f>IF($W127="","",N127+Q127+L127)</f>
        <v/>
      </c>
      <c r="V127" s="7">
        <f>IF($W127="","",U127-S127-J127)</f>
        <v/>
      </c>
      <c r="W127" s="13">
        <f>IF(ROWS($W$2:$W127)&lt;=MAX('Per Line'!$AG$2:$AG$1501),MATCH(ROWS($W$2:$W127),'Per Line'!$AG$2:$AG$1501,0),"")</f>
        <v/>
      </c>
    </row>
    <row r="128">
      <c r="A128" s="12" t="n"/>
      <c r="B128">
        <f>IF($W128="","",INDEX('Per Line'!$B$2:$B$1501,$W128)&amp;"")</f>
        <v/>
      </c>
      <c r="C128">
        <f>IF($W128="","",INDEX('Per Line'!$A$2:$A$1501,$W128))</f>
        <v/>
      </c>
      <c r="D128" s="11">
        <f>IF($W128="","",INDEX('Per Line'!$C$2:$C$1501,$W128))</f>
        <v/>
      </c>
      <c r="E128">
        <f>IF($W128="","",INDEX('Per Line'!$D$2:$D$1501,$W128)&amp;"")</f>
        <v/>
      </c>
      <c r="F128">
        <f>IF($W128="","",INDEX('Per Line'!$F$2:$F$1501,$W128)&amp;"")</f>
        <v/>
      </c>
      <c r="G128">
        <f>IF($W128="","",INDEX('Per Line'!$G$2:$G$1501,$W128)&amp;"")</f>
        <v/>
      </c>
      <c r="H128">
        <f>IF($W128="","",INDEX('Per Line'!$H$2:$H$1501,$W128)&amp;"")</f>
        <v/>
      </c>
      <c r="I128">
        <f>IF($W128="","",INDEX('Per Line'!$I$2:$I$1501,$W128))</f>
        <v/>
      </c>
      <c r="J128" s="7">
        <f>IF($W128="","",I128*U128/100)</f>
        <v/>
      </c>
      <c r="K128">
        <f>IF($W128="","",INDEX('Per Line'!$U$2:$U$1501,$W128)&amp;"")</f>
        <v/>
      </c>
      <c r="L128" s="7">
        <f>IF($W128="","",SUMIFS('Per Line'!$Q$2:$Q$1501,'Per Line'!$B$2:$B$1501,$B128,'Per Line'!$AI$2:$AI$1501,1))</f>
        <v/>
      </c>
      <c r="M128">
        <f>IF($W128="","",Settings!$C$7)</f>
        <v/>
      </c>
      <c r="N128" s="7">
        <f>IF($W128="","",SUMIFS('Per Line'!$Q$2:$Q$1501,'Per Line'!$B$2:$B$1501,$B128,'Per Line'!$AH$2:$AH$1501,0,'Per Line'!$AI$2:$AI$1501,0))</f>
        <v/>
      </c>
      <c r="O128" s="7">
        <f>IF($W128="","",N128*M128)</f>
        <v/>
      </c>
      <c r="P128">
        <f>IF($W128="","",Settings!$C$6)</f>
        <v/>
      </c>
      <c r="Q128" s="7">
        <f>IF($W128="","",SUMIFS('Per Line'!$Q$2:$Q$1501,'Per Line'!$B$2:$B$1501,$B128,'Per Line'!$AH$2:$AH$1501,1,'Per Line'!$AI$2:$AI$1501,0))</f>
        <v/>
      </c>
      <c r="R128" s="7">
        <f>IF($W128="","",Q128*P128)</f>
        <v/>
      </c>
      <c r="S128" s="7">
        <f>IF($W128="","",R128+O128)</f>
        <v/>
      </c>
      <c r="T128" s="7">
        <f>IF($W128="","",U128-S128)</f>
        <v/>
      </c>
      <c r="U128" s="7">
        <f>IF($W128="","",N128+Q128+L128)</f>
        <v/>
      </c>
      <c r="V128" s="7">
        <f>IF($W128="","",U128-S128-J128)</f>
        <v/>
      </c>
      <c r="W128" s="13">
        <f>IF(ROWS($W$2:$W128)&lt;=MAX('Per Line'!$AG$2:$AG$1501),MATCH(ROWS($W$2:$W128),'Per Line'!$AG$2:$AG$1501,0),"")</f>
        <v/>
      </c>
    </row>
    <row r="129">
      <c r="A129" s="12" t="n"/>
      <c r="B129">
        <f>IF($W129="","",INDEX('Per Line'!$B$2:$B$1501,$W129)&amp;"")</f>
        <v/>
      </c>
      <c r="C129">
        <f>IF($W129="","",INDEX('Per Line'!$A$2:$A$1501,$W129))</f>
        <v/>
      </c>
      <c r="D129" s="11">
        <f>IF($W129="","",INDEX('Per Line'!$C$2:$C$1501,$W129))</f>
        <v/>
      </c>
      <c r="E129">
        <f>IF($W129="","",INDEX('Per Line'!$D$2:$D$1501,$W129)&amp;"")</f>
        <v/>
      </c>
      <c r="F129">
        <f>IF($W129="","",INDEX('Per Line'!$F$2:$F$1501,$W129)&amp;"")</f>
        <v/>
      </c>
      <c r="G129">
        <f>IF($W129="","",INDEX('Per Line'!$G$2:$G$1501,$W129)&amp;"")</f>
        <v/>
      </c>
      <c r="H129">
        <f>IF($W129="","",INDEX('Per Line'!$H$2:$H$1501,$W129)&amp;"")</f>
        <v/>
      </c>
      <c r="I129">
        <f>IF($W129="","",INDEX('Per Line'!$I$2:$I$1501,$W129))</f>
        <v/>
      </c>
      <c r="J129" s="7">
        <f>IF($W129="","",I129*U129/100)</f>
        <v/>
      </c>
      <c r="K129">
        <f>IF($W129="","",INDEX('Per Line'!$U$2:$U$1501,$W129)&amp;"")</f>
        <v/>
      </c>
      <c r="L129" s="7">
        <f>IF($W129="","",SUMIFS('Per Line'!$Q$2:$Q$1501,'Per Line'!$B$2:$B$1501,$B129,'Per Line'!$AI$2:$AI$1501,1))</f>
        <v/>
      </c>
      <c r="M129">
        <f>IF($W129="","",Settings!$C$7)</f>
        <v/>
      </c>
      <c r="N129" s="7">
        <f>IF($W129="","",SUMIFS('Per Line'!$Q$2:$Q$1501,'Per Line'!$B$2:$B$1501,$B129,'Per Line'!$AH$2:$AH$1501,0,'Per Line'!$AI$2:$AI$1501,0))</f>
        <v/>
      </c>
      <c r="O129" s="7">
        <f>IF($W129="","",N129*M129)</f>
        <v/>
      </c>
      <c r="P129">
        <f>IF($W129="","",Settings!$C$6)</f>
        <v/>
      </c>
      <c r="Q129" s="7">
        <f>IF($W129="","",SUMIFS('Per Line'!$Q$2:$Q$1501,'Per Line'!$B$2:$B$1501,$B129,'Per Line'!$AH$2:$AH$1501,1,'Per Line'!$AI$2:$AI$1501,0))</f>
        <v/>
      </c>
      <c r="R129" s="7">
        <f>IF($W129="","",Q129*P129)</f>
        <v/>
      </c>
      <c r="S129" s="7">
        <f>IF($W129="","",R129+O129)</f>
        <v/>
      </c>
      <c r="T129" s="7">
        <f>IF($W129="","",U129-S129)</f>
        <v/>
      </c>
      <c r="U129" s="7">
        <f>IF($W129="","",N129+Q129+L129)</f>
        <v/>
      </c>
      <c r="V129" s="7">
        <f>IF($W129="","",U129-S129-J129)</f>
        <v/>
      </c>
      <c r="W129" s="13">
        <f>IF(ROWS($W$2:$W129)&lt;=MAX('Per Line'!$AG$2:$AG$1501),MATCH(ROWS($W$2:$W129),'Per Line'!$AG$2:$AG$1501,0),"")</f>
        <v/>
      </c>
    </row>
    <row r="130">
      <c r="A130" s="12" t="n"/>
      <c r="B130">
        <f>IF($W130="","",INDEX('Per Line'!$B$2:$B$1501,$W130)&amp;"")</f>
        <v/>
      </c>
      <c r="C130">
        <f>IF($W130="","",INDEX('Per Line'!$A$2:$A$1501,$W130))</f>
        <v/>
      </c>
      <c r="D130" s="11">
        <f>IF($W130="","",INDEX('Per Line'!$C$2:$C$1501,$W130))</f>
        <v/>
      </c>
      <c r="E130">
        <f>IF($W130="","",INDEX('Per Line'!$D$2:$D$1501,$W130)&amp;"")</f>
        <v/>
      </c>
      <c r="F130">
        <f>IF($W130="","",INDEX('Per Line'!$F$2:$F$1501,$W130)&amp;"")</f>
        <v/>
      </c>
      <c r="G130">
        <f>IF($W130="","",INDEX('Per Line'!$G$2:$G$1501,$W130)&amp;"")</f>
        <v/>
      </c>
      <c r="H130">
        <f>IF($W130="","",INDEX('Per Line'!$H$2:$H$1501,$W130)&amp;"")</f>
        <v/>
      </c>
      <c r="I130">
        <f>IF($W130="","",INDEX('Per Line'!$I$2:$I$1501,$W130))</f>
        <v/>
      </c>
      <c r="J130" s="7">
        <f>IF($W130="","",I130*U130/100)</f>
        <v/>
      </c>
      <c r="K130">
        <f>IF($W130="","",INDEX('Per Line'!$U$2:$U$1501,$W130)&amp;"")</f>
        <v/>
      </c>
      <c r="L130" s="7">
        <f>IF($W130="","",SUMIFS('Per Line'!$Q$2:$Q$1501,'Per Line'!$B$2:$B$1501,$B130,'Per Line'!$AI$2:$AI$1501,1))</f>
        <v/>
      </c>
      <c r="M130">
        <f>IF($W130="","",Settings!$C$7)</f>
        <v/>
      </c>
      <c r="N130" s="7">
        <f>IF($W130="","",SUMIFS('Per Line'!$Q$2:$Q$1501,'Per Line'!$B$2:$B$1501,$B130,'Per Line'!$AH$2:$AH$1501,0,'Per Line'!$AI$2:$AI$1501,0))</f>
        <v/>
      </c>
      <c r="O130" s="7">
        <f>IF($W130="","",N130*M130)</f>
        <v/>
      </c>
      <c r="P130">
        <f>IF($W130="","",Settings!$C$6)</f>
        <v/>
      </c>
      <c r="Q130" s="7">
        <f>IF($W130="","",SUMIFS('Per Line'!$Q$2:$Q$1501,'Per Line'!$B$2:$B$1501,$B130,'Per Line'!$AH$2:$AH$1501,1,'Per Line'!$AI$2:$AI$1501,0))</f>
        <v/>
      </c>
      <c r="R130" s="7">
        <f>IF($W130="","",Q130*P130)</f>
        <v/>
      </c>
      <c r="S130" s="7">
        <f>IF($W130="","",R130+O130)</f>
        <v/>
      </c>
      <c r="T130" s="7">
        <f>IF($W130="","",U130-S130)</f>
        <v/>
      </c>
      <c r="U130" s="7">
        <f>IF($W130="","",N130+Q130+L130)</f>
        <v/>
      </c>
      <c r="V130" s="7">
        <f>IF($W130="","",U130-S130-J130)</f>
        <v/>
      </c>
      <c r="W130" s="13">
        <f>IF(ROWS($W$2:$W130)&lt;=MAX('Per Line'!$AG$2:$AG$1501),MATCH(ROWS($W$2:$W130),'Per Line'!$AG$2:$AG$1501,0),"")</f>
        <v/>
      </c>
    </row>
    <row r="131">
      <c r="A131" s="12" t="n"/>
      <c r="B131">
        <f>IF($W131="","",INDEX('Per Line'!$B$2:$B$1501,$W131)&amp;"")</f>
        <v/>
      </c>
      <c r="C131">
        <f>IF($W131="","",INDEX('Per Line'!$A$2:$A$1501,$W131))</f>
        <v/>
      </c>
      <c r="D131" s="11">
        <f>IF($W131="","",INDEX('Per Line'!$C$2:$C$1501,$W131))</f>
        <v/>
      </c>
      <c r="E131">
        <f>IF($W131="","",INDEX('Per Line'!$D$2:$D$1501,$W131)&amp;"")</f>
        <v/>
      </c>
      <c r="F131">
        <f>IF($W131="","",INDEX('Per Line'!$F$2:$F$1501,$W131)&amp;"")</f>
        <v/>
      </c>
      <c r="G131">
        <f>IF($W131="","",INDEX('Per Line'!$G$2:$G$1501,$W131)&amp;"")</f>
        <v/>
      </c>
      <c r="H131">
        <f>IF($W131="","",INDEX('Per Line'!$H$2:$H$1501,$W131)&amp;"")</f>
        <v/>
      </c>
      <c r="I131">
        <f>IF($W131="","",INDEX('Per Line'!$I$2:$I$1501,$W131))</f>
        <v/>
      </c>
      <c r="J131" s="7">
        <f>IF($W131="","",I131*U131/100)</f>
        <v/>
      </c>
      <c r="K131">
        <f>IF($W131="","",INDEX('Per Line'!$U$2:$U$1501,$W131)&amp;"")</f>
        <v/>
      </c>
      <c r="L131" s="7">
        <f>IF($W131="","",SUMIFS('Per Line'!$Q$2:$Q$1501,'Per Line'!$B$2:$B$1501,$B131,'Per Line'!$AI$2:$AI$1501,1))</f>
        <v/>
      </c>
      <c r="M131">
        <f>IF($W131="","",Settings!$C$7)</f>
        <v/>
      </c>
      <c r="N131" s="7">
        <f>IF($W131="","",SUMIFS('Per Line'!$Q$2:$Q$1501,'Per Line'!$B$2:$B$1501,$B131,'Per Line'!$AH$2:$AH$1501,0,'Per Line'!$AI$2:$AI$1501,0))</f>
        <v/>
      </c>
      <c r="O131" s="7">
        <f>IF($W131="","",N131*M131)</f>
        <v/>
      </c>
      <c r="P131">
        <f>IF($W131="","",Settings!$C$6)</f>
        <v/>
      </c>
      <c r="Q131" s="7">
        <f>IF($W131="","",SUMIFS('Per Line'!$Q$2:$Q$1501,'Per Line'!$B$2:$B$1501,$B131,'Per Line'!$AH$2:$AH$1501,1,'Per Line'!$AI$2:$AI$1501,0))</f>
        <v/>
      </c>
      <c r="R131" s="7">
        <f>IF($W131="","",Q131*P131)</f>
        <v/>
      </c>
      <c r="S131" s="7">
        <f>IF($W131="","",R131+O131)</f>
        <v/>
      </c>
      <c r="T131" s="7">
        <f>IF($W131="","",U131-S131)</f>
        <v/>
      </c>
      <c r="U131" s="7">
        <f>IF($W131="","",N131+Q131+L131)</f>
        <v/>
      </c>
      <c r="V131" s="7">
        <f>IF($W131="","",U131-S131-J131)</f>
        <v/>
      </c>
      <c r="W131" s="13">
        <f>IF(ROWS($W$2:$W131)&lt;=MAX('Per Line'!$AG$2:$AG$1501),MATCH(ROWS($W$2:$W131),'Per Line'!$AG$2:$AG$1501,0),"")</f>
        <v/>
      </c>
    </row>
    <row r="132">
      <c r="A132" s="12" t="n"/>
      <c r="B132">
        <f>IF($W132="","",INDEX('Per Line'!$B$2:$B$1501,$W132)&amp;"")</f>
        <v/>
      </c>
      <c r="C132">
        <f>IF($W132="","",INDEX('Per Line'!$A$2:$A$1501,$W132))</f>
        <v/>
      </c>
      <c r="D132" s="11">
        <f>IF($W132="","",INDEX('Per Line'!$C$2:$C$1501,$W132))</f>
        <v/>
      </c>
      <c r="E132">
        <f>IF($W132="","",INDEX('Per Line'!$D$2:$D$1501,$W132)&amp;"")</f>
        <v/>
      </c>
      <c r="F132">
        <f>IF($W132="","",INDEX('Per Line'!$F$2:$F$1501,$W132)&amp;"")</f>
        <v/>
      </c>
      <c r="G132">
        <f>IF($W132="","",INDEX('Per Line'!$G$2:$G$1501,$W132)&amp;"")</f>
        <v/>
      </c>
      <c r="H132">
        <f>IF($W132="","",INDEX('Per Line'!$H$2:$H$1501,$W132)&amp;"")</f>
        <v/>
      </c>
      <c r="I132">
        <f>IF($W132="","",INDEX('Per Line'!$I$2:$I$1501,$W132))</f>
        <v/>
      </c>
      <c r="J132" s="7">
        <f>IF($W132="","",I132*U132/100)</f>
        <v/>
      </c>
      <c r="K132">
        <f>IF($W132="","",INDEX('Per Line'!$U$2:$U$1501,$W132)&amp;"")</f>
        <v/>
      </c>
      <c r="L132" s="7">
        <f>IF($W132="","",SUMIFS('Per Line'!$Q$2:$Q$1501,'Per Line'!$B$2:$B$1501,$B132,'Per Line'!$AI$2:$AI$1501,1))</f>
        <v/>
      </c>
      <c r="M132">
        <f>IF($W132="","",Settings!$C$7)</f>
        <v/>
      </c>
      <c r="N132" s="7">
        <f>IF($W132="","",SUMIFS('Per Line'!$Q$2:$Q$1501,'Per Line'!$B$2:$B$1501,$B132,'Per Line'!$AH$2:$AH$1501,0,'Per Line'!$AI$2:$AI$1501,0))</f>
        <v/>
      </c>
      <c r="O132" s="7">
        <f>IF($W132="","",N132*M132)</f>
        <v/>
      </c>
      <c r="P132">
        <f>IF($W132="","",Settings!$C$6)</f>
        <v/>
      </c>
      <c r="Q132" s="7">
        <f>IF($W132="","",SUMIFS('Per Line'!$Q$2:$Q$1501,'Per Line'!$B$2:$B$1501,$B132,'Per Line'!$AH$2:$AH$1501,1,'Per Line'!$AI$2:$AI$1501,0))</f>
        <v/>
      </c>
      <c r="R132" s="7">
        <f>IF($W132="","",Q132*P132)</f>
        <v/>
      </c>
      <c r="S132" s="7">
        <f>IF($W132="","",R132+O132)</f>
        <v/>
      </c>
      <c r="T132" s="7">
        <f>IF($W132="","",U132-S132)</f>
        <v/>
      </c>
      <c r="U132" s="7">
        <f>IF($W132="","",N132+Q132+L132)</f>
        <v/>
      </c>
      <c r="V132" s="7">
        <f>IF($W132="","",U132-S132-J132)</f>
        <v/>
      </c>
      <c r="W132" s="13">
        <f>IF(ROWS($W$2:$W132)&lt;=MAX('Per Line'!$AG$2:$AG$1501),MATCH(ROWS($W$2:$W132),'Per Line'!$AG$2:$AG$1501,0),"")</f>
        <v/>
      </c>
    </row>
    <row r="133">
      <c r="A133" s="12" t="n"/>
      <c r="B133">
        <f>IF($W133="","",INDEX('Per Line'!$B$2:$B$1501,$W133)&amp;"")</f>
        <v/>
      </c>
      <c r="C133">
        <f>IF($W133="","",INDEX('Per Line'!$A$2:$A$1501,$W133))</f>
        <v/>
      </c>
      <c r="D133" s="11">
        <f>IF($W133="","",INDEX('Per Line'!$C$2:$C$1501,$W133))</f>
        <v/>
      </c>
      <c r="E133">
        <f>IF($W133="","",INDEX('Per Line'!$D$2:$D$1501,$W133)&amp;"")</f>
        <v/>
      </c>
      <c r="F133">
        <f>IF($W133="","",INDEX('Per Line'!$F$2:$F$1501,$W133)&amp;"")</f>
        <v/>
      </c>
      <c r="G133">
        <f>IF($W133="","",INDEX('Per Line'!$G$2:$G$1501,$W133)&amp;"")</f>
        <v/>
      </c>
      <c r="H133">
        <f>IF($W133="","",INDEX('Per Line'!$H$2:$H$1501,$W133)&amp;"")</f>
        <v/>
      </c>
      <c r="I133">
        <f>IF($W133="","",INDEX('Per Line'!$I$2:$I$1501,$W133))</f>
        <v/>
      </c>
      <c r="J133" s="7">
        <f>IF($W133="","",I133*U133/100)</f>
        <v/>
      </c>
      <c r="K133">
        <f>IF($W133="","",INDEX('Per Line'!$U$2:$U$1501,$W133)&amp;"")</f>
        <v/>
      </c>
      <c r="L133" s="7">
        <f>IF($W133="","",SUMIFS('Per Line'!$Q$2:$Q$1501,'Per Line'!$B$2:$B$1501,$B133,'Per Line'!$AI$2:$AI$1501,1))</f>
        <v/>
      </c>
      <c r="M133">
        <f>IF($W133="","",Settings!$C$7)</f>
        <v/>
      </c>
      <c r="N133" s="7">
        <f>IF($W133="","",SUMIFS('Per Line'!$Q$2:$Q$1501,'Per Line'!$B$2:$B$1501,$B133,'Per Line'!$AH$2:$AH$1501,0,'Per Line'!$AI$2:$AI$1501,0))</f>
        <v/>
      </c>
      <c r="O133" s="7">
        <f>IF($W133="","",N133*M133)</f>
        <v/>
      </c>
      <c r="P133">
        <f>IF($W133="","",Settings!$C$6)</f>
        <v/>
      </c>
      <c r="Q133" s="7">
        <f>IF($W133="","",SUMIFS('Per Line'!$Q$2:$Q$1501,'Per Line'!$B$2:$B$1501,$B133,'Per Line'!$AH$2:$AH$1501,1,'Per Line'!$AI$2:$AI$1501,0))</f>
        <v/>
      </c>
      <c r="R133" s="7">
        <f>IF($W133="","",Q133*P133)</f>
        <v/>
      </c>
      <c r="S133" s="7">
        <f>IF($W133="","",R133+O133)</f>
        <v/>
      </c>
      <c r="T133" s="7">
        <f>IF($W133="","",U133-S133)</f>
        <v/>
      </c>
      <c r="U133" s="7">
        <f>IF($W133="","",N133+Q133+L133)</f>
        <v/>
      </c>
      <c r="V133" s="7">
        <f>IF($W133="","",U133-S133-J133)</f>
        <v/>
      </c>
      <c r="W133" s="13">
        <f>IF(ROWS($W$2:$W133)&lt;=MAX('Per Line'!$AG$2:$AG$1501),MATCH(ROWS($W$2:$W133),'Per Line'!$AG$2:$AG$1501,0),"")</f>
        <v/>
      </c>
    </row>
    <row r="134">
      <c r="A134" s="12" t="n"/>
      <c r="B134">
        <f>IF($W134="","",INDEX('Per Line'!$B$2:$B$1501,$W134)&amp;"")</f>
        <v/>
      </c>
      <c r="C134">
        <f>IF($W134="","",INDEX('Per Line'!$A$2:$A$1501,$W134))</f>
        <v/>
      </c>
      <c r="D134" s="11">
        <f>IF($W134="","",INDEX('Per Line'!$C$2:$C$1501,$W134))</f>
        <v/>
      </c>
      <c r="E134">
        <f>IF($W134="","",INDEX('Per Line'!$D$2:$D$1501,$W134)&amp;"")</f>
        <v/>
      </c>
      <c r="F134">
        <f>IF($W134="","",INDEX('Per Line'!$F$2:$F$1501,$W134)&amp;"")</f>
        <v/>
      </c>
      <c r="G134">
        <f>IF($W134="","",INDEX('Per Line'!$G$2:$G$1501,$W134)&amp;"")</f>
        <v/>
      </c>
      <c r="H134">
        <f>IF($W134="","",INDEX('Per Line'!$H$2:$H$1501,$W134)&amp;"")</f>
        <v/>
      </c>
      <c r="I134">
        <f>IF($W134="","",INDEX('Per Line'!$I$2:$I$1501,$W134))</f>
        <v/>
      </c>
      <c r="J134" s="7">
        <f>IF($W134="","",I134*U134/100)</f>
        <v/>
      </c>
      <c r="K134">
        <f>IF($W134="","",INDEX('Per Line'!$U$2:$U$1501,$W134)&amp;"")</f>
        <v/>
      </c>
      <c r="L134" s="7">
        <f>IF($W134="","",SUMIFS('Per Line'!$Q$2:$Q$1501,'Per Line'!$B$2:$B$1501,$B134,'Per Line'!$AI$2:$AI$1501,1))</f>
        <v/>
      </c>
      <c r="M134">
        <f>IF($W134="","",Settings!$C$7)</f>
        <v/>
      </c>
      <c r="N134" s="7">
        <f>IF($W134="","",SUMIFS('Per Line'!$Q$2:$Q$1501,'Per Line'!$B$2:$B$1501,$B134,'Per Line'!$AH$2:$AH$1501,0,'Per Line'!$AI$2:$AI$1501,0))</f>
        <v/>
      </c>
      <c r="O134" s="7">
        <f>IF($W134="","",N134*M134)</f>
        <v/>
      </c>
      <c r="P134">
        <f>IF($W134="","",Settings!$C$6)</f>
        <v/>
      </c>
      <c r="Q134" s="7">
        <f>IF($W134="","",SUMIFS('Per Line'!$Q$2:$Q$1501,'Per Line'!$B$2:$B$1501,$B134,'Per Line'!$AH$2:$AH$1501,1,'Per Line'!$AI$2:$AI$1501,0))</f>
        <v/>
      </c>
      <c r="R134" s="7">
        <f>IF($W134="","",Q134*P134)</f>
        <v/>
      </c>
      <c r="S134" s="7">
        <f>IF($W134="","",R134+O134)</f>
        <v/>
      </c>
      <c r="T134" s="7">
        <f>IF($W134="","",U134-S134)</f>
        <v/>
      </c>
      <c r="U134" s="7">
        <f>IF($W134="","",N134+Q134+L134)</f>
        <v/>
      </c>
      <c r="V134" s="7">
        <f>IF($W134="","",U134-S134-J134)</f>
        <v/>
      </c>
      <c r="W134" s="13">
        <f>IF(ROWS($W$2:$W134)&lt;=MAX('Per Line'!$AG$2:$AG$1501),MATCH(ROWS($W$2:$W134),'Per Line'!$AG$2:$AG$1501,0),"")</f>
        <v/>
      </c>
    </row>
    <row r="135">
      <c r="A135" s="12" t="n"/>
      <c r="B135">
        <f>IF($W135="","",INDEX('Per Line'!$B$2:$B$1501,$W135)&amp;"")</f>
        <v/>
      </c>
      <c r="C135">
        <f>IF($W135="","",INDEX('Per Line'!$A$2:$A$1501,$W135))</f>
        <v/>
      </c>
      <c r="D135" s="11">
        <f>IF($W135="","",INDEX('Per Line'!$C$2:$C$1501,$W135))</f>
        <v/>
      </c>
      <c r="E135">
        <f>IF($W135="","",INDEX('Per Line'!$D$2:$D$1501,$W135)&amp;"")</f>
        <v/>
      </c>
      <c r="F135">
        <f>IF($W135="","",INDEX('Per Line'!$F$2:$F$1501,$W135)&amp;"")</f>
        <v/>
      </c>
      <c r="G135">
        <f>IF($W135="","",INDEX('Per Line'!$G$2:$G$1501,$W135)&amp;"")</f>
        <v/>
      </c>
      <c r="H135">
        <f>IF($W135="","",INDEX('Per Line'!$H$2:$H$1501,$W135)&amp;"")</f>
        <v/>
      </c>
      <c r="I135">
        <f>IF($W135="","",INDEX('Per Line'!$I$2:$I$1501,$W135))</f>
        <v/>
      </c>
      <c r="J135" s="7">
        <f>IF($W135="","",I135*U135/100)</f>
        <v/>
      </c>
      <c r="K135">
        <f>IF($W135="","",INDEX('Per Line'!$U$2:$U$1501,$W135)&amp;"")</f>
        <v/>
      </c>
      <c r="L135" s="7">
        <f>IF($W135="","",SUMIFS('Per Line'!$Q$2:$Q$1501,'Per Line'!$B$2:$B$1501,$B135,'Per Line'!$AI$2:$AI$1501,1))</f>
        <v/>
      </c>
      <c r="M135">
        <f>IF($W135="","",Settings!$C$7)</f>
        <v/>
      </c>
      <c r="N135" s="7">
        <f>IF($W135="","",SUMIFS('Per Line'!$Q$2:$Q$1501,'Per Line'!$B$2:$B$1501,$B135,'Per Line'!$AH$2:$AH$1501,0,'Per Line'!$AI$2:$AI$1501,0))</f>
        <v/>
      </c>
      <c r="O135" s="7">
        <f>IF($W135="","",N135*M135)</f>
        <v/>
      </c>
      <c r="P135">
        <f>IF($W135="","",Settings!$C$6)</f>
        <v/>
      </c>
      <c r="Q135" s="7">
        <f>IF($W135="","",SUMIFS('Per Line'!$Q$2:$Q$1501,'Per Line'!$B$2:$B$1501,$B135,'Per Line'!$AH$2:$AH$1501,1,'Per Line'!$AI$2:$AI$1501,0))</f>
        <v/>
      </c>
      <c r="R135" s="7">
        <f>IF($W135="","",Q135*P135)</f>
        <v/>
      </c>
      <c r="S135" s="7">
        <f>IF($W135="","",R135+O135)</f>
        <v/>
      </c>
      <c r="T135" s="7">
        <f>IF($W135="","",U135-S135)</f>
        <v/>
      </c>
      <c r="U135" s="7">
        <f>IF($W135="","",N135+Q135+L135)</f>
        <v/>
      </c>
      <c r="V135" s="7">
        <f>IF($W135="","",U135-S135-J135)</f>
        <v/>
      </c>
      <c r="W135" s="13">
        <f>IF(ROWS($W$2:$W135)&lt;=MAX('Per Line'!$AG$2:$AG$1501),MATCH(ROWS($W$2:$W135),'Per Line'!$AG$2:$AG$1501,0),"")</f>
        <v/>
      </c>
    </row>
    <row r="136">
      <c r="A136" s="12" t="n"/>
      <c r="B136">
        <f>IF($W136="","",INDEX('Per Line'!$B$2:$B$1501,$W136)&amp;"")</f>
        <v/>
      </c>
      <c r="C136">
        <f>IF($W136="","",INDEX('Per Line'!$A$2:$A$1501,$W136))</f>
        <v/>
      </c>
      <c r="D136" s="11">
        <f>IF($W136="","",INDEX('Per Line'!$C$2:$C$1501,$W136))</f>
        <v/>
      </c>
      <c r="E136">
        <f>IF($W136="","",INDEX('Per Line'!$D$2:$D$1501,$W136)&amp;"")</f>
        <v/>
      </c>
      <c r="F136">
        <f>IF($W136="","",INDEX('Per Line'!$F$2:$F$1501,$W136)&amp;"")</f>
        <v/>
      </c>
      <c r="G136">
        <f>IF($W136="","",INDEX('Per Line'!$G$2:$G$1501,$W136)&amp;"")</f>
        <v/>
      </c>
      <c r="H136">
        <f>IF($W136="","",INDEX('Per Line'!$H$2:$H$1501,$W136)&amp;"")</f>
        <v/>
      </c>
      <c r="I136">
        <f>IF($W136="","",INDEX('Per Line'!$I$2:$I$1501,$W136))</f>
        <v/>
      </c>
      <c r="J136" s="7">
        <f>IF($W136="","",I136*U136/100)</f>
        <v/>
      </c>
      <c r="K136">
        <f>IF($W136="","",INDEX('Per Line'!$U$2:$U$1501,$W136)&amp;"")</f>
        <v/>
      </c>
      <c r="L136" s="7">
        <f>IF($W136="","",SUMIFS('Per Line'!$Q$2:$Q$1501,'Per Line'!$B$2:$B$1501,$B136,'Per Line'!$AI$2:$AI$1501,1))</f>
        <v/>
      </c>
      <c r="M136">
        <f>IF($W136="","",Settings!$C$7)</f>
        <v/>
      </c>
      <c r="N136" s="7">
        <f>IF($W136="","",SUMIFS('Per Line'!$Q$2:$Q$1501,'Per Line'!$B$2:$B$1501,$B136,'Per Line'!$AH$2:$AH$1501,0,'Per Line'!$AI$2:$AI$1501,0))</f>
        <v/>
      </c>
      <c r="O136" s="7">
        <f>IF($W136="","",N136*M136)</f>
        <v/>
      </c>
      <c r="P136">
        <f>IF($W136="","",Settings!$C$6)</f>
        <v/>
      </c>
      <c r="Q136" s="7">
        <f>IF($W136="","",SUMIFS('Per Line'!$Q$2:$Q$1501,'Per Line'!$B$2:$B$1501,$B136,'Per Line'!$AH$2:$AH$1501,1,'Per Line'!$AI$2:$AI$1501,0))</f>
        <v/>
      </c>
      <c r="R136" s="7">
        <f>IF($W136="","",Q136*P136)</f>
        <v/>
      </c>
      <c r="S136" s="7">
        <f>IF($W136="","",R136+O136)</f>
        <v/>
      </c>
      <c r="T136" s="7">
        <f>IF($W136="","",U136-S136)</f>
        <v/>
      </c>
      <c r="U136" s="7">
        <f>IF($W136="","",N136+Q136+L136)</f>
        <v/>
      </c>
      <c r="V136" s="7">
        <f>IF($W136="","",U136-S136-J136)</f>
        <v/>
      </c>
      <c r="W136" s="13">
        <f>IF(ROWS($W$2:$W136)&lt;=MAX('Per Line'!$AG$2:$AG$1501),MATCH(ROWS($W$2:$W136),'Per Line'!$AG$2:$AG$1501,0),"")</f>
        <v/>
      </c>
    </row>
    <row r="137">
      <c r="A137" s="12" t="n"/>
      <c r="B137">
        <f>IF($W137="","",INDEX('Per Line'!$B$2:$B$1501,$W137)&amp;"")</f>
        <v/>
      </c>
      <c r="C137">
        <f>IF($W137="","",INDEX('Per Line'!$A$2:$A$1501,$W137))</f>
        <v/>
      </c>
      <c r="D137" s="11">
        <f>IF($W137="","",INDEX('Per Line'!$C$2:$C$1501,$W137))</f>
        <v/>
      </c>
      <c r="E137">
        <f>IF($W137="","",INDEX('Per Line'!$D$2:$D$1501,$W137)&amp;"")</f>
        <v/>
      </c>
      <c r="F137">
        <f>IF($W137="","",INDEX('Per Line'!$F$2:$F$1501,$W137)&amp;"")</f>
        <v/>
      </c>
      <c r="G137">
        <f>IF($W137="","",INDEX('Per Line'!$G$2:$G$1501,$W137)&amp;"")</f>
        <v/>
      </c>
      <c r="H137">
        <f>IF($W137="","",INDEX('Per Line'!$H$2:$H$1501,$W137)&amp;"")</f>
        <v/>
      </c>
      <c r="I137">
        <f>IF($W137="","",INDEX('Per Line'!$I$2:$I$1501,$W137))</f>
        <v/>
      </c>
      <c r="J137" s="7">
        <f>IF($W137="","",I137*U137/100)</f>
        <v/>
      </c>
      <c r="K137">
        <f>IF($W137="","",INDEX('Per Line'!$U$2:$U$1501,$W137)&amp;"")</f>
        <v/>
      </c>
      <c r="L137" s="7">
        <f>IF($W137="","",SUMIFS('Per Line'!$Q$2:$Q$1501,'Per Line'!$B$2:$B$1501,$B137,'Per Line'!$AI$2:$AI$1501,1))</f>
        <v/>
      </c>
      <c r="M137">
        <f>IF($W137="","",Settings!$C$7)</f>
        <v/>
      </c>
      <c r="N137" s="7">
        <f>IF($W137="","",SUMIFS('Per Line'!$Q$2:$Q$1501,'Per Line'!$B$2:$B$1501,$B137,'Per Line'!$AH$2:$AH$1501,0,'Per Line'!$AI$2:$AI$1501,0))</f>
        <v/>
      </c>
      <c r="O137" s="7">
        <f>IF($W137="","",N137*M137)</f>
        <v/>
      </c>
      <c r="P137">
        <f>IF($W137="","",Settings!$C$6)</f>
        <v/>
      </c>
      <c r="Q137" s="7">
        <f>IF($W137="","",SUMIFS('Per Line'!$Q$2:$Q$1501,'Per Line'!$B$2:$B$1501,$B137,'Per Line'!$AH$2:$AH$1501,1,'Per Line'!$AI$2:$AI$1501,0))</f>
        <v/>
      </c>
      <c r="R137" s="7">
        <f>IF($W137="","",Q137*P137)</f>
        <v/>
      </c>
      <c r="S137" s="7">
        <f>IF($W137="","",R137+O137)</f>
        <v/>
      </c>
      <c r="T137" s="7">
        <f>IF($W137="","",U137-S137)</f>
        <v/>
      </c>
      <c r="U137" s="7">
        <f>IF($W137="","",N137+Q137+L137)</f>
        <v/>
      </c>
      <c r="V137" s="7">
        <f>IF($W137="","",U137-S137-J137)</f>
        <v/>
      </c>
      <c r="W137" s="13">
        <f>IF(ROWS($W$2:$W137)&lt;=MAX('Per Line'!$AG$2:$AG$1501),MATCH(ROWS($W$2:$W137),'Per Line'!$AG$2:$AG$1501,0),"")</f>
        <v/>
      </c>
    </row>
    <row r="138">
      <c r="A138" s="12" t="n"/>
      <c r="B138">
        <f>IF($W138="","",INDEX('Per Line'!$B$2:$B$1501,$W138)&amp;"")</f>
        <v/>
      </c>
      <c r="C138">
        <f>IF($W138="","",INDEX('Per Line'!$A$2:$A$1501,$W138))</f>
        <v/>
      </c>
      <c r="D138" s="11">
        <f>IF($W138="","",INDEX('Per Line'!$C$2:$C$1501,$W138))</f>
        <v/>
      </c>
      <c r="E138">
        <f>IF($W138="","",INDEX('Per Line'!$D$2:$D$1501,$W138)&amp;"")</f>
        <v/>
      </c>
      <c r="F138">
        <f>IF($W138="","",INDEX('Per Line'!$F$2:$F$1501,$W138)&amp;"")</f>
        <v/>
      </c>
      <c r="G138">
        <f>IF($W138="","",INDEX('Per Line'!$G$2:$G$1501,$W138)&amp;"")</f>
        <v/>
      </c>
      <c r="H138">
        <f>IF($W138="","",INDEX('Per Line'!$H$2:$H$1501,$W138)&amp;"")</f>
        <v/>
      </c>
      <c r="I138">
        <f>IF($W138="","",INDEX('Per Line'!$I$2:$I$1501,$W138))</f>
        <v/>
      </c>
      <c r="J138" s="7">
        <f>IF($W138="","",I138*U138/100)</f>
        <v/>
      </c>
      <c r="K138">
        <f>IF($W138="","",INDEX('Per Line'!$U$2:$U$1501,$W138)&amp;"")</f>
        <v/>
      </c>
      <c r="L138" s="7">
        <f>IF($W138="","",SUMIFS('Per Line'!$Q$2:$Q$1501,'Per Line'!$B$2:$B$1501,$B138,'Per Line'!$AI$2:$AI$1501,1))</f>
        <v/>
      </c>
      <c r="M138">
        <f>IF($W138="","",Settings!$C$7)</f>
        <v/>
      </c>
      <c r="N138" s="7">
        <f>IF($W138="","",SUMIFS('Per Line'!$Q$2:$Q$1501,'Per Line'!$B$2:$B$1501,$B138,'Per Line'!$AH$2:$AH$1501,0,'Per Line'!$AI$2:$AI$1501,0))</f>
        <v/>
      </c>
      <c r="O138" s="7">
        <f>IF($W138="","",N138*M138)</f>
        <v/>
      </c>
      <c r="P138">
        <f>IF($W138="","",Settings!$C$6)</f>
        <v/>
      </c>
      <c r="Q138" s="7">
        <f>IF($W138="","",SUMIFS('Per Line'!$Q$2:$Q$1501,'Per Line'!$B$2:$B$1501,$B138,'Per Line'!$AH$2:$AH$1501,1,'Per Line'!$AI$2:$AI$1501,0))</f>
        <v/>
      </c>
      <c r="R138" s="7">
        <f>IF($W138="","",Q138*P138)</f>
        <v/>
      </c>
      <c r="S138" s="7">
        <f>IF($W138="","",R138+O138)</f>
        <v/>
      </c>
      <c r="T138" s="7">
        <f>IF($W138="","",U138-S138)</f>
        <v/>
      </c>
      <c r="U138" s="7">
        <f>IF($W138="","",N138+Q138+L138)</f>
        <v/>
      </c>
      <c r="V138" s="7">
        <f>IF($W138="","",U138-S138-J138)</f>
        <v/>
      </c>
      <c r="W138" s="13">
        <f>IF(ROWS($W$2:$W138)&lt;=MAX('Per Line'!$AG$2:$AG$1501),MATCH(ROWS($W$2:$W138),'Per Line'!$AG$2:$AG$1501,0),"")</f>
        <v/>
      </c>
    </row>
    <row r="139">
      <c r="A139" s="12" t="n"/>
      <c r="B139">
        <f>IF($W139="","",INDEX('Per Line'!$B$2:$B$1501,$W139)&amp;"")</f>
        <v/>
      </c>
      <c r="C139">
        <f>IF($W139="","",INDEX('Per Line'!$A$2:$A$1501,$W139))</f>
        <v/>
      </c>
      <c r="D139" s="11">
        <f>IF($W139="","",INDEX('Per Line'!$C$2:$C$1501,$W139))</f>
        <v/>
      </c>
      <c r="E139">
        <f>IF($W139="","",INDEX('Per Line'!$D$2:$D$1501,$W139)&amp;"")</f>
        <v/>
      </c>
      <c r="F139">
        <f>IF($W139="","",INDEX('Per Line'!$F$2:$F$1501,$W139)&amp;"")</f>
        <v/>
      </c>
      <c r="G139">
        <f>IF($W139="","",INDEX('Per Line'!$G$2:$G$1501,$W139)&amp;"")</f>
        <v/>
      </c>
      <c r="H139">
        <f>IF($W139="","",INDEX('Per Line'!$H$2:$H$1501,$W139)&amp;"")</f>
        <v/>
      </c>
      <c r="I139">
        <f>IF($W139="","",INDEX('Per Line'!$I$2:$I$1501,$W139))</f>
        <v/>
      </c>
      <c r="J139" s="7">
        <f>IF($W139="","",I139*U139/100)</f>
        <v/>
      </c>
      <c r="K139">
        <f>IF($W139="","",INDEX('Per Line'!$U$2:$U$1501,$W139)&amp;"")</f>
        <v/>
      </c>
      <c r="L139" s="7">
        <f>IF($W139="","",SUMIFS('Per Line'!$Q$2:$Q$1501,'Per Line'!$B$2:$B$1501,$B139,'Per Line'!$AI$2:$AI$1501,1))</f>
        <v/>
      </c>
      <c r="M139">
        <f>IF($W139="","",Settings!$C$7)</f>
        <v/>
      </c>
      <c r="N139" s="7">
        <f>IF($W139="","",SUMIFS('Per Line'!$Q$2:$Q$1501,'Per Line'!$B$2:$B$1501,$B139,'Per Line'!$AH$2:$AH$1501,0,'Per Line'!$AI$2:$AI$1501,0))</f>
        <v/>
      </c>
      <c r="O139" s="7">
        <f>IF($W139="","",N139*M139)</f>
        <v/>
      </c>
      <c r="P139">
        <f>IF($W139="","",Settings!$C$6)</f>
        <v/>
      </c>
      <c r="Q139" s="7">
        <f>IF($W139="","",SUMIFS('Per Line'!$Q$2:$Q$1501,'Per Line'!$B$2:$B$1501,$B139,'Per Line'!$AH$2:$AH$1501,1,'Per Line'!$AI$2:$AI$1501,0))</f>
        <v/>
      </c>
      <c r="R139" s="7">
        <f>IF($W139="","",Q139*P139)</f>
        <v/>
      </c>
      <c r="S139" s="7">
        <f>IF($W139="","",R139+O139)</f>
        <v/>
      </c>
      <c r="T139" s="7">
        <f>IF($W139="","",U139-S139)</f>
        <v/>
      </c>
      <c r="U139" s="7">
        <f>IF($W139="","",N139+Q139+L139)</f>
        <v/>
      </c>
      <c r="V139" s="7">
        <f>IF($W139="","",U139-S139-J139)</f>
        <v/>
      </c>
      <c r="W139" s="13">
        <f>IF(ROWS($W$2:$W139)&lt;=MAX('Per Line'!$AG$2:$AG$1501),MATCH(ROWS($W$2:$W139),'Per Line'!$AG$2:$AG$1501,0),"")</f>
        <v/>
      </c>
    </row>
    <row r="140">
      <c r="A140" s="12" t="n"/>
      <c r="B140">
        <f>IF($W140="","",INDEX('Per Line'!$B$2:$B$1501,$W140)&amp;"")</f>
        <v/>
      </c>
      <c r="C140">
        <f>IF($W140="","",INDEX('Per Line'!$A$2:$A$1501,$W140))</f>
        <v/>
      </c>
      <c r="D140" s="11">
        <f>IF($W140="","",INDEX('Per Line'!$C$2:$C$1501,$W140))</f>
        <v/>
      </c>
      <c r="E140">
        <f>IF($W140="","",INDEX('Per Line'!$D$2:$D$1501,$W140)&amp;"")</f>
        <v/>
      </c>
      <c r="F140">
        <f>IF($W140="","",INDEX('Per Line'!$F$2:$F$1501,$W140)&amp;"")</f>
        <v/>
      </c>
      <c r="G140">
        <f>IF($W140="","",INDEX('Per Line'!$G$2:$G$1501,$W140)&amp;"")</f>
        <v/>
      </c>
      <c r="H140">
        <f>IF($W140="","",INDEX('Per Line'!$H$2:$H$1501,$W140)&amp;"")</f>
        <v/>
      </c>
      <c r="I140">
        <f>IF($W140="","",INDEX('Per Line'!$I$2:$I$1501,$W140))</f>
        <v/>
      </c>
      <c r="J140" s="7">
        <f>IF($W140="","",I140*U140/100)</f>
        <v/>
      </c>
      <c r="K140">
        <f>IF($W140="","",INDEX('Per Line'!$U$2:$U$1501,$W140)&amp;"")</f>
        <v/>
      </c>
      <c r="L140" s="7">
        <f>IF($W140="","",SUMIFS('Per Line'!$Q$2:$Q$1501,'Per Line'!$B$2:$B$1501,$B140,'Per Line'!$AI$2:$AI$1501,1))</f>
        <v/>
      </c>
      <c r="M140">
        <f>IF($W140="","",Settings!$C$7)</f>
        <v/>
      </c>
      <c r="N140" s="7">
        <f>IF($W140="","",SUMIFS('Per Line'!$Q$2:$Q$1501,'Per Line'!$B$2:$B$1501,$B140,'Per Line'!$AH$2:$AH$1501,0,'Per Line'!$AI$2:$AI$1501,0))</f>
        <v/>
      </c>
      <c r="O140" s="7">
        <f>IF($W140="","",N140*M140)</f>
        <v/>
      </c>
      <c r="P140">
        <f>IF($W140="","",Settings!$C$6)</f>
        <v/>
      </c>
      <c r="Q140" s="7">
        <f>IF($W140="","",SUMIFS('Per Line'!$Q$2:$Q$1501,'Per Line'!$B$2:$B$1501,$B140,'Per Line'!$AH$2:$AH$1501,1,'Per Line'!$AI$2:$AI$1501,0))</f>
        <v/>
      </c>
      <c r="R140" s="7">
        <f>IF($W140="","",Q140*P140)</f>
        <v/>
      </c>
      <c r="S140" s="7">
        <f>IF($W140="","",R140+O140)</f>
        <v/>
      </c>
      <c r="T140" s="7">
        <f>IF($W140="","",U140-S140)</f>
        <v/>
      </c>
      <c r="U140" s="7">
        <f>IF($W140="","",N140+Q140+L140)</f>
        <v/>
      </c>
      <c r="V140" s="7">
        <f>IF($W140="","",U140-S140-J140)</f>
        <v/>
      </c>
      <c r="W140" s="13">
        <f>IF(ROWS($W$2:$W140)&lt;=MAX('Per Line'!$AG$2:$AG$1501),MATCH(ROWS($W$2:$W140),'Per Line'!$AG$2:$AG$1501,0),"")</f>
        <v/>
      </c>
    </row>
    <row r="141">
      <c r="A141" s="12" t="n"/>
      <c r="B141">
        <f>IF($W141="","",INDEX('Per Line'!$B$2:$B$1501,$W141)&amp;"")</f>
        <v/>
      </c>
      <c r="C141">
        <f>IF($W141="","",INDEX('Per Line'!$A$2:$A$1501,$W141))</f>
        <v/>
      </c>
      <c r="D141" s="11">
        <f>IF($W141="","",INDEX('Per Line'!$C$2:$C$1501,$W141))</f>
        <v/>
      </c>
      <c r="E141">
        <f>IF($W141="","",INDEX('Per Line'!$D$2:$D$1501,$W141)&amp;"")</f>
        <v/>
      </c>
      <c r="F141">
        <f>IF($W141="","",INDEX('Per Line'!$F$2:$F$1501,$W141)&amp;"")</f>
        <v/>
      </c>
      <c r="G141">
        <f>IF($W141="","",INDEX('Per Line'!$G$2:$G$1501,$W141)&amp;"")</f>
        <v/>
      </c>
      <c r="H141">
        <f>IF($W141="","",INDEX('Per Line'!$H$2:$H$1501,$W141)&amp;"")</f>
        <v/>
      </c>
      <c r="I141">
        <f>IF($W141="","",INDEX('Per Line'!$I$2:$I$1501,$W141))</f>
        <v/>
      </c>
      <c r="J141" s="7">
        <f>IF($W141="","",I141*U141/100)</f>
        <v/>
      </c>
      <c r="K141">
        <f>IF($W141="","",INDEX('Per Line'!$U$2:$U$1501,$W141)&amp;"")</f>
        <v/>
      </c>
      <c r="L141" s="7">
        <f>IF($W141="","",SUMIFS('Per Line'!$Q$2:$Q$1501,'Per Line'!$B$2:$B$1501,$B141,'Per Line'!$AI$2:$AI$1501,1))</f>
        <v/>
      </c>
      <c r="M141">
        <f>IF($W141="","",Settings!$C$7)</f>
        <v/>
      </c>
      <c r="N141" s="7">
        <f>IF($W141="","",SUMIFS('Per Line'!$Q$2:$Q$1501,'Per Line'!$B$2:$B$1501,$B141,'Per Line'!$AH$2:$AH$1501,0,'Per Line'!$AI$2:$AI$1501,0))</f>
        <v/>
      </c>
      <c r="O141" s="7">
        <f>IF($W141="","",N141*M141)</f>
        <v/>
      </c>
      <c r="P141">
        <f>IF($W141="","",Settings!$C$6)</f>
        <v/>
      </c>
      <c r="Q141" s="7">
        <f>IF($W141="","",SUMIFS('Per Line'!$Q$2:$Q$1501,'Per Line'!$B$2:$B$1501,$B141,'Per Line'!$AH$2:$AH$1501,1,'Per Line'!$AI$2:$AI$1501,0))</f>
        <v/>
      </c>
      <c r="R141" s="7">
        <f>IF($W141="","",Q141*P141)</f>
        <v/>
      </c>
      <c r="S141" s="7">
        <f>IF($W141="","",R141+O141)</f>
        <v/>
      </c>
      <c r="T141" s="7">
        <f>IF($W141="","",U141-S141)</f>
        <v/>
      </c>
      <c r="U141" s="7">
        <f>IF($W141="","",N141+Q141+L141)</f>
        <v/>
      </c>
      <c r="V141" s="7">
        <f>IF($W141="","",U141-S141-J141)</f>
        <v/>
      </c>
      <c r="W141" s="13">
        <f>IF(ROWS($W$2:$W141)&lt;=MAX('Per Line'!$AG$2:$AG$1501),MATCH(ROWS($W$2:$W141),'Per Line'!$AG$2:$AG$1501,0),"")</f>
        <v/>
      </c>
    </row>
    <row r="142">
      <c r="A142" s="12" t="n"/>
      <c r="B142">
        <f>IF($W142="","",INDEX('Per Line'!$B$2:$B$1501,$W142)&amp;"")</f>
        <v/>
      </c>
      <c r="C142">
        <f>IF($W142="","",INDEX('Per Line'!$A$2:$A$1501,$W142))</f>
        <v/>
      </c>
      <c r="D142" s="11">
        <f>IF($W142="","",INDEX('Per Line'!$C$2:$C$1501,$W142))</f>
        <v/>
      </c>
      <c r="E142">
        <f>IF($W142="","",INDEX('Per Line'!$D$2:$D$1501,$W142)&amp;"")</f>
        <v/>
      </c>
      <c r="F142">
        <f>IF($W142="","",INDEX('Per Line'!$F$2:$F$1501,$W142)&amp;"")</f>
        <v/>
      </c>
      <c r="G142">
        <f>IF($W142="","",INDEX('Per Line'!$G$2:$G$1501,$W142)&amp;"")</f>
        <v/>
      </c>
      <c r="H142">
        <f>IF($W142="","",INDEX('Per Line'!$H$2:$H$1501,$W142)&amp;"")</f>
        <v/>
      </c>
      <c r="I142">
        <f>IF($W142="","",INDEX('Per Line'!$I$2:$I$1501,$W142))</f>
        <v/>
      </c>
      <c r="J142" s="7">
        <f>IF($W142="","",I142*U142/100)</f>
        <v/>
      </c>
      <c r="K142">
        <f>IF($W142="","",INDEX('Per Line'!$U$2:$U$1501,$W142)&amp;"")</f>
        <v/>
      </c>
      <c r="L142" s="7">
        <f>IF($W142="","",SUMIFS('Per Line'!$Q$2:$Q$1501,'Per Line'!$B$2:$B$1501,$B142,'Per Line'!$AI$2:$AI$1501,1))</f>
        <v/>
      </c>
      <c r="M142">
        <f>IF($W142="","",Settings!$C$7)</f>
        <v/>
      </c>
      <c r="N142" s="7">
        <f>IF($W142="","",SUMIFS('Per Line'!$Q$2:$Q$1501,'Per Line'!$B$2:$B$1501,$B142,'Per Line'!$AH$2:$AH$1501,0,'Per Line'!$AI$2:$AI$1501,0))</f>
        <v/>
      </c>
      <c r="O142" s="7">
        <f>IF($W142="","",N142*M142)</f>
        <v/>
      </c>
      <c r="P142">
        <f>IF($W142="","",Settings!$C$6)</f>
        <v/>
      </c>
      <c r="Q142" s="7">
        <f>IF($W142="","",SUMIFS('Per Line'!$Q$2:$Q$1501,'Per Line'!$B$2:$B$1501,$B142,'Per Line'!$AH$2:$AH$1501,1,'Per Line'!$AI$2:$AI$1501,0))</f>
        <v/>
      </c>
      <c r="R142" s="7">
        <f>IF($W142="","",Q142*P142)</f>
        <v/>
      </c>
      <c r="S142" s="7">
        <f>IF($W142="","",R142+O142)</f>
        <v/>
      </c>
      <c r="T142" s="7">
        <f>IF($W142="","",U142-S142)</f>
        <v/>
      </c>
      <c r="U142" s="7">
        <f>IF($W142="","",N142+Q142+L142)</f>
        <v/>
      </c>
      <c r="V142" s="7">
        <f>IF($W142="","",U142-S142-J142)</f>
        <v/>
      </c>
      <c r="W142" s="13">
        <f>IF(ROWS($W$2:$W142)&lt;=MAX('Per Line'!$AG$2:$AG$1501),MATCH(ROWS($W$2:$W142),'Per Line'!$AG$2:$AG$1501,0),"")</f>
        <v/>
      </c>
    </row>
    <row r="143">
      <c r="A143" s="12" t="n"/>
      <c r="B143">
        <f>IF($W143="","",INDEX('Per Line'!$B$2:$B$1501,$W143)&amp;"")</f>
        <v/>
      </c>
      <c r="C143">
        <f>IF($W143="","",INDEX('Per Line'!$A$2:$A$1501,$W143))</f>
        <v/>
      </c>
      <c r="D143" s="11">
        <f>IF($W143="","",INDEX('Per Line'!$C$2:$C$1501,$W143))</f>
        <v/>
      </c>
      <c r="E143">
        <f>IF($W143="","",INDEX('Per Line'!$D$2:$D$1501,$W143)&amp;"")</f>
        <v/>
      </c>
      <c r="F143">
        <f>IF($W143="","",INDEX('Per Line'!$F$2:$F$1501,$W143)&amp;"")</f>
        <v/>
      </c>
      <c r="G143">
        <f>IF($W143="","",INDEX('Per Line'!$G$2:$G$1501,$W143)&amp;"")</f>
        <v/>
      </c>
      <c r="H143">
        <f>IF($W143="","",INDEX('Per Line'!$H$2:$H$1501,$W143)&amp;"")</f>
        <v/>
      </c>
      <c r="I143">
        <f>IF($W143="","",INDEX('Per Line'!$I$2:$I$1501,$W143))</f>
        <v/>
      </c>
      <c r="J143" s="7">
        <f>IF($W143="","",I143*U143/100)</f>
        <v/>
      </c>
      <c r="K143">
        <f>IF($W143="","",INDEX('Per Line'!$U$2:$U$1501,$W143)&amp;"")</f>
        <v/>
      </c>
      <c r="L143" s="7">
        <f>IF($W143="","",SUMIFS('Per Line'!$Q$2:$Q$1501,'Per Line'!$B$2:$B$1501,$B143,'Per Line'!$AI$2:$AI$1501,1))</f>
        <v/>
      </c>
      <c r="M143">
        <f>IF($W143="","",Settings!$C$7)</f>
        <v/>
      </c>
      <c r="N143" s="7">
        <f>IF($W143="","",SUMIFS('Per Line'!$Q$2:$Q$1501,'Per Line'!$B$2:$B$1501,$B143,'Per Line'!$AH$2:$AH$1501,0,'Per Line'!$AI$2:$AI$1501,0))</f>
        <v/>
      </c>
      <c r="O143" s="7">
        <f>IF($W143="","",N143*M143)</f>
        <v/>
      </c>
      <c r="P143">
        <f>IF($W143="","",Settings!$C$6)</f>
        <v/>
      </c>
      <c r="Q143" s="7">
        <f>IF($W143="","",SUMIFS('Per Line'!$Q$2:$Q$1501,'Per Line'!$B$2:$B$1501,$B143,'Per Line'!$AH$2:$AH$1501,1,'Per Line'!$AI$2:$AI$1501,0))</f>
        <v/>
      </c>
      <c r="R143" s="7">
        <f>IF($W143="","",Q143*P143)</f>
        <v/>
      </c>
      <c r="S143" s="7">
        <f>IF($W143="","",R143+O143)</f>
        <v/>
      </c>
      <c r="T143" s="7">
        <f>IF($W143="","",U143-S143)</f>
        <v/>
      </c>
      <c r="U143" s="7">
        <f>IF($W143="","",N143+Q143+L143)</f>
        <v/>
      </c>
      <c r="V143" s="7">
        <f>IF($W143="","",U143-S143-J143)</f>
        <v/>
      </c>
      <c r="W143" s="13">
        <f>IF(ROWS($W$2:$W143)&lt;=MAX('Per Line'!$AG$2:$AG$1501),MATCH(ROWS($W$2:$W143),'Per Line'!$AG$2:$AG$1501,0),"")</f>
        <v/>
      </c>
    </row>
    <row r="144">
      <c r="A144" s="12" t="n"/>
      <c r="B144">
        <f>IF($W144="","",INDEX('Per Line'!$B$2:$B$1501,$W144)&amp;"")</f>
        <v/>
      </c>
      <c r="C144">
        <f>IF($W144="","",INDEX('Per Line'!$A$2:$A$1501,$W144))</f>
        <v/>
      </c>
      <c r="D144" s="11">
        <f>IF($W144="","",INDEX('Per Line'!$C$2:$C$1501,$W144))</f>
        <v/>
      </c>
      <c r="E144">
        <f>IF($W144="","",INDEX('Per Line'!$D$2:$D$1501,$W144)&amp;"")</f>
        <v/>
      </c>
      <c r="F144">
        <f>IF($W144="","",INDEX('Per Line'!$F$2:$F$1501,$W144)&amp;"")</f>
        <v/>
      </c>
      <c r="G144">
        <f>IF($W144="","",INDEX('Per Line'!$G$2:$G$1501,$W144)&amp;"")</f>
        <v/>
      </c>
      <c r="H144">
        <f>IF($W144="","",INDEX('Per Line'!$H$2:$H$1501,$W144)&amp;"")</f>
        <v/>
      </c>
      <c r="I144">
        <f>IF($W144="","",INDEX('Per Line'!$I$2:$I$1501,$W144))</f>
        <v/>
      </c>
      <c r="J144" s="7">
        <f>IF($W144="","",I144*U144/100)</f>
        <v/>
      </c>
      <c r="K144">
        <f>IF($W144="","",INDEX('Per Line'!$U$2:$U$1501,$W144)&amp;"")</f>
        <v/>
      </c>
      <c r="L144" s="7">
        <f>IF($W144="","",SUMIFS('Per Line'!$Q$2:$Q$1501,'Per Line'!$B$2:$B$1501,$B144,'Per Line'!$AI$2:$AI$1501,1))</f>
        <v/>
      </c>
      <c r="M144">
        <f>IF($W144="","",Settings!$C$7)</f>
        <v/>
      </c>
      <c r="N144" s="7">
        <f>IF($W144="","",SUMIFS('Per Line'!$Q$2:$Q$1501,'Per Line'!$B$2:$B$1501,$B144,'Per Line'!$AH$2:$AH$1501,0,'Per Line'!$AI$2:$AI$1501,0))</f>
        <v/>
      </c>
      <c r="O144" s="7">
        <f>IF($W144="","",N144*M144)</f>
        <v/>
      </c>
      <c r="P144">
        <f>IF($W144="","",Settings!$C$6)</f>
        <v/>
      </c>
      <c r="Q144" s="7">
        <f>IF($W144="","",SUMIFS('Per Line'!$Q$2:$Q$1501,'Per Line'!$B$2:$B$1501,$B144,'Per Line'!$AH$2:$AH$1501,1,'Per Line'!$AI$2:$AI$1501,0))</f>
        <v/>
      </c>
      <c r="R144" s="7">
        <f>IF($W144="","",Q144*P144)</f>
        <v/>
      </c>
      <c r="S144" s="7">
        <f>IF($W144="","",R144+O144)</f>
        <v/>
      </c>
      <c r="T144" s="7">
        <f>IF($W144="","",U144-S144)</f>
        <v/>
      </c>
      <c r="U144" s="7">
        <f>IF($W144="","",N144+Q144+L144)</f>
        <v/>
      </c>
      <c r="V144" s="7">
        <f>IF($W144="","",U144-S144-J144)</f>
        <v/>
      </c>
      <c r="W144" s="13">
        <f>IF(ROWS($W$2:$W144)&lt;=MAX('Per Line'!$AG$2:$AG$1501),MATCH(ROWS($W$2:$W144),'Per Line'!$AG$2:$AG$1501,0),"")</f>
        <v/>
      </c>
    </row>
    <row r="145">
      <c r="A145" s="12" t="n"/>
      <c r="B145">
        <f>IF($W145="","",INDEX('Per Line'!$B$2:$B$1501,$W145)&amp;"")</f>
        <v/>
      </c>
      <c r="C145">
        <f>IF($W145="","",INDEX('Per Line'!$A$2:$A$1501,$W145))</f>
        <v/>
      </c>
      <c r="D145" s="11">
        <f>IF($W145="","",INDEX('Per Line'!$C$2:$C$1501,$W145))</f>
        <v/>
      </c>
      <c r="E145">
        <f>IF($W145="","",INDEX('Per Line'!$D$2:$D$1501,$W145)&amp;"")</f>
        <v/>
      </c>
      <c r="F145">
        <f>IF($W145="","",INDEX('Per Line'!$F$2:$F$1501,$W145)&amp;"")</f>
        <v/>
      </c>
      <c r="G145">
        <f>IF($W145="","",INDEX('Per Line'!$G$2:$G$1501,$W145)&amp;"")</f>
        <v/>
      </c>
      <c r="H145">
        <f>IF($W145="","",INDEX('Per Line'!$H$2:$H$1501,$W145)&amp;"")</f>
        <v/>
      </c>
      <c r="I145">
        <f>IF($W145="","",INDEX('Per Line'!$I$2:$I$1501,$W145))</f>
        <v/>
      </c>
      <c r="J145" s="7">
        <f>IF($W145="","",I145*U145/100)</f>
        <v/>
      </c>
      <c r="K145">
        <f>IF($W145="","",INDEX('Per Line'!$U$2:$U$1501,$W145)&amp;"")</f>
        <v/>
      </c>
      <c r="L145" s="7">
        <f>IF($W145="","",SUMIFS('Per Line'!$Q$2:$Q$1501,'Per Line'!$B$2:$B$1501,$B145,'Per Line'!$AI$2:$AI$1501,1))</f>
        <v/>
      </c>
      <c r="M145">
        <f>IF($W145="","",Settings!$C$7)</f>
        <v/>
      </c>
      <c r="N145" s="7">
        <f>IF($W145="","",SUMIFS('Per Line'!$Q$2:$Q$1501,'Per Line'!$B$2:$B$1501,$B145,'Per Line'!$AH$2:$AH$1501,0,'Per Line'!$AI$2:$AI$1501,0))</f>
        <v/>
      </c>
      <c r="O145" s="7">
        <f>IF($W145="","",N145*M145)</f>
        <v/>
      </c>
      <c r="P145">
        <f>IF($W145="","",Settings!$C$6)</f>
        <v/>
      </c>
      <c r="Q145" s="7">
        <f>IF($W145="","",SUMIFS('Per Line'!$Q$2:$Q$1501,'Per Line'!$B$2:$B$1501,$B145,'Per Line'!$AH$2:$AH$1501,1,'Per Line'!$AI$2:$AI$1501,0))</f>
        <v/>
      </c>
      <c r="R145" s="7">
        <f>IF($W145="","",Q145*P145)</f>
        <v/>
      </c>
      <c r="S145" s="7">
        <f>IF($W145="","",R145+O145)</f>
        <v/>
      </c>
      <c r="T145" s="7">
        <f>IF($W145="","",U145-S145)</f>
        <v/>
      </c>
      <c r="U145" s="7">
        <f>IF($W145="","",N145+Q145+L145)</f>
        <v/>
      </c>
      <c r="V145" s="7">
        <f>IF($W145="","",U145-S145-J145)</f>
        <v/>
      </c>
      <c r="W145" s="13">
        <f>IF(ROWS($W$2:$W145)&lt;=MAX('Per Line'!$AG$2:$AG$1501),MATCH(ROWS($W$2:$W145),'Per Line'!$AG$2:$AG$1501,0),"")</f>
        <v/>
      </c>
    </row>
    <row r="146">
      <c r="A146" s="12" t="n"/>
      <c r="B146">
        <f>IF($W146="","",INDEX('Per Line'!$B$2:$B$1501,$W146)&amp;"")</f>
        <v/>
      </c>
      <c r="C146">
        <f>IF($W146="","",INDEX('Per Line'!$A$2:$A$1501,$W146))</f>
        <v/>
      </c>
      <c r="D146" s="11">
        <f>IF($W146="","",INDEX('Per Line'!$C$2:$C$1501,$W146))</f>
        <v/>
      </c>
      <c r="E146">
        <f>IF($W146="","",INDEX('Per Line'!$D$2:$D$1501,$W146)&amp;"")</f>
        <v/>
      </c>
      <c r="F146">
        <f>IF($W146="","",INDEX('Per Line'!$F$2:$F$1501,$W146)&amp;"")</f>
        <v/>
      </c>
      <c r="G146">
        <f>IF($W146="","",INDEX('Per Line'!$G$2:$G$1501,$W146)&amp;"")</f>
        <v/>
      </c>
      <c r="H146">
        <f>IF($W146="","",INDEX('Per Line'!$H$2:$H$1501,$W146)&amp;"")</f>
        <v/>
      </c>
      <c r="I146">
        <f>IF($W146="","",INDEX('Per Line'!$I$2:$I$1501,$W146))</f>
        <v/>
      </c>
      <c r="J146" s="7">
        <f>IF($W146="","",I146*U146/100)</f>
        <v/>
      </c>
      <c r="K146">
        <f>IF($W146="","",INDEX('Per Line'!$U$2:$U$1501,$W146)&amp;"")</f>
        <v/>
      </c>
      <c r="L146" s="7">
        <f>IF($W146="","",SUMIFS('Per Line'!$Q$2:$Q$1501,'Per Line'!$B$2:$B$1501,$B146,'Per Line'!$AI$2:$AI$1501,1))</f>
        <v/>
      </c>
      <c r="M146">
        <f>IF($W146="","",Settings!$C$7)</f>
        <v/>
      </c>
      <c r="N146" s="7">
        <f>IF($W146="","",SUMIFS('Per Line'!$Q$2:$Q$1501,'Per Line'!$B$2:$B$1501,$B146,'Per Line'!$AH$2:$AH$1501,0,'Per Line'!$AI$2:$AI$1501,0))</f>
        <v/>
      </c>
      <c r="O146" s="7">
        <f>IF($W146="","",N146*M146)</f>
        <v/>
      </c>
      <c r="P146">
        <f>IF($W146="","",Settings!$C$6)</f>
        <v/>
      </c>
      <c r="Q146" s="7">
        <f>IF($W146="","",SUMIFS('Per Line'!$Q$2:$Q$1501,'Per Line'!$B$2:$B$1501,$B146,'Per Line'!$AH$2:$AH$1501,1,'Per Line'!$AI$2:$AI$1501,0))</f>
        <v/>
      </c>
      <c r="R146" s="7">
        <f>IF($W146="","",Q146*P146)</f>
        <v/>
      </c>
      <c r="S146" s="7">
        <f>IF($W146="","",R146+O146)</f>
        <v/>
      </c>
      <c r="T146" s="7">
        <f>IF($W146="","",U146-S146)</f>
        <v/>
      </c>
      <c r="U146" s="7">
        <f>IF($W146="","",N146+Q146+L146)</f>
        <v/>
      </c>
      <c r="V146" s="7">
        <f>IF($W146="","",U146-S146-J146)</f>
        <v/>
      </c>
      <c r="W146" s="13">
        <f>IF(ROWS($W$2:$W146)&lt;=MAX('Per Line'!$AG$2:$AG$1501),MATCH(ROWS($W$2:$W146),'Per Line'!$AG$2:$AG$1501,0),"")</f>
        <v/>
      </c>
    </row>
    <row r="147">
      <c r="A147" s="12" t="n"/>
      <c r="B147">
        <f>IF($W147="","",INDEX('Per Line'!$B$2:$B$1501,$W147)&amp;"")</f>
        <v/>
      </c>
      <c r="C147">
        <f>IF($W147="","",INDEX('Per Line'!$A$2:$A$1501,$W147))</f>
        <v/>
      </c>
      <c r="D147" s="11">
        <f>IF($W147="","",INDEX('Per Line'!$C$2:$C$1501,$W147))</f>
        <v/>
      </c>
      <c r="E147">
        <f>IF($W147="","",INDEX('Per Line'!$D$2:$D$1501,$W147)&amp;"")</f>
        <v/>
      </c>
      <c r="F147">
        <f>IF($W147="","",INDEX('Per Line'!$F$2:$F$1501,$W147)&amp;"")</f>
        <v/>
      </c>
      <c r="G147">
        <f>IF($W147="","",INDEX('Per Line'!$G$2:$G$1501,$W147)&amp;"")</f>
        <v/>
      </c>
      <c r="H147">
        <f>IF($W147="","",INDEX('Per Line'!$H$2:$H$1501,$W147)&amp;"")</f>
        <v/>
      </c>
      <c r="I147">
        <f>IF($W147="","",INDEX('Per Line'!$I$2:$I$1501,$W147))</f>
        <v/>
      </c>
      <c r="J147" s="7">
        <f>IF($W147="","",I147*U147/100)</f>
        <v/>
      </c>
      <c r="K147">
        <f>IF($W147="","",INDEX('Per Line'!$U$2:$U$1501,$W147)&amp;"")</f>
        <v/>
      </c>
      <c r="L147" s="7">
        <f>IF($W147="","",SUMIFS('Per Line'!$Q$2:$Q$1501,'Per Line'!$B$2:$B$1501,$B147,'Per Line'!$AI$2:$AI$1501,1))</f>
        <v/>
      </c>
      <c r="M147">
        <f>IF($W147="","",Settings!$C$7)</f>
        <v/>
      </c>
      <c r="N147" s="7">
        <f>IF($W147="","",SUMIFS('Per Line'!$Q$2:$Q$1501,'Per Line'!$B$2:$B$1501,$B147,'Per Line'!$AH$2:$AH$1501,0,'Per Line'!$AI$2:$AI$1501,0))</f>
        <v/>
      </c>
      <c r="O147" s="7">
        <f>IF($W147="","",N147*M147)</f>
        <v/>
      </c>
      <c r="P147">
        <f>IF($W147="","",Settings!$C$6)</f>
        <v/>
      </c>
      <c r="Q147" s="7">
        <f>IF($W147="","",SUMIFS('Per Line'!$Q$2:$Q$1501,'Per Line'!$B$2:$B$1501,$B147,'Per Line'!$AH$2:$AH$1501,1,'Per Line'!$AI$2:$AI$1501,0))</f>
        <v/>
      </c>
      <c r="R147" s="7">
        <f>IF($W147="","",Q147*P147)</f>
        <v/>
      </c>
      <c r="S147" s="7">
        <f>IF($W147="","",R147+O147)</f>
        <v/>
      </c>
      <c r="T147" s="7">
        <f>IF($W147="","",U147-S147)</f>
        <v/>
      </c>
      <c r="U147" s="7">
        <f>IF($W147="","",N147+Q147+L147)</f>
        <v/>
      </c>
      <c r="V147" s="7">
        <f>IF($W147="","",U147-S147-J147)</f>
        <v/>
      </c>
      <c r="W147" s="13">
        <f>IF(ROWS($W$2:$W147)&lt;=MAX('Per Line'!$AG$2:$AG$1501),MATCH(ROWS($W$2:$W147),'Per Line'!$AG$2:$AG$1501,0),"")</f>
        <v/>
      </c>
    </row>
    <row r="148">
      <c r="A148" s="12" t="n"/>
      <c r="B148">
        <f>IF($W148="","",INDEX('Per Line'!$B$2:$B$1501,$W148)&amp;"")</f>
        <v/>
      </c>
      <c r="C148">
        <f>IF($W148="","",INDEX('Per Line'!$A$2:$A$1501,$W148))</f>
        <v/>
      </c>
      <c r="D148" s="11">
        <f>IF($W148="","",INDEX('Per Line'!$C$2:$C$1501,$W148))</f>
        <v/>
      </c>
      <c r="E148">
        <f>IF($W148="","",INDEX('Per Line'!$D$2:$D$1501,$W148)&amp;"")</f>
        <v/>
      </c>
      <c r="F148">
        <f>IF($W148="","",INDEX('Per Line'!$F$2:$F$1501,$W148)&amp;"")</f>
        <v/>
      </c>
      <c r="G148">
        <f>IF($W148="","",INDEX('Per Line'!$G$2:$G$1501,$W148)&amp;"")</f>
        <v/>
      </c>
      <c r="H148">
        <f>IF($W148="","",INDEX('Per Line'!$H$2:$H$1501,$W148)&amp;"")</f>
        <v/>
      </c>
      <c r="I148">
        <f>IF($W148="","",INDEX('Per Line'!$I$2:$I$1501,$W148))</f>
        <v/>
      </c>
      <c r="J148" s="7">
        <f>IF($W148="","",I148*U148/100)</f>
        <v/>
      </c>
      <c r="K148">
        <f>IF($W148="","",INDEX('Per Line'!$U$2:$U$1501,$W148)&amp;"")</f>
        <v/>
      </c>
      <c r="L148" s="7">
        <f>IF($W148="","",SUMIFS('Per Line'!$Q$2:$Q$1501,'Per Line'!$B$2:$B$1501,$B148,'Per Line'!$AI$2:$AI$1501,1))</f>
        <v/>
      </c>
      <c r="M148">
        <f>IF($W148="","",Settings!$C$7)</f>
        <v/>
      </c>
      <c r="N148" s="7">
        <f>IF($W148="","",SUMIFS('Per Line'!$Q$2:$Q$1501,'Per Line'!$B$2:$B$1501,$B148,'Per Line'!$AH$2:$AH$1501,0,'Per Line'!$AI$2:$AI$1501,0))</f>
        <v/>
      </c>
      <c r="O148" s="7">
        <f>IF($W148="","",N148*M148)</f>
        <v/>
      </c>
      <c r="P148">
        <f>IF($W148="","",Settings!$C$6)</f>
        <v/>
      </c>
      <c r="Q148" s="7">
        <f>IF($W148="","",SUMIFS('Per Line'!$Q$2:$Q$1501,'Per Line'!$B$2:$B$1501,$B148,'Per Line'!$AH$2:$AH$1501,1,'Per Line'!$AI$2:$AI$1501,0))</f>
        <v/>
      </c>
      <c r="R148" s="7">
        <f>IF($W148="","",Q148*P148)</f>
        <v/>
      </c>
      <c r="S148" s="7">
        <f>IF($W148="","",R148+O148)</f>
        <v/>
      </c>
      <c r="T148" s="7">
        <f>IF($W148="","",U148-S148)</f>
        <v/>
      </c>
      <c r="U148" s="7">
        <f>IF($W148="","",N148+Q148+L148)</f>
        <v/>
      </c>
      <c r="V148" s="7">
        <f>IF($W148="","",U148-S148-J148)</f>
        <v/>
      </c>
      <c r="W148" s="13">
        <f>IF(ROWS($W$2:$W148)&lt;=MAX('Per Line'!$AG$2:$AG$1501),MATCH(ROWS($W$2:$W148),'Per Line'!$AG$2:$AG$1501,0),"")</f>
        <v/>
      </c>
    </row>
    <row r="149">
      <c r="A149" s="12" t="n"/>
      <c r="B149">
        <f>IF($W149="","",INDEX('Per Line'!$B$2:$B$1501,$W149)&amp;"")</f>
        <v/>
      </c>
      <c r="C149">
        <f>IF($W149="","",INDEX('Per Line'!$A$2:$A$1501,$W149))</f>
        <v/>
      </c>
      <c r="D149" s="11">
        <f>IF($W149="","",INDEX('Per Line'!$C$2:$C$1501,$W149))</f>
        <v/>
      </c>
      <c r="E149">
        <f>IF($W149="","",INDEX('Per Line'!$D$2:$D$1501,$W149)&amp;"")</f>
        <v/>
      </c>
      <c r="F149">
        <f>IF($W149="","",INDEX('Per Line'!$F$2:$F$1501,$W149)&amp;"")</f>
        <v/>
      </c>
      <c r="G149">
        <f>IF($W149="","",INDEX('Per Line'!$G$2:$G$1501,$W149)&amp;"")</f>
        <v/>
      </c>
      <c r="H149">
        <f>IF($W149="","",INDEX('Per Line'!$H$2:$H$1501,$W149)&amp;"")</f>
        <v/>
      </c>
      <c r="I149">
        <f>IF($W149="","",INDEX('Per Line'!$I$2:$I$1501,$W149))</f>
        <v/>
      </c>
      <c r="J149" s="7">
        <f>IF($W149="","",I149*U149/100)</f>
        <v/>
      </c>
      <c r="K149">
        <f>IF($W149="","",INDEX('Per Line'!$U$2:$U$1501,$W149)&amp;"")</f>
        <v/>
      </c>
      <c r="L149" s="7">
        <f>IF($W149="","",SUMIFS('Per Line'!$Q$2:$Q$1501,'Per Line'!$B$2:$B$1501,$B149,'Per Line'!$AI$2:$AI$1501,1))</f>
        <v/>
      </c>
      <c r="M149">
        <f>IF($W149="","",Settings!$C$7)</f>
        <v/>
      </c>
      <c r="N149" s="7">
        <f>IF($W149="","",SUMIFS('Per Line'!$Q$2:$Q$1501,'Per Line'!$B$2:$B$1501,$B149,'Per Line'!$AH$2:$AH$1501,0,'Per Line'!$AI$2:$AI$1501,0))</f>
        <v/>
      </c>
      <c r="O149" s="7">
        <f>IF($W149="","",N149*M149)</f>
        <v/>
      </c>
      <c r="P149">
        <f>IF($W149="","",Settings!$C$6)</f>
        <v/>
      </c>
      <c r="Q149" s="7">
        <f>IF($W149="","",SUMIFS('Per Line'!$Q$2:$Q$1501,'Per Line'!$B$2:$B$1501,$B149,'Per Line'!$AH$2:$AH$1501,1,'Per Line'!$AI$2:$AI$1501,0))</f>
        <v/>
      </c>
      <c r="R149" s="7">
        <f>IF($W149="","",Q149*P149)</f>
        <v/>
      </c>
      <c r="S149" s="7">
        <f>IF($W149="","",R149+O149)</f>
        <v/>
      </c>
      <c r="T149" s="7">
        <f>IF($W149="","",U149-S149)</f>
        <v/>
      </c>
      <c r="U149" s="7">
        <f>IF($W149="","",N149+Q149+L149)</f>
        <v/>
      </c>
      <c r="V149" s="7">
        <f>IF($W149="","",U149-S149-J149)</f>
        <v/>
      </c>
      <c r="W149" s="13">
        <f>IF(ROWS($W$2:$W149)&lt;=MAX('Per Line'!$AG$2:$AG$1501),MATCH(ROWS($W$2:$W149),'Per Line'!$AG$2:$AG$1501,0),"")</f>
        <v/>
      </c>
    </row>
    <row r="150">
      <c r="A150" s="12" t="n"/>
      <c r="B150">
        <f>IF($W150="","",INDEX('Per Line'!$B$2:$B$1501,$W150)&amp;"")</f>
        <v/>
      </c>
      <c r="C150">
        <f>IF($W150="","",INDEX('Per Line'!$A$2:$A$1501,$W150))</f>
        <v/>
      </c>
      <c r="D150" s="11">
        <f>IF($W150="","",INDEX('Per Line'!$C$2:$C$1501,$W150))</f>
        <v/>
      </c>
      <c r="E150">
        <f>IF($W150="","",INDEX('Per Line'!$D$2:$D$1501,$W150)&amp;"")</f>
        <v/>
      </c>
      <c r="F150">
        <f>IF($W150="","",INDEX('Per Line'!$F$2:$F$1501,$W150)&amp;"")</f>
        <v/>
      </c>
      <c r="G150">
        <f>IF($W150="","",INDEX('Per Line'!$G$2:$G$1501,$W150)&amp;"")</f>
        <v/>
      </c>
      <c r="H150">
        <f>IF($W150="","",INDEX('Per Line'!$H$2:$H$1501,$W150)&amp;"")</f>
        <v/>
      </c>
      <c r="I150">
        <f>IF($W150="","",INDEX('Per Line'!$I$2:$I$1501,$W150))</f>
        <v/>
      </c>
      <c r="J150" s="7">
        <f>IF($W150="","",I150*U150/100)</f>
        <v/>
      </c>
      <c r="K150">
        <f>IF($W150="","",INDEX('Per Line'!$U$2:$U$1501,$W150)&amp;"")</f>
        <v/>
      </c>
      <c r="L150" s="7">
        <f>IF($W150="","",SUMIFS('Per Line'!$Q$2:$Q$1501,'Per Line'!$B$2:$B$1501,$B150,'Per Line'!$AI$2:$AI$1501,1))</f>
        <v/>
      </c>
      <c r="M150">
        <f>IF($W150="","",Settings!$C$7)</f>
        <v/>
      </c>
      <c r="N150" s="7">
        <f>IF($W150="","",SUMIFS('Per Line'!$Q$2:$Q$1501,'Per Line'!$B$2:$B$1501,$B150,'Per Line'!$AH$2:$AH$1501,0,'Per Line'!$AI$2:$AI$1501,0))</f>
        <v/>
      </c>
      <c r="O150" s="7">
        <f>IF($W150="","",N150*M150)</f>
        <v/>
      </c>
      <c r="P150">
        <f>IF($W150="","",Settings!$C$6)</f>
        <v/>
      </c>
      <c r="Q150" s="7">
        <f>IF($W150="","",SUMIFS('Per Line'!$Q$2:$Q$1501,'Per Line'!$B$2:$B$1501,$B150,'Per Line'!$AH$2:$AH$1501,1,'Per Line'!$AI$2:$AI$1501,0))</f>
        <v/>
      </c>
      <c r="R150" s="7">
        <f>IF($W150="","",Q150*P150)</f>
        <v/>
      </c>
      <c r="S150" s="7">
        <f>IF($W150="","",R150+O150)</f>
        <v/>
      </c>
      <c r="T150" s="7">
        <f>IF($W150="","",U150-S150)</f>
        <v/>
      </c>
      <c r="U150" s="7">
        <f>IF($W150="","",N150+Q150+L150)</f>
        <v/>
      </c>
      <c r="V150" s="7">
        <f>IF($W150="","",U150-S150-J150)</f>
        <v/>
      </c>
      <c r="W150" s="13">
        <f>IF(ROWS($W$2:$W150)&lt;=MAX('Per Line'!$AG$2:$AG$1501),MATCH(ROWS($W$2:$W150),'Per Line'!$AG$2:$AG$1501,0),"")</f>
        <v/>
      </c>
    </row>
    <row r="151">
      <c r="A151" s="12" t="n"/>
      <c r="B151">
        <f>IF($W151="","",INDEX('Per Line'!$B$2:$B$1501,$W151)&amp;"")</f>
        <v/>
      </c>
      <c r="C151">
        <f>IF($W151="","",INDEX('Per Line'!$A$2:$A$1501,$W151))</f>
        <v/>
      </c>
      <c r="D151" s="11">
        <f>IF($W151="","",INDEX('Per Line'!$C$2:$C$1501,$W151))</f>
        <v/>
      </c>
      <c r="E151">
        <f>IF($W151="","",INDEX('Per Line'!$D$2:$D$1501,$W151)&amp;"")</f>
        <v/>
      </c>
      <c r="F151">
        <f>IF($W151="","",INDEX('Per Line'!$F$2:$F$1501,$W151)&amp;"")</f>
        <v/>
      </c>
      <c r="G151">
        <f>IF($W151="","",INDEX('Per Line'!$G$2:$G$1501,$W151)&amp;"")</f>
        <v/>
      </c>
      <c r="H151">
        <f>IF($W151="","",INDEX('Per Line'!$H$2:$H$1501,$W151)&amp;"")</f>
        <v/>
      </c>
      <c r="I151">
        <f>IF($W151="","",INDEX('Per Line'!$I$2:$I$1501,$W151))</f>
        <v/>
      </c>
      <c r="J151" s="7">
        <f>IF($W151="","",I151*U151/100)</f>
        <v/>
      </c>
      <c r="K151">
        <f>IF($W151="","",INDEX('Per Line'!$U$2:$U$1501,$W151)&amp;"")</f>
        <v/>
      </c>
      <c r="L151" s="7">
        <f>IF($W151="","",SUMIFS('Per Line'!$Q$2:$Q$1501,'Per Line'!$B$2:$B$1501,$B151,'Per Line'!$AI$2:$AI$1501,1))</f>
        <v/>
      </c>
      <c r="M151">
        <f>IF($W151="","",Settings!$C$7)</f>
        <v/>
      </c>
      <c r="N151" s="7">
        <f>IF($W151="","",SUMIFS('Per Line'!$Q$2:$Q$1501,'Per Line'!$B$2:$B$1501,$B151,'Per Line'!$AH$2:$AH$1501,0,'Per Line'!$AI$2:$AI$1501,0))</f>
        <v/>
      </c>
      <c r="O151" s="7">
        <f>IF($W151="","",N151*M151)</f>
        <v/>
      </c>
      <c r="P151">
        <f>IF($W151="","",Settings!$C$6)</f>
        <v/>
      </c>
      <c r="Q151" s="7">
        <f>IF($W151="","",SUMIFS('Per Line'!$Q$2:$Q$1501,'Per Line'!$B$2:$B$1501,$B151,'Per Line'!$AH$2:$AH$1501,1,'Per Line'!$AI$2:$AI$1501,0))</f>
        <v/>
      </c>
      <c r="R151" s="7">
        <f>IF($W151="","",Q151*P151)</f>
        <v/>
      </c>
      <c r="S151" s="7">
        <f>IF($W151="","",R151+O151)</f>
        <v/>
      </c>
      <c r="T151" s="7">
        <f>IF($W151="","",U151-S151)</f>
        <v/>
      </c>
      <c r="U151" s="7">
        <f>IF($W151="","",N151+Q151+L151)</f>
        <v/>
      </c>
      <c r="V151" s="7">
        <f>IF($W151="","",U151-S151-J151)</f>
        <v/>
      </c>
      <c r="W151" s="13">
        <f>IF(ROWS($W$2:$W151)&lt;=MAX('Per Line'!$AG$2:$AG$1501),MATCH(ROWS($W$2:$W151),'Per Line'!$AG$2:$AG$1501,0),"")</f>
        <v/>
      </c>
    </row>
    <row r="152">
      <c r="A152" s="12" t="n"/>
      <c r="B152">
        <f>IF($W152="","",INDEX('Per Line'!$B$2:$B$1501,$W152)&amp;"")</f>
        <v/>
      </c>
      <c r="C152">
        <f>IF($W152="","",INDEX('Per Line'!$A$2:$A$1501,$W152))</f>
        <v/>
      </c>
      <c r="D152" s="11">
        <f>IF($W152="","",INDEX('Per Line'!$C$2:$C$1501,$W152))</f>
        <v/>
      </c>
      <c r="E152">
        <f>IF($W152="","",INDEX('Per Line'!$D$2:$D$1501,$W152)&amp;"")</f>
        <v/>
      </c>
      <c r="F152">
        <f>IF($W152="","",INDEX('Per Line'!$F$2:$F$1501,$W152)&amp;"")</f>
        <v/>
      </c>
      <c r="G152">
        <f>IF($W152="","",INDEX('Per Line'!$G$2:$G$1501,$W152)&amp;"")</f>
        <v/>
      </c>
      <c r="H152">
        <f>IF($W152="","",INDEX('Per Line'!$H$2:$H$1501,$W152)&amp;"")</f>
        <v/>
      </c>
      <c r="I152">
        <f>IF($W152="","",INDEX('Per Line'!$I$2:$I$1501,$W152))</f>
        <v/>
      </c>
      <c r="J152" s="7">
        <f>IF($W152="","",I152*U152/100)</f>
        <v/>
      </c>
      <c r="K152">
        <f>IF($W152="","",INDEX('Per Line'!$U$2:$U$1501,$W152)&amp;"")</f>
        <v/>
      </c>
      <c r="L152" s="7">
        <f>IF($W152="","",SUMIFS('Per Line'!$Q$2:$Q$1501,'Per Line'!$B$2:$B$1501,$B152,'Per Line'!$AI$2:$AI$1501,1))</f>
        <v/>
      </c>
      <c r="M152">
        <f>IF($W152="","",Settings!$C$7)</f>
        <v/>
      </c>
      <c r="N152" s="7">
        <f>IF($W152="","",SUMIFS('Per Line'!$Q$2:$Q$1501,'Per Line'!$B$2:$B$1501,$B152,'Per Line'!$AH$2:$AH$1501,0,'Per Line'!$AI$2:$AI$1501,0))</f>
        <v/>
      </c>
      <c r="O152" s="7">
        <f>IF($W152="","",N152*M152)</f>
        <v/>
      </c>
      <c r="P152">
        <f>IF($W152="","",Settings!$C$6)</f>
        <v/>
      </c>
      <c r="Q152" s="7">
        <f>IF($W152="","",SUMIFS('Per Line'!$Q$2:$Q$1501,'Per Line'!$B$2:$B$1501,$B152,'Per Line'!$AH$2:$AH$1501,1,'Per Line'!$AI$2:$AI$1501,0))</f>
        <v/>
      </c>
      <c r="R152" s="7">
        <f>IF($W152="","",Q152*P152)</f>
        <v/>
      </c>
      <c r="S152" s="7">
        <f>IF($W152="","",R152+O152)</f>
        <v/>
      </c>
      <c r="T152" s="7">
        <f>IF($W152="","",U152-S152)</f>
        <v/>
      </c>
      <c r="U152" s="7">
        <f>IF($W152="","",N152+Q152+L152)</f>
        <v/>
      </c>
      <c r="V152" s="7">
        <f>IF($W152="","",U152-S152-J152)</f>
        <v/>
      </c>
      <c r="W152" s="13">
        <f>IF(ROWS($W$2:$W152)&lt;=MAX('Per Line'!$AG$2:$AG$1501),MATCH(ROWS($W$2:$W152),'Per Line'!$AG$2:$AG$1501,0),"")</f>
        <v/>
      </c>
    </row>
    <row r="153">
      <c r="A153" s="12" t="n"/>
      <c r="B153">
        <f>IF($W153="","",INDEX('Per Line'!$B$2:$B$1501,$W153)&amp;"")</f>
        <v/>
      </c>
      <c r="C153">
        <f>IF($W153="","",INDEX('Per Line'!$A$2:$A$1501,$W153))</f>
        <v/>
      </c>
      <c r="D153" s="11">
        <f>IF($W153="","",INDEX('Per Line'!$C$2:$C$1501,$W153))</f>
        <v/>
      </c>
      <c r="E153">
        <f>IF($W153="","",INDEX('Per Line'!$D$2:$D$1501,$W153)&amp;"")</f>
        <v/>
      </c>
      <c r="F153">
        <f>IF($W153="","",INDEX('Per Line'!$F$2:$F$1501,$W153)&amp;"")</f>
        <v/>
      </c>
      <c r="G153">
        <f>IF($W153="","",INDEX('Per Line'!$G$2:$G$1501,$W153)&amp;"")</f>
        <v/>
      </c>
      <c r="H153">
        <f>IF($W153="","",INDEX('Per Line'!$H$2:$H$1501,$W153)&amp;"")</f>
        <v/>
      </c>
      <c r="I153">
        <f>IF($W153="","",INDEX('Per Line'!$I$2:$I$1501,$W153))</f>
        <v/>
      </c>
      <c r="J153" s="7">
        <f>IF($W153="","",I153*U153/100)</f>
        <v/>
      </c>
      <c r="K153">
        <f>IF($W153="","",INDEX('Per Line'!$U$2:$U$1501,$W153)&amp;"")</f>
        <v/>
      </c>
      <c r="L153" s="7">
        <f>IF($W153="","",SUMIFS('Per Line'!$Q$2:$Q$1501,'Per Line'!$B$2:$B$1501,$B153,'Per Line'!$AI$2:$AI$1501,1))</f>
        <v/>
      </c>
      <c r="M153">
        <f>IF($W153="","",Settings!$C$7)</f>
        <v/>
      </c>
      <c r="N153" s="7">
        <f>IF($W153="","",SUMIFS('Per Line'!$Q$2:$Q$1501,'Per Line'!$B$2:$B$1501,$B153,'Per Line'!$AH$2:$AH$1501,0,'Per Line'!$AI$2:$AI$1501,0))</f>
        <v/>
      </c>
      <c r="O153" s="7">
        <f>IF($W153="","",N153*M153)</f>
        <v/>
      </c>
      <c r="P153">
        <f>IF($W153="","",Settings!$C$6)</f>
        <v/>
      </c>
      <c r="Q153" s="7">
        <f>IF($W153="","",SUMIFS('Per Line'!$Q$2:$Q$1501,'Per Line'!$B$2:$B$1501,$B153,'Per Line'!$AH$2:$AH$1501,1,'Per Line'!$AI$2:$AI$1501,0))</f>
        <v/>
      </c>
      <c r="R153" s="7">
        <f>IF($W153="","",Q153*P153)</f>
        <v/>
      </c>
      <c r="S153" s="7">
        <f>IF($W153="","",R153+O153)</f>
        <v/>
      </c>
      <c r="T153" s="7">
        <f>IF($W153="","",U153-S153)</f>
        <v/>
      </c>
      <c r="U153" s="7">
        <f>IF($W153="","",N153+Q153+L153)</f>
        <v/>
      </c>
      <c r="V153" s="7">
        <f>IF($W153="","",U153-S153-J153)</f>
        <v/>
      </c>
      <c r="W153" s="13">
        <f>IF(ROWS($W$2:$W153)&lt;=MAX('Per Line'!$AG$2:$AG$1501),MATCH(ROWS($W$2:$W153),'Per Line'!$AG$2:$AG$1501,0),"")</f>
        <v/>
      </c>
    </row>
    <row r="154">
      <c r="A154" s="12" t="n"/>
      <c r="B154">
        <f>IF($W154="","",INDEX('Per Line'!$B$2:$B$1501,$W154)&amp;"")</f>
        <v/>
      </c>
      <c r="C154">
        <f>IF($W154="","",INDEX('Per Line'!$A$2:$A$1501,$W154))</f>
        <v/>
      </c>
      <c r="D154" s="11">
        <f>IF($W154="","",INDEX('Per Line'!$C$2:$C$1501,$W154))</f>
        <v/>
      </c>
      <c r="E154">
        <f>IF($W154="","",INDEX('Per Line'!$D$2:$D$1501,$W154)&amp;"")</f>
        <v/>
      </c>
      <c r="F154">
        <f>IF($W154="","",INDEX('Per Line'!$F$2:$F$1501,$W154)&amp;"")</f>
        <v/>
      </c>
      <c r="G154">
        <f>IF($W154="","",INDEX('Per Line'!$G$2:$G$1501,$W154)&amp;"")</f>
        <v/>
      </c>
      <c r="H154">
        <f>IF($W154="","",INDEX('Per Line'!$H$2:$H$1501,$W154)&amp;"")</f>
        <v/>
      </c>
      <c r="I154">
        <f>IF($W154="","",INDEX('Per Line'!$I$2:$I$1501,$W154))</f>
        <v/>
      </c>
      <c r="J154" s="7">
        <f>IF($W154="","",I154*U154/100)</f>
        <v/>
      </c>
      <c r="K154">
        <f>IF($W154="","",INDEX('Per Line'!$U$2:$U$1501,$W154)&amp;"")</f>
        <v/>
      </c>
      <c r="L154" s="7">
        <f>IF($W154="","",SUMIFS('Per Line'!$Q$2:$Q$1501,'Per Line'!$B$2:$B$1501,$B154,'Per Line'!$AI$2:$AI$1501,1))</f>
        <v/>
      </c>
      <c r="M154">
        <f>IF($W154="","",Settings!$C$7)</f>
        <v/>
      </c>
      <c r="N154" s="7">
        <f>IF($W154="","",SUMIFS('Per Line'!$Q$2:$Q$1501,'Per Line'!$B$2:$B$1501,$B154,'Per Line'!$AH$2:$AH$1501,0,'Per Line'!$AI$2:$AI$1501,0))</f>
        <v/>
      </c>
      <c r="O154" s="7">
        <f>IF($W154="","",N154*M154)</f>
        <v/>
      </c>
      <c r="P154">
        <f>IF($W154="","",Settings!$C$6)</f>
        <v/>
      </c>
      <c r="Q154" s="7">
        <f>IF($W154="","",SUMIFS('Per Line'!$Q$2:$Q$1501,'Per Line'!$B$2:$B$1501,$B154,'Per Line'!$AH$2:$AH$1501,1,'Per Line'!$AI$2:$AI$1501,0))</f>
        <v/>
      </c>
      <c r="R154" s="7">
        <f>IF($W154="","",Q154*P154)</f>
        <v/>
      </c>
      <c r="S154" s="7">
        <f>IF($W154="","",R154+O154)</f>
        <v/>
      </c>
      <c r="T154" s="7">
        <f>IF($W154="","",U154-S154)</f>
        <v/>
      </c>
      <c r="U154" s="7">
        <f>IF($W154="","",N154+Q154+L154)</f>
        <v/>
      </c>
      <c r="V154" s="7">
        <f>IF($W154="","",U154-S154-J154)</f>
        <v/>
      </c>
      <c r="W154" s="13">
        <f>IF(ROWS($W$2:$W154)&lt;=MAX('Per Line'!$AG$2:$AG$1501),MATCH(ROWS($W$2:$W154),'Per Line'!$AG$2:$AG$1501,0),"")</f>
        <v/>
      </c>
    </row>
    <row r="155">
      <c r="A155" s="12" t="n"/>
      <c r="B155">
        <f>IF($W155="","",INDEX('Per Line'!$B$2:$B$1501,$W155)&amp;"")</f>
        <v/>
      </c>
      <c r="C155">
        <f>IF($W155="","",INDEX('Per Line'!$A$2:$A$1501,$W155))</f>
        <v/>
      </c>
      <c r="D155" s="11">
        <f>IF($W155="","",INDEX('Per Line'!$C$2:$C$1501,$W155))</f>
        <v/>
      </c>
      <c r="E155">
        <f>IF($W155="","",INDEX('Per Line'!$D$2:$D$1501,$W155)&amp;"")</f>
        <v/>
      </c>
      <c r="F155">
        <f>IF($W155="","",INDEX('Per Line'!$F$2:$F$1501,$W155)&amp;"")</f>
        <v/>
      </c>
      <c r="G155">
        <f>IF($W155="","",INDEX('Per Line'!$G$2:$G$1501,$W155)&amp;"")</f>
        <v/>
      </c>
      <c r="H155">
        <f>IF($W155="","",INDEX('Per Line'!$H$2:$H$1501,$W155)&amp;"")</f>
        <v/>
      </c>
      <c r="I155">
        <f>IF($W155="","",INDEX('Per Line'!$I$2:$I$1501,$W155))</f>
        <v/>
      </c>
      <c r="J155" s="7">
        <f>IF($W155="","",I155*U155/100)</f>
        <v/>
      </c>
      <c r="K155">
        <f>IF($W155="","",INDEX('Per Line'!$U$2:$U$1501,$W155)&amp;"")</f>
        <v/>
      </c>
      <c r="L155" s="7">
        <f>IF($W155="","",SUMIFS('Per Line'!$Q$2:$Q$1501,'Per Line'!$B$2:$B$1501,$B155,'Per Line'!$AI$2:$AI$1501,1))</f>
        <v/>
      </c>
      <c r="M155">
        <f>IF($W155="","",Settings!$C$7)</f>
        <v/>
      </c>
      <c r="N155" s="7">
        <f>IF($W155="","",SUMIFS('Per Line'!$Q$2:$Q$1501,'Per Line'!$B$2:$B$1501,$B155,'Per Line'!$AH$2:$AH$1501,0,'Per Line'!$AI$2:$AI$1501,0))</f>
        <v/>
      </c>
      <c r="O155" s="7">
        <f>IF($W155="","",N155*M155)</f>
        <v/>
      </c>
      <c r="P155">
        <f>IF($W155="","",Settings!$C$6)</f>
        <v/>
      </c>
      <c r="Q155" s="7">
        <f>IF($W155="","",SUMIFS('Per Line'!$Q$2:$Q$1501,'Per Line'!$B$2:$B$1501,$B155,'Per Line'!$AH$2:$AH$1501,1,'Per Line'!$AI$2:$AI$1501,0))</f>
        <v/>
      </c>
      <c r="R155" s="7">
        <f>IF($W155="","",Q155*P155)</f>
        <v/>
      </c>
      <c r="S155" s="7">
        <f>IF($W155="","",R155+O155)</f>
        <v/>
      </c>
      <c r="T155" s="7">
        <f>IF($W155="","",U155-S155)</f>
        <v/>
      </c>
      <c r="U155" s="7">
        <f>IF($W155="","",N155+Q155+L155)</f>
        <v/>
      </c>
      <c r="V155" s="7">
        <f>IF($W155="","",U155-S155-J155)</f>
        <v/>
      </c>
      <c r="W155" s="13">
        <f>IF(ROWS($W$2:$W155)&lt;=MAX('Per Line'!$AG$2:$AG$1501),MATCH(ROWS($W$2:$W155),'Per Line'!$AG$2:$AG$1501,0),"")</f>
        <v/>
      </c>
    </row>
    <row r="156">
      <c r="A156" s="12" t="n"/>
      <c r="B156">
        <f>IF($W156="","",INDEX('Per Line'!$B$2:$B$1501,$W156)&amp;"")</f>
        <v/>
      </c>
      <c r="C156">
        <f>IF($W156="","",INDEX('Per Line'!$A$2:$A$1501,$W156))</f>
        <v/>
      </c>
      <c r="D156" s="11">
        <f>IF($W156="","",INDEX('Per Line'!$C$2:$C$1501,$W156))</f>
        <v/>
      </c>
      <c r="E156">
        <f>IF($W156="","",INDEX('Per Line'!$D$2:$D$1501,$W156)&amp;"")</f>
        <v/>
      </c>
      <c r="F156">
        <f>IF($W156="","",INDEX('Per Line'!$F$2:$F$1501,$W156)&amp;"")</f>
        <v/>
      </c>
      <c r="G156">
        <f>IF($W156="","",INDEX('Per Line'!$G$2:$G$1501,$W156)&amp;"")</f>
        <v/>
      </c>
      <c r="H156">
        <f>IF($W156="","",INDEX('Per Line'!$H$2:$H$1501,$W156)&amp;"")</f>
        <v/>
      </c>
      <c r="I156">
        <f>IF($W156="","",INDEX('Per Line'!$I$2:$I$1501,$W156))</f>
        <v/>
      </c>
      <c r="J156" s="7">
        <f>IF($W156="","",I156*U156/100)</f>
        <v/>
      </c>
      <c r="K156">
        <f>IF($W156="","",INDEX('Per Line'!$U$2:$U$1501,$W156)&amp;"")</f>
        <v/>
      </c>
      <c r="L156" s="7">
        <f>IF($W156="","",SUMIFS('Per Line'!$Q$2:$Q$1501,'Per Line'!$B$2:$B$1501,$B156,'Per Line'!$AI$2:$AI$1501,1))</f>
        <v/>
      </c>
      <c r="M156">
        <f>IF($W156="","",Settings!$C$7)</f>
        <v/>
      </c>
      <c r="N156" s="7">
        <f>IF($W156="","",SUMIFS('Per Line'!$Q$2:$Q$1501,'Per Line'!$B$2:$B$1501,$B156,'Per Line'!$AH$2:$AH$1501,0,'Per Line'!$AI$2:$AI$1501,0))</f>
        <v/>
      </c>
      <c r="O156" s="7">
        <f>IF($W156="","",N156*M156)</f>
        <v/>
      </c>
      <c r="P156">
        <f>IF($W156="","",Settings!$C$6)</f>
        <v/>
      </c>
      <c r="Q156" s="7">
        <f>IF($W156="","",SUMIFS('Per Line'!$Q$2:$Q$1501,'Per Line'!$B$2:$B$1501,$B156,'Per Line'!$AH$2:$AH$1501,1,'Per Line'!$AI$2:$AI$1501,0))</f>
        <v/>
      </c>
      <c r="R156" s="7">
        <f>IF($W156="","",Q156*P156)</f>
        <v/>
      </c>
      <c r="S156" s="7">
        <f>IF($W156="","",R156+O156)</f>
        <v/>
      </c>
      <c r="T156" s="7">
        <f>IF($W156="","",U156-S156)</f>
        <v/>
      </c>
      <c r="U156" s="7">
        <f>IF($W156="","",N156+Q156+L156)</f>
        <v/>
      </c>
      <c r="V156" s="7">
        <f>IF($W156="","",U156-S156-J156)</f>
        <v/>
      </c>
      <c r="W156" s="13">
        <f>IF(ROWS($W$2:$W156)&lt;=MAX('Per Line'!$AG$2:$AG$1501),MATCH(ROWS($W$2:$W156),'Per Line'!$AG$2:$AG$1501,0),"")</f>
        <v/>
      </c>
    </row>
    <row r="157">
      <c r="A157" s="12" t="n"/>
      <c r="B157">
        <f>IF($W157="","",INDEX('Per Line'!$B$2:$B$1501,$W157)&amp;"")</f>
        <v/>
      </c>
      <c r="C157">
        <f>IF($W157="","",INDEX('Per Line'!$A$2:$A$1501,$W157))</f>
        <v/>
      </c>
      <c r="D157" s="11">
        <f>IF($W157="","",INDEX('Per Line'!$C$2:$C$1501,$W157))</f>
        <v/>
      </c>
      <c r="E157">
        <f>IF($W157="","",INDEX('Per Line'!$D$2:$D$1501,$W157)&amp;"")</f>
        <v/>
      </c>
      <c r="F157">
        <f>IF($W157="","",INDEX('Per Line'!$F$2:$F$1501,$W157)&amp;"")</f>
        <v/>
      </c>
      <c r="G157">
        <f>IF($W157="","",INDEX('Per Line'!$G$2:$G$1501,$W157)&amp;"")</f>
        <v/>
      </c>
      <c r="H157">
        <f>IF($W157="","",INDEX('Per Line'!$H$2:$H$1501,$W157)&amp;"")</f>
        <v/>
      </c>
      <c r="I157">
        <f>IF($W157="","",INDEX('Per Line'!$I$2:$I$1501,$W157))</f>
        <v/>
      </c>
      <c r="J157" s="7">
        <f>IF($W157="","",I157*U157/100)</f>
        <v/>
      </c>
      <c r="K157">
        <f>IF($W157="","",INDEX('Per Line'!$U$2:$U$1501,$W157)&amp;"")</f>
        <v/>
      </c>
      <c r="L157" s="7">
        <f>IF($W157="","",SUMIFS('Per Line'!$Q$2:$Q$1501,'Per Line'!$B$2:$B$1501,$B157,'Per Line'!$AI$2:$AI$1501,1))</f>
        <v/>
      </c>
      <c r="M157">
        <f>IF($W157="","",Settings!$C$7)</f>
        <v/>
      </c>
      <c r="N157" s="7">
        <f>IF($W157="","",SUMIFS('Per Line'!$Q$2:$Q$1501,'Per Line'!$B$2:$B$1501,$B157,'Per Line'!$AH$2:$AH$1501,0,'Per Line'!$AI$2:$AI$1501,0))</f>
        <v/>
      </c>
      <c r="O157" s="7">
        <f>IF($W157="","",N157*M157)</f>
        <v/>
      </c>
      <c r="P157">
        <f>IF($W157="","",Settings!$C$6)</f>
        <v/>
      </c>
      <c r="Q157" s="7">
        <f>IF($W157="","",SUMIFS('Per Line'!$Q$2:$Q$1501,'Per Line'!$B$2:$B$1501,$B157,'Per Line'!$AH$2:$AH$1501,1,'Per Line'!$AI$2:$AI$1501,0))</f>
        <v/>
      </c>
      <c r="R157" s="7">
        <f>IF($W157="","",Q157*P157)</f>
        <v/>
      </c>
      <c r="S157" s="7">
        <f>IF($W157="","",R157+O157)</f>
        <v/>
      </c>
      <c r="T157" s="7">
        <f>IF($W157="","",U157-S157)</f>
        <v/>
      </c>
      <c r="U157" s="7">
        <f>IF($W157="","",N157+Q157+L157)</f>
        <v/>
      </c>
      <c r="V157" s="7">
        <f>IF($W157="","",U157-S157-J157)</f>
        <v/>
      </c>
      <c r="W157" s="13">
        <f>IF(ROWS($W$2:$W157)&lt;=MAX('Per Line'!$AG$2:$AG$1501),MATCH(ROWS($W$2:$W157),'Per Line'!$AG$2:$AG$1501,0),"")</f>
        <v/>
      </c>
    </row>
    <row r="158">
      <c r="A158" s="12" t="n"/>
      <c r="B158">
        <f>IF($W158="","",INDEX('Per Line'!$B$2:$B$1501,$W158)&amp;"")</f>
        <v/>
      </c>
      <c r="C158">
        <f>IF($W158="","",INDEX('Per Line'!$A$2:$A$1501,$W158))</f>
        <v/>
      </c>
      <c r="D158" s="11">
        <f>IF($W158="","",INDEX('Per Line'!$C$2:$C$1501,$W158))</f>
        <v/>
      </c>
      <c r="E158">
        <f>IF($W158="","",INDEX('Per Line'!$D$2:$D$1501,$W158)&amp;"")</f>
        <v/>
      </c>
      <c r="F158">
        <f>IF($W158="","",INDEX('Per Line'!$F$2:$F$1501,$W158)&amp;"")</f>
        <v/>
      </c>
      <c r="G158">
        <f>IF($W158="","",INDEX('Per Line'!$G$2:$G$1501,$W158)&amp;"")</f>
        <v/>
      </c>
      <c r="H158">
        <f>IF($W158="","",INDEX('Per Line'!$H$2:$H$1501,$W158)&amp;"")</f>
        <v/>
      </c>
      <c r="I158">
        <f>IF($W158="","",INDEX('Per Line'!$I$2:$I$1501,$W158))</f>
        <v/>
      </c>
      <c r="J158" s="7">
        <f>IF($W158="","",I158*U158/100)</f>
        <v/>
      </c>
      <c r="K158">
        <f>IF($W158="","",INDEX('Per Line'!$U$2:$U$1501,$W158)&amp;"")</f>
        <v/>
      </c>
      <c r="L158" s="7">
        <f>IF($W158="","",SUMIFS('Per Line'!$Q$2:$Q$1501,'Per Line'!$B$2:$B$1501,$B158,'Per Line'!$AI$2:$AI$1501,1))</f>
        <v/>
      </c>
      <c r="M158">
        <f>IF($W158="","",Settings!$C$7)</f>
        <v/>
      </c>
      <c r="N158" s="7">
        <f>IF($W158="","",SUMIFS('Per Line'!$Q$2:$Q$1501,'Per Line'!$B$2:$B$1501,$B158,'Per Line'!$AH$2:$AH$1501,0,'Per Line'!$AI$2:$AI$1501,0))</f>
        <v/>
      </c>
      <c r="O158" s="7">
        <f>IF($W158="","",N158*M158)</f>
        <v/>
      </c>
      <c r="P158">
        <f>IF($W158="","",Settings!$C$6)</f>
        <v/>
      </c>
      <c r="Q158" s="7">
        <f>IF($W158="","",SUMIFS('Per Line'!$Q$2:$Q$1501,'Per Line'!$B$2:$B$1501,$B158,'Per Line'!$AH$2:$AH$1501,1,'Per Line'!$AI$2:$AI$1501,0))</f>
        <v/>
      </c>
      <c r="R158" s="7">
        <f>IF($W158="","",Q158*P158)</f>
        <v/>
      </c>
      <c r="S158" s="7">
        <f>IF($W158="","",R158+O158)</f>
        <v/>
      </c>
      <c r="T158" s="7">
        <f>IF($W158="","",U158-S158)</f>
        <v/>
      </c>
      <c r="U158" s="7">
        <f>IF($W158="","",N158+Q158+L158)</f>
        <v/>
      </c>
      <c r="V158" s="7">
        <f>IF($W158="","",U158-S158-J158)</f>
        <v/>
      </c>
      <c r="W158" s="13">
        <f>IF(ROWS($W$2:$W158)&lt;=MAX('Per Line'!$AG$2:$AG$1501),MATCH(ROWS($W$2:$W158),'Per Line'!$AG$2:$AG$1501,0),"")</f>
        <v/>
      </c>
    </row>
    <row r="159">
      <c r="A159" s="12" t="n"/>
      <c r="B159">
        <f>IF($W159="","",INDEX('Per Line'!$B$2:$B$1501,$W159)&amp;"")</f>
        <v/>
      </c>
      <c r="C159">
        <f>IF($W159="","",INDEX('Per Line'!$A$2:$A$1501,$W159))</f>
        <v/>
      </c>
      <c r="D159" s="11">
        <f>IF($W159="","",INDEX('Per Line'!$C$2:$C$1501,$W159))</f>
        <v/>
      </c>
      <c r="E159">
        <f>IF($W159="","",INDEX('Per Line'!$D$2:$D$1501,$W159)&amp;"")</f>
        <v/>
      </c>
      <c r="F159">
        <f>IF($W159="","",INDEX('Per Line'!$F$2:$F$1501,$W159)&amp;"")</f>
        <v/>
      </c>
      <c r="G159">
        <f>IF($W159="","",INDEX('Per Line'!$G$2:$G$1501,$W159)&amp;"")</f>
        <v/>
      </c>
      <c r="H159">
        <f>IF($W159="","",INDEX('Per Line'!$H$2:$H$1501,$W159)&amp;"")</f>
        <v/>
      </c>
      <c r="I159">
        <f>IF($W159="","",INDEX('Per Line'!$I$2:$I$1501,$W159))</f>
        <v/>
      </c>
      <c r="J159" s="7">
        <f>IF($W159="","",I159*U159/100)</f>
        <v/>
      </c>
      <c r="K159">
        <f>IF($W159="","",INDEX('Per Line'!$U$2:$U$1501,$W159)&amp;"")</f>
        <v/>
      </c>
      <c r="L159" s="7">
        <f>IF($W159="","",SUMIFS('Per Line'!$Q$2:$Q$1501,'Per Line'!$B$2:$B$1501,$B159,'Per Line'!$AI$2:$AI$1501,1))</f>
        <v/>
      </c>
      <c r="M159">
        <f>IF($W159="","",Settings!$C$7)</f>
        <v/>
      </c>
      <c r="N159" s="7">
        <f>IF($W159="","",SUMIFS('Per Line'!$Q$2:$Q$1501,'Per Line'!$B$2:$B$1501,$B159,'Per Line'!$AH$2:$AH$1501,0,'Per Line'!$AI$2:$AI$1501,0))</f>
        <v/>
      </c>
      <c r="O159" s="7">
        <f>IF($W159="","",N159*M159)</f>
        <v/>
      </c>
      <c r="P159">
        <f>IF($W159="","",Settings!$C$6)</f>
        <v/>
      </c>
      <c r="Q159" s="7">
        <f>IF($W159="","",SUMIFS('Per Line'!$Q$2:$Q$1501,'Per Line'!$B$2:$B$1501,$B159,'Per Line'!$AH$2:$AH$1501,1,'Per Line'!$AI$2:$AI$1501,0))</f>
        <v/>
      </c>
      <c r="R159" s="7">
        <f>IF($W159="","",Q159*P159)</f>
        <v/>
      </c>
      <c r="S159" s="7">
        <f>IF($W159="","",R159+O159)</f>
        <v/>
      </c>
      <c r="T159" s="7">
        <f>IF($W159="","",U159-S159)</f>
        <v/>
      </c>
      <c r="U159" s="7">
        <f>IF($W159="","",N159+Q159+L159)</f>
        <v/>
      </c>
      <c r="V159" s="7">
        <f>IF($W159="","",U159-S159-J159)</f>
        <v/>
      </c>
      <c r="W159" s="13">
        <f>IF(ROWS($W$2:$W159)&lt;=MAX('Per Line'!$AG$2:$AG$1501),MATCH(ROWS($W$2:$W159),'Per Line'!$AG$2:$AG$1501,0),"")</f>
        <v/>
      </c>
    </row>
    <row r="160">
      <c r="A160" s="12" t="n"/>
      <c r="B160">
        <f>IF($W160="","",INDEX('Per Line'!$B$2:$B$1501,$W160)&amp;"")</f>
        <v/>
      </c>
      <c r="C160">
        <f>IF($W160="","",INDEX('Per Line'!$A$2:$A$1501,$W160))</f>
        <v/>
      </c>
      <c r="D160" s="11">
        <f>IF($W160="","",INDEX('Per Line'!$C$2:$C$1501,$W160))</f>
        <v/>
      </c>
      <c r="E160">
        <f>IF($W160="","",INDEX('Per Line'!$D$2:$D$1501,$W160)&amp;"")</f>
        <v/>
      </c>
      <c r="F160">
        <f>IF($W160="","",INDEX('Per Line'!$F$2:$F$1501,$W160)&amp;"")</f>
        <v/>
      </c>
      <c r="G160">
        <f>IF($W160="","",INDEX('Per Line'!$G$2:$G$1501,$W160)&amp;"")</f>
        <v/>
      </c>
      <c r="H160">
        <f>IF($W160="","",INDEX('Per Line'!$H$2:$H$1501,$W160)&amp;"")</f>
        <v/>
      </c>
      <c r="I160">
        <f>IF($W160="","",INDEX('Per Line'!$I$2:$I$1501,$W160))</f>
        <v/>
      </c>
      <c r="J160" s="7">
        <f>IF($W160="","",I160*U160/100)</f>
        <v/>
      </c>
      <c r="K160">
        <f>IF($W160="","",INDEX('Per Line'!$U$2:$U$1501,$W160)&amp;"")</f>
        <v/>
      </c>
      <c r="L160" s="7">
        <f>IF($W160="","",SUMIFS('Per Line'!$Q$2:$Q$1501,'Per Line'!$B$2:$B$1501,$B160,'Per Line'!$AI$2:$AI$1501,1))</f>
        <v/>
      </c>
      <c r="M160">
        <f>IF($W160="","",Settings!$C$7)</f>
        <v/>
      </c>
      <c r="N160" s="7">
        <f>IF($W160="","",SUMIFS('Per Line'!$Q$2:$Q$1501,'Per Line'!$B$2:$B$1501,$B160,'Per Line'!$AH$2:$AH$1501,0,'Per Line'!$AI$2:$AI$1501,0))</f>
        <v/>
      </c>
      <c r="O160" s="7">
        <f>IF($W160="","",N160*M160)</f>
        <v/>
      </c>
      <c r="P160">
        <f>IF($W160="","",Settings!$C$6)</f>
        <v/>
      </c>
      <c r="Q160" s="7">
        <f>IF($W160="","",SUMIFS('Per Line'!$Q$2:$Q$1501,'Per Line'!$B$2:$B$1501,$B160,'Per Line'!$AH$2:$AH$1501,1,'Per Line'!$AI$2:$AI$1501,0))</f>
        <v/>
      </c>
      <c r="R160" s="7">
        <f>IF($W160="","",Q160*P160)</f>
        <v/>
      </c>
      <c r="S160" s="7">
        <f>IF($W160="","",R160+O160)</f>
        <v/>
      </c>
      <c r="T160" s="7">
        <f>IF($W160="","",U160-S160)</f>
        <v/>
      </c>
      <c r="U160" s="7">
        <f>IF($W160="","",N160+Q160+L160)</f>
        <v/>
      </c>
      <c r="V160" s="7">
        <f>IF($W160="","",U160-S160-J160)</f>
        <v/>
      </c>
      <c r="W160" s="13">
        <f>IF(ROWS($W$2:$W160)&lt;=MAX('Per Line'!$AG$2:$AG$1501),MATCH(ROWS($W$2:$W160),'Per Line'!$AG$2:$AG$1501,0),"")</f>
        <v/>
      </c>
    </row>
    <row r="161">
      <c r="A161" s="12" t="n"/>
      <c r="B161">
        <f>IF($W161="","",INDEX('Per Line'!$B$2:$B$1501,$W161)&amp;"")</f>
        <v/>
      </c>
      <c r="C161">
        <f>IF($W161="","",INDEX('Per Line'!$A$2:$A$1501,$W161))</f>
        <v/>
      </c>
      <c r="D161" s="11">
        <f>IF($W161="","",INDEX('Per Line'!$C$2:$C$1501,$W161))</f>
        <v/>
      </c>
      <c r="E161">
        <f>IF($W161="","",INDEX('Per Line'!$D$2:$D$1501,$W161)&amp;"")</f>
        <v/>
      </c>
      <c r="F161">
        <f>IF($W161="","",INDEX('Per Line'!$F$2:$F$1501,$W161)&amp;"")</f>
        <v/>
      </c>
      <c r="G161">
        <f>IF($W161="","",INDEX('Per Line'!$G$2:$G$1501,$W161)&amp;"")</f>
        <v/>
      </c>
      <c r="H161">
        <f>IF($W161="","",INDEX('Per Line'!$H$2:$H$1501,$W161)&amp;"")</f>
        <v/>
      </c>
      <c r="I161">
        <f>IF($W161="","",INDEX('Per Line'!$I$2:$I$1501,$W161))</f>
        <v/>
      </c>
      <c r="J161" s="7">
        <f>IF($W161="","",I161*U161/100)</f>
        <v/>
      </c>
      <c r="K161">
        <f>IF($W161="","",INDEX('Per Line'!$U$2:$U$1501,$W161)&amp;"")</f>
        <v/>
      </c>
      <c r="L161" s="7">
        <f>IF($W161="","",SUMIFS('Per Line'!$Q$2:$Q$1501,'Per Line'!$B$2:$B$1501,$B161,'Per Line'!$AI$2:$AI$1501,1))</f>
        <v/>
      </c>
      <c r="M161">
        <f>IF($W161="","",Settings!$C$7)</f>
        <v/>
      </c>
      <c r="N161" s="7">
        <f>IF($W161="","",SUMIFS('Per Line'!$Q$2:$Q$1501,'Per Line'!$B$2:$B$1501,$B161,'Per Line'!$AH$2:$AH$1501,0,'Per Line'!$AI$2:$AI$1501,0))</f>
        <v/>
      </c>
      <c r="O161" s="7">
        <f>IF($W161="","",N161*M161)</f>
        <v/>
      </c>
      <c r="P161">
        <f>IF($W161="","",Settings!$C$6)</f>
        <v/>
      </c>
      <c r="Q161" s="7">
        <f>IF($W161="","",SUMIFS('Per Line'!$Q$2:$Q$1501,'Per Line'!$B$2:$B$1501,$B161,'Per Line'!$AH$2:$AH$1501,1,'Per Line'!$AI$2:$AI$1501,0))</f>
        <v/>
      </c>
      <c r="R161" s="7">
        <f>IF($W161="","",Q161*P161)</f>
        <v/>
      </c>
      <c r="S161" s="7">
        <f>IF($W161="","",R161+O161)</f>
        <v/>
      </c>
      <c r="T161" s="7">
        <f>IF($W161="","",U161-S161)</f>
        <v/>
      </c>
      <c r="U161" s="7">
        <f>IF($W161="","",N161+Q161+L161)</f>
        <v/>
      </c>
      <c r="V161" s="7">
        <f>IF($W161="","",U161-S161-J161)</f>
        <v/>
      </c>
      <c r="W161" s="13">
        <f>IF(ROWS($W$2:$W161)&lt;=MAX('Per Line'!$AG$2:$AG$1501),MATCH(ROWS($W$2:$W161),'Per Line'!$AG$2:$AG$1501,0),"")</f>
        <v/>
      </c>
    </row>
    <row r="162">
      <c r="A162" s="12" t="n"/>
      <c r="B162">
        <f>IF($W162="","",INDEX('Per Line'!$B$2:$B$1501,$W162)&amp;"")</f>
        <v/>
      </c>
      <c r="C162">
        <f>IF($W162="","",INDEX('Per Line'!$A$2:$A$1501,$W162))</f>
        <v/>
      </c>
      <c r="D162" s="11">
        <f>IF($W162="","",INDEX('Per Line'!$C$2:$C$1501,$W162))</f>
        <v/>
      </c>
      <c r="E162">
        <f>IF($W162="","",INDEX('Per Line'!$D$2:$D$1501,$W162)&amp;"")</f>
        <v/>
      </c>
      <c r="F162">
        <f>IF($W162="","",INDEX('Per Line'!$F$2:$F$1501,$W162)&amp;"")</f>
        <v/>
      </c>
      <c r="G162">
        <f>IF($W162="","",INDEX('Per Line'!$G$2:$G$1501,$W162)&amp;"")</f>
        <v/>
      </c>
      <c r="H162">
        <f>IF($W162="","",INDEX('Per Line'!$H$2:$H$1501,$W162)&amp;"")</f>
        <v/>
      </c>
      <c r="I162">
        <f>IF($W162="","",INDEX('Per Line'!$I$2:$I$1501,$W162))</f>
        <v/>
      </c>
      <c r="J162" s="7">
        <f>IF($W162="","",I162*U162/100)</f>
        <v/>
      </c>
      <c r="K162">
        <f>IF($W162="","",INDEX('Per Line'!$U$2:$U$1501,$W162)&amp;"")</f>
        <v/>
      </c>
      <c r="L162" s="7">
        <f>IF($W162="","",SUMIFS('Per Line'!$Q$2:$Q$1501,'Per Line'!$B$2:$B$1501,$B162,'Per Line'!$AI$2:$AI$1501,1))</f>
        <v/>
      </c>
      <c r="M162">
        <f>IF($W162="","",Settings!$C$7)</f>
        <v/>
      </c>
      <c r="N162" s="7">
        <f>IF($W162="","",SUMIFS('Per Line'!$Q$2:$Q$1501,'Per Line'!$B$2:$B$1501,$B162,'Per Line'!$AH$2:$AH$1501,0,'Per Line'!$AI$2:$AI$1501,0))</f>
        <v/>
      </c>
      <c r="O162" s="7">
        <f>IF($W162="","",N162*M162)</f>
        <v/>
      </c>
      <c r="P162">
        <f>IF($W162="","",Settings!$C$6)</f>
        <v/>
      </c>
      <c r="Q162" s="7">
        <f>IF($W162="","",SUMIFS('Per Line'!$Q$2:$Q$1501,'Per Line'!$B$2:$B$1501,$B162,'Per Line'!$AH$2:$AH$1501,1,'Per Line'!$AI$2:$AI$1501,0))</f>
        <v/>
      </c>
      <c r="R162" s="7">
        <f>IF($W162="","",Q162*P162)</f>
        <v/>
      </c>
      <c r="S162" s="7">
        <f>IF($W162="","",R162+O162)</f>
        <v/>
      </c>
      <c r="T162" s="7">
        <f>IF($W162="","",U162-S162)</f>
        <v/>
      </c>
      <c r="U162" s="7">
        <f>IF($W162="","",N162+Q162+L162)</f>
        <v/>
      </c>
      <c r="V162" s="7">
        <f>IF($W162="","",U162-S162-J162)</f>
        <v/>
      </c>
      <c r="W162" s="13">
        <f>IF(ROWS($W$2:$W162)&lt;=MAX('Per Line'!$AG$2:$AG$1501),MATCH(ROWS($W$2:$W162),'Per Line'!$AG$2:$AG$1501,0),"")</f>
        <v/>
      </c>
    </row>
    <row r="163">
      <c r="A163" s="12" t="n"/>
      <c r="B163">
        <f>IF($W163="","",INDEX('Per Line'!$B$2:$B$1501,$W163)&amp;"")</f>
        <v/>
      </c>
      <c r="C163">
        <f>IF($W163="","",INDEX('Per Line'!$A$2:$A$1501,$W163))</f>
        <v/>
      </c>
      <c r="D163" s="11">
        <f>IF($W163="","",INDEX('Per Line'!$C$2:$C$1501,$W163))</f>
        <v/>
      </c>
      <c r="E163">
        <f>IF($W163="","",INDEX('Per Line'!$D$2:$D$1501,$W163)&amp;"")</f>
        <v/>
      </c>
      <c r="F163">
        <f>IF($W163="","",INDEX('Per Line'!$F$2:$F$1501,$W163)&amp;"")</f>
        <v/>
      </c>
      <c r="G163">
        <f>IF($W163="","",INDEX('Per Line'!$G$2:$G$1501,$W163)&amp;"")</f>
        <v/>
      </c>
      <c r="H163">
        <f>IF($W163="","",INDEX('Per Line'!$H$2:$H$1501,$W163)&amp;"")</f>
        <v/>
      </c>
      <c r="I163">
        <f>IF($W163="","",INDEX('Per Line'!$I$2:$I$1501,$W163))</f>
        <v/>
      </c>
      <c r="J163" s="7">
        <f>IF($W163="","",I163*U163/100)</f>
        <v/>
      </c>
      <c r="K163">
        <f>IF($W163="","",INDEX('Per Line'!$U$2:$U$1501,$W163)&amp;"")</f>
        <v/>
      </c>
      <c r="L163" s="7">
        <f>IF($W163="","",SUMIFS('Per Line'!$Q$2:$Q$1501,'Per Line'!$B$2:$B$1501,$B163,'Per Line'!$AI$2:$AI$1501,1))</f>
        <v/>
      </c>
      <c r="M163">
        <f>IF($W163="","",Settings!$C$7)</f>
        <v/>
      </c>
      <c r="N163" s="7">
        <f>IF($W163="","",SUMIFS('Per Line'!$Q$2:$Q$1501,'Per Line'!$B$2:$B$1501,$B163,'Per Line'!$AH$2:$AH$1501,0,'Per Line'!$AI$2:$AI$1501,0))</f>
        <v/>
      </c>
      <c r="O163" s="7">
        <f>IF($W163="","",N163*M163)</f>
        <v/>
      </c>
      <c r="P163">
        <f>IF($W163="","",Settings!$C$6)</f>
        <v/>
      </c>
      <c r="Q163" s="7">
        <f>IF($W163="","",SUMIFS('Per Line'!$Q$2:$Q$1501,'Per Line'!$B$2:$B$1501,$B163,'Per Line'!$AH$2:$AH$1501,1,'Per Line'!$AI$2:$AI$1501,0))</f>
        <v/>
      </c>
      <c r="R163" s="7">
        <f>IF($W163="","",Q163*P163)</f>
        <v/>
      </c>
      <c r="S163" s="7">
        <f>IF($W163="","",R163+O163)</f>
        <v/>
      </c>
      <c r="T163" s="7">
        <f>IF($W163="","",U163-S163)</f>
        <v/>
      </c>
      <c r="U163" s="7">
        <f>IF($W163="","",N163+Q163+L163)</f>
        <v/>
      </c>
      <c r="V163" s="7">
        <f>IF($W163="","",U163-S163-J163)</f>
        <v/>
      </c>
      <c r="W163" s="13">
        <f>IF(ROWS($W$2:$W163)&lt;=MAX('Per Line'!$AG$2:$AG$1501),MATCH(ROWS($W$2:$W163),'Per Line'!$AG$2:$AG$1501,0),"")</f>
        <v/>
      </c>
    </row>
    <row r="164">
      <c r="A164" s="12" t="n"/>
      <c r="B164">
        <f>IF($W164="","",INDEX('Per Line'!$B$2:$B$1501,$W164)&amp;"")</f>
        <v/>
      </c>
      <c r="C164">
        <f>IF($W164="","",INDEX('Per Line'!$A$2:$A$1501,$W164))</f>
        <v/>
      </c>
      <c r="D164" s="11">
        <f>IF($W164="","",INDEX('Per Line'!$C$2:$C$1501,$W164))</f>
        <v/>
      </c>
      <c r="E164">
        <f>IF($W164="","",INDEX('Per Line'!$D$2:$D$1501,$W164)&amp;"")</f>
        <v/>
      </c>
      <c r="F164">
        <f>IF($W164="","",INDEX('Per Line'!$F$2:$F$1501,$W164)&amp;"")</f>
        <v/>
      </c>
      <c r="G164">
        <f>IF($W164="","",INDEX('Per Line'!$G$2:$G$1501,$W164)&amp;"")</f>
        <v/>
      </c>
      <c r="H164">
        <f>IF($W164="","",INDEX('Per Line'!$H$2:$H$1501,$W164)&amp;"")</f>
        <v/>
      </c>
      <c r="I164">
        <f>IF($W164="","",INDEX('Per Line'!$I$2:$I$1501,$W164))</f>
        <v/>
      </c>
      <c r="J164" s="7">
        <f>IF($W164="","",I164*U164/100)</f>
        <v/>
      </c>
      <c r="K164">
        <f>IF($W164="","",INDEX('Per Line'!$U$2:$U$1501,$W164)&amp;"")</f>
        <v/>
      </c>
      <c r="L164" s="7">
        <f>IF($W164="","",SUMIFS('Per Line'!$Q$2:$Q$1501,'Per Line'!$B$2:$B$1501,$B164,'Per Line'!$AI$2:$AI$1501,1))</f>
        <v/>
      </c>
      <c r="M164">
        <f>IF($W164="","",Settings!$C$7)</f>
        <v/>
      </c>
      <c r="N164" s="7">
        <f>IF($W164="","",SUMIFS('Per Line'!$Q$2:$Q$1501,'Per Line'!$B$2:$B$1501,$B164,'Per Line'!$AH$2:$AH$1501,0,'Per Line'!$AI$2:$AI$1501,0))</f>
        <v/>
      </c>
      <c r="O164" s="7">
        <f>IF($W164="","",N164*M164)</f>
        <v/>
      </c>
      <c r="P164">
        <f>IF($W164="","",Settings!$C$6)</f>
        <v/>
      </c>
      <c r="Q164" s="7">
        <f>IF($W164="","",SUMIFS('Per Line'!$Q$2:$Q$1501,'Per Line'!$B$2:$B$1501,$B164,'Per Line'!$AH$2:$AH$1501,1,'Per Line'!$AI$2:$AI$1501,0))</f>
        <v/>
      </c>
      <c r="R164" s="7">
        <f>IF($W164="","",Q164*P164)</f>
        <v/>
      </c>
      <c r="S164" s="7">
        <f>IF($W164="","",R164+O164)</f>
        <v/>
      </c>
      <c r="T164" s="7">
        <f>IF($W164="","",U164-S164)</f>
        <v/>
      </c>
      <c r="U164" s="7">
        <f>IF($W164="","",N164+Q164+L164)</f>
        <v/>
      </c>
      <c r="V164" s="7">
        <f>IF($W164="","",U164-S164-J164)</f>
        <v/>
      </c>
      <c r="W164" s="13">
        <f>IF(ROWS($W$2:$W164)&lt;=MAX('Per Line'!$AG$2:$AG$1501),MATCH(ROWS($W$2:$W164),'Per Line'!$AG$2:$AG$1501,0),"")</f>
        <v/>
      </c>
    </row>
    <row r="165">
      <c r="A165" s="12" t="n"/>
      <c r="B165">
        <f>IF($W165="","",INDEX('Per Line'!$B$2:$B$1501,$W165)&amp;"")</f>
        <v/>
      </c>
      <c r="C165">
        <f>IF($W165="","",INDEX('Per Line'!$A$2:$A$1501,$W165))</f>
        <v/>
      </c>
      <c r="D165" s="11">
        <f>IF($W165="","",INDEX('Per Line'!$C$2:$C$1501,$W165))</f>
        <v/>
      </c>
      <c r="E165">
        <f>IF($W165="","",INDEX('Per Line'!$D$2:$D$1501,$W165)&amp;"")</f>
        <v/>
      </c>
      <c r="F165">
        <f>IF($W165="","",INDEX('Per Line'!$F$2:$F$1501,$W165)&amp;"")</f>
        <v/>
      </c>
      <c r="G165">
        <f>IF($W165="","",INDEX('Per Line'!$G$2:$G$1501,$W165)&amp;"")</f>
        <v/>
      </c>
      <c r="H165">
        <f>IF($W165="","",INDEX('Per Line'!$H$2:$H$1501,$W165)&amp;"")</f>
        <v/>
      </c>
      <c r="I165">
        <f>IF($W165="","",INDEX('Per Line'!$I$2:$I$1501,$W165))</f>
        <v/>
      </c>
      <c r="J165" s="7">
        <f>IF($W165="","",I165*U165/100)</f>
        <v/>
      </c>
      <c r="K165">
        <f>IF($W165="","",INDEX('Per Line'!$U$2:$U$1501,$W165)&amp;"")</f>
        <v/>
      </c>
      <c r="L165" s="7">
        <f>IF($W165="","",SUMIFS('Per Line'!$Q$2:$Q$1501,'Per Line'!$B$2:$B$1501,$B165,'Per Line'!$AI$2:$AI$1501,1))</f>
        <v/>
      </c>
      <c r="M165">
        <f>IF($W165="","",Settings!$C$7)</f>
        <v/>
      </c>
      <c r="N165" s="7">
        <f>IF($W165="","",SUMIFS('Per Line'!$Q$2:$Q$1501,'Per Line'!$B$2:$B$1501,$B165,'Per Line'!$AH$2:$AH$1501,0,'Per Line'!$AI$2:$AI$1501,0))</f>
        <v/>
      </c>
      <c r="O165" s="7">
        <f>IF($W165="","",N165*M165)</f>
        <v/>
      </c>
      <c r="P165">
        <f>IF($W165="","",Settings!$C$6)</f>
        <v/>
      </c>
      <c r="Q165" s="7">
        <f>IF($W165="","",SUMIFS('Per Line'!$Q$2:$Q$1501,'Per Line'!$B$2:$B$1501,$B165,'Per Line'!$AH$2:$AH$1501,1,'Per Line'!$AI$2:$AI$1501,0))</f>
        <v/>
      </c>
      <c r="R165" s="7">
        <f>IF($W165="","",Q165*P165)</f>
        <v/>
      </c>
      <c r="S165" s="7">
        <f>IF($W165="","",R165+O165)</f>
        <v/>
      </c>
      <c r="T165" s="7">
        <f>IF($W165="","",U165-S165)</f>
        <v/>
      </c>
      <c r="U165" s="7">
        <f>IF($W165="","",N165+Q165+L165)</f>
        <v/>
      </c>
      <c r="V165" s="7">
        <f>IF($W165="","",U165-S165-J165)</f>
        <v/>
      </c>
      <c r="W165" s="13">
        <f>IF(ROWS($W$2:$W165)&lt;=MAX('Per Line'!$AG$2:$AG$1501),MATCH(ROWS($W$2:$W165),'Per Line'!$AG$2:$AG$1501,0),"")</f>
        <v/>
      </c>
    </row>
    <row r="166">
      <c r="A166" s="12" t="n"/>
      <c r="B166">
        <f>IF($W166="","",INDEX('Per Line'!$B$2:$B$1501,$W166)&amp;"")</f>
        <v/>
      </c>
      <c r="C166">
        <f>IF($W166="","",INDEX('Per Line'!$A$2:$A$1501,$W166))</f>
        <v/>
      </c>
      <c r="D166" s="11">
        <f>IF($W166="","",INDEX('Per Line'!$C$2:$C$1501,$W166))</f>
        <v/>
      </c>
      <c r="E166">
        <f>IF($W166="","",INDEX('Per Line'!$D$2:$D$1501,$W166)&amp;"")</f>
        <v/>
      </c>
      <c r="F166">
        <f>IF($W166="","",INDEX('Per Line'!$F$2:$F$1501,$W166)&amp;"")</f>
        <v/>
      </c>
      <c r="G166">
        <f>IF($W166="","",INDEX('Per Line'!$G$2:$G$1501,$W166)&amp;"")</f>
        <v/>
      </c>
      <c r="H166">
        <f>IF($W166="","",INDEX('Per Line'!$H$2:$H$1501,$W166)&amp;"")</f>
        <v/>
      </c>
      <c r="I166">
        <f>IF($W166="","",INDEX('Per Line'!$I$2:$I$1501,$W166))</f>
        <v/>
      </c>
      <c r="J166" s="7">
        <f>IF($W166="","",I166*U166/100)</f>
        <v/>
      </c>
      <c r="K166">
        <f>IF($W166="","",INDEX('Per Line'!$U$2:$U$1501,$W166)&amp;"")</f>
        <v/>
      </c>
      <c r="L166" s="7">
        <f>IF($W166="","",SUMIFS('Per Line'!$Q$2:$Q$1501,'Per Line'!$B$2:$B$1501,$B166,'Per Line'!$AI$2:$AI$1501,1))</f>
        <v/>
      </c>
      <c r="M166">
        <f>IF($W166="","",Settings!$C$7)</f>
        <v/>
      </c>
      <c r="N166" s="7">
        <f>IF($W166="","",SUMIFS('Per Line'!$Q$2:$Q$1501,'Per Line'!$B$2:$B$1501,$B166,'Per Line'!$AH$2:$AH$1501,0,'Per Line'!$AI$2:$AI$1501,0))</f>
        <v/>
      </c>
      <c r="O166" s="7">
        <f>IF($W166="","",N166*M166)</f>
        <v/>
      </c>
      <c r="P166">
        <f>IF($W166="","",Settings!$C$6)</f>
        <v/>
      </c>
      <c r="Q166" s="7">
        <f>IF($W166="","",SUMIFS('Per Line'!$Q$2:$Q$1501,'Per Line'!$B$2:$B$1501,$B166,'Per Line'!$AH$2:$AH$1501,1,'Per Line'!$AI$2:$AI$1501,0))</f>
        <v/>
      </c>
      <c r="R166" s="7">
        <f>IF($W166="","",Q166*P166)</f>
        <v/>
      </c>
      <c r="S166" s="7">
        <f>IF($W166="","",R166+O166)</f>
        <v/>
      </c>
      <c r="T166" s="7">
        <f>IF($W166="","",U166-S166)</f>
        <v/>
      </c>
      <c r="U166" s="7">
        <f>IF($W166="","",N166+Q166+L166)</f>
        <v/>
      </c>
      <c r="V166" s="7">
        <f>IF($W166="","",U166-S166-J166)</f>
        <v/>
      </c>
      <c r="W166" s="13">
        <f>IF(ROWS($W$2:$W166)&lt;=MAX('Per Line'!$AG$2:$AG$1501),MATCH(ROWS($W$2:$W166),'Per Line'!$AG$2:$AG$1501,0),"")</f>
        <v/>
      </c>
    </row>
    <row r="167">
      <c r="A167" s="12" t="n"/>
      <c r="B167">
        <f>IF($W167="","",INDEX('Per Line'!$B$2:$B$1501,$W167)&amp;"")</f>
        <v/>
      </c>
      <c r="C167">
        <f>IF($W167="","",INDEX('Per Line'!$A$2:$A$1501,$W167))</f>
        <v/>
      </c>
      <c r="D167" s="11">
        <f>IF($W167="","",INDEX('Per Line'!$C$2:$C$1501,$W167))</f>
        <v/>
      </c>
      <c r="E167">
        <f>IF($W167="","",INDEX('Per Line'!$D$2:$D$1501,$W167)&amp;"")</f>
        <v/>
      </c>
      <c r="F167">
        <f>IF($W167="","",INDEX('Per Line'!$F$2:$F$1501,$W167)&amp;"")</f>
        <v/>
      </c>
      <c r="G167">
        <f>IF($W167="","",INDEX('Per Line'!$G$2:$G$1501,$W167)&amp;"")</f>
        <v/>
      </c>
      <c r="H167">
        <f>IF($W167="","",INDEX('Per Line'!$H$2:$H$1501,$W167)&amp;"")</f>
        <v/>
      </c>
      <c r="I167">
        <f>IF($W167="","",INDEX('Per Line'!$I$2:$I$1501,$W167))</f>
        <v/>
      </c>
      <c r="J167" s="7">
        <f>IF($W167="","",I167*U167/100)</f>
        <v/>
      </c>
      <c r="K167">
        <f>IF($W167="","",INDEX('Per Line'!$U$2:$U$1501,$W167)&amp;"")</f>
        <v/>
      </c>
      <c r="L167" s="7">
        <f>IF($W167="","",SUMIFS('Per Line'!$Q$2:$Q$1501,'Per Line'!$B$2:$B$1501,$B167,'Per Line'!$AI$2:$AI$1501,1))</f>
        <v/>
      </c>
      <c r="M167">
        <f>IF($W167="","",Settings!$C$7)</f>
        <v/>
      </c>
      <c r="N167" s="7">
        <f>IF($W167="","",SUMIFS('Per Line'!$Q$2:$Q$1501,'Per Line'!$B$2:$B$1501,$B167,'Per Line'!$AH$2:$AH$1501,0,'Per Line'!$AI$2:$AI$1501,0))</f>
        <v/>
      </c>
      <c r="O167" s="7">
        <f>IF($W167="","",N167*M167)</f>
        <v/>
      </c>
      <c r="P167">
        <f>IF($W167="","",Settings!$C$6)</f>
        <v/>
      </c>
      <c r="Q167" s="7">
        <f>IF($W167="","",SUMIFS('Per Line'!$Q$2:$Q$1501,'Per Line'!$B$2:$B$1501,$B167,'Per Line'!$AH$2:$AH$1501,1,'Per Line'!$AI$2:$AI$1501,0))</f>
        <v/>
      </c>
      <c r="R167" s="7">
        <f>IF($W167="","",Q167*P167)</f>
        <v/>
      </c>
      <c r="S167" s="7">
        <f>IF($W167="","",R167+O167)</f>
        <v/>
      </c>
      <c r="T167" s="7">
        <f>IF($W167="","",U167-S167)</f>
        <v/>
      </c>
      <c r="U167" s="7">
        <f>IF($W167="","",N167+Q167+L167)</f>
        <v/>
      </c>
      <c r="V167" s="7">
        <f>IF($W167="","",U167-S167-J167)</f>
        <v/>
      </c>
      <c r="W167" s="13">
        <f>IF(ROWS($W$2:$W167)&lt;=MAX('Per Line'!$AG$2:$AG$1501),MATCH(ROWS($W$2:$W167),'Per Line'!$AG$2:$AG$1501,0),"")</f>
        <v/>
      </c>
    </row>
    <row r="168">
      <c r="A168" s="12" t="n"/>
      <c r="B168">
        <f>IF($W168="","",INDEX('Per Line'!$B$2:$B$1501,$W168)&amp;"")</f>
        <v/>
      </c>
      <c r="C168">
        <f>IF($W168="","",INDEX('Per Line'!$A$2:$A$1501,$W168))</f>
        <v/>
      </c>
      <c r="D168" s="11">
        <f>IF($W168="","",INDEX('Per Line'!$C$2:$C$1501,$W168))</f>
        <v/>
      </c>
      <c r="E168">
        <f>IF($W168="","",INDEX('Per Line'!$D$2:$D$1501,$W168)&amp;"")</f>
        <v/>
      </c>
      <c r="F168">
        <f>IF($W168="","",INDEX('Per Line'!$F$2:$F$1501,$W168)&amp;"")</f>
        <v/>
      </c>
      <c r="G168">
        <f>IF($W168="","",INDEX('Per Line'!$G$2:$G$1501,$W168)&amp;"")</f>
        <v/>
      </c>
      <c r="H168">
        <f>IF($W168="","",INDEX('Per Line'!$H$2:$H$1501,$W168)&amp;"")</f>
        <v/>
      </c>
      <c r="I168">
        <f>IF($W168="","",INDEX('Per Line'!$I$2:$I$1501,$W168))</f>
        <v/>
      </c>
      <c r="J168" s="7">
        <f>IF($W168="","",I168*U168/100)</f>
        <v/>
      </c>
      <c r="K168">
        <f>IF($W168="","",INDEX('Per Line'!$U$2:$U$1501,$W168)&amp;"")</f>
        <v/>
      </c>
      <c r="L168" s="7">
        <f>IF($W168="","",SUMIFS('Per Line'!$Q$2:$Q$1501,'Per Line'!$B$2:$B$1501,$B168,'Per Line'!$AI$2:$AI$1501,1))</f>
        <v/>
      </c>
      <c r="M168">
        <f>IF($W168="","",Settings!$C$7)</f>
        <v/>
      </c>
      <c r="N168" s="7">
        <f>IF($W168="","",SUMIFS('Per Line'!$Q$2:$Q$1501,'Per Line'!$B$2:$B$1501,$B168,'Per Line'!$AH$2:$AH$1501,0,'Per Line'!$AI$2:$AI$1501,0))</f>
        <v/>
      </c>
      <c r="O168" s="7">
        <f>IF($W168="","",N168*M168)</f>
        <v/>
      </c>
      <c r="P168">
        <f>IF($W168="","",Settings!$C$6)</f>
        <v/>
      </c>
      <c r="Q168" s="7">
        <f>IF($W168="","",SUMIFS('Per Line'!$Q$2:$Q$1501,'Per Line'!$B$2:$B$1501,$B168,'Per Line'!$AH$2:$AH$1501,1,'Per Line'!$AI$2:$AI$1501,0))</f>
        <v/>
      </c>
      <c r="R168" s="7">
        <f>IF($W168="","",Q168*P168)</f>
        <v/>
      </c>
      <c r="S168" s="7">
        <f>IF($W168="","",R168+O168)</f>
        <v/>
      </c>
      <c r="T168" s="7">
        <f>IF($W168="","",U168-S168)</f>
        <v/>
      </c>
      <c r="U168" s="7">
        <f>IF($W168="","",N168+Q168+L168)</f>
        <v/>
      </c>
      <c r="V168" s="7">
        <f>IF($W168="","",U168-S168-J168)</f>
        <v/>
      </c>
      <c r="W168" s="13">
        <f>IF(ROWS($W$2:$W168)&lt;=MAX('Per Line'!$AG$2:$AG$1501),MATCH(ROWS($W$2:$W168),'Per Line'!$AG$2:$AG$1501,0),"")</f>
        <v/>
      </c>
    </row>
    <row r="169">
      <c r="A169" s="12" t="n"/>
      <c r="B169">
        <f>IF($W169="","",INDEX('Per Line'!$B$2:$B$1501,$W169)&amp;"")</f>
        <v/>
      </c>
      <c r="C169">
        <f>IF($W169="","",INDEX('Per Line'!$A$2:$A$1501,$W169))</f>
        <v/>
      </c>
      <c r="D169" s="11">
        <f>IF($W169="","",INDEX('Per Line'!$C$2:$C$1501,$W169))</f>
        <v/>
      </c>
      <c r="E169">
        <f>IF($W169="","",INDEX('Per Line'!$D$2:$D$1501,$W169)&amp;"")</f>
        <v/>
      </c>
      <c r="F169">
        <f>IF($W169="","",INDEX('Per Line'!$F$2:$F$1501,$W169)&amp;"")</f>
        <v/>
      </c>
      <c r="G169">
        <f>IF($W169="","",INDEX('Per Line'!$G$2:$G$1501,$W169)&amp;"")</f>
        <v/>
      </c>
      <c r="H169">
        <f>IF($W169="","",INDEX('Per Line'!$H$2:$H$1501,$W169)&amp;"")</f>
        <v/>
      </c>
      <c r="I169">
        <f>IF($W169="","",INDEX('Per Line'!$I$2:$I$1501,$W169))</f>
        <v/>
      </c>
      <c r="J169" s="7">
        <f>IF($W169="","",I169*U169/100)</f>
        <v/>
      </c>
      <c r="K169">
        <f>IF($W169="","",INDEX('Per Line'!$U$2:$U$1501,$W169)&amp;"")</f>
        <v/>
      </c>
      <c r="L169" s="7">
        <f>IF($W169="","",SUMIFS('Per Line'!$Q$2:$Q$1501,'Per Line'!$B$2:$B$1501,$B169,'Per Line'!$AI$2:$AI$1501,1))</f>
        <v/>
      </c>
      <c r="M169">
        <f>IF($W169="","",Settings!$C$7)</f>
        <v/>
      </c>
      <c r="N169" s="7">
        <f>IF($W169="","",SUMIFS('Per Line'!$Q$2:$Q$1501,'Per Line'!$B$2:$B$1501,$B169,'Per Line'!$AH$2:$AH$1501,0,'Per Line'!$AI$2:$AI$1501,0))</f>
        <v/>
      </c>
      <c r="O169" s="7">
        <f>IF($W169="","",N169*M169)</f>
        <v/>
      </c>
      <c r="P169">
        <f>IF($W169="","",Settings!$C$6)</f>
        <v/>
      </c>
      <c r="Q169" s="7">
        <f>IF($W169="","",SUMIFS('Per Line'!$Q$2:$Q$1501,'Per Line'!$B$2:$B$1501,$B169,'Per Line'!$AH$2:$AH$1501,1,'Per Line'!$AI$2:$AI$1501,0))</f>
        <v/>
      </c>
      <c r="R169" s="7">
        <f>IF($W169="","",Q169*P169)</f>
        <v/>
      </c>
      <c r="S169" s="7">
        <f>IF($W169="","",R169+O169)</f>
        <v/>
      </c>
      <c r="T169" s="7">
        <f>IF($W169="","",U169-S169)</f>
        <v/>
      </c>
      <c r="U169" s="7">
        <f>IF($W169="","",N169+Q169+L169)</f>
        <v/>
      </c>
      <c r="V169" s="7">
        <f>IF($W169="","",U169-S169-J169)</f>
        <v/>
      </c>
      <c r="W169" s="13">
        <f>IF(ROWS($W$2:$W169)&lt;=MAX('Per Line'!$AG$2:$AG$1501),MATCH(ROWS($W$2:$W169),'Per Line'!$AG$2:$AG$1501,0),"")</f>
        <v/>
      </c>
    </row>
    <row r="170">
      <c r="A170" s="12" t="n"/>
      <c r="B170">
        <f>IF($W170="","",INDEX('Per Line'!$B$2:$B$1501,$W170)&amp;"")</f>
        <v/>
      </c>
      <c r="C170">
        <f>IF($W170="","",INDEX('Per Line'!$A$2:$A$1501,$W170))</f>
        <v/>
      </c>
      <c r="D170" s="11">
        <f>IF($W170="","",INDEX('Per Line'!$C$2:$C$1501,$W170))</f>
        <v/>
      </c>
      <c r="E170">
        <f>IF($W170="","",INDEX('Per Line'!$D$2:$D$1501,$W170)&amp;"")</f>
        <v/>
      </c>
      <c r="F170">
        <f>IF($W170="","",INDEX('Per Line'!$F$2:$F$1501,$W170)&amp;"")</f>
        <v/>
      </c>
      <c r="G170">
        <f>IF($W170="","",INDEX('Per Line'!$G$2:$G$1501,$W170)&amp;"")</f>
        <v/>
      </c>
      <c r="H170">
        <f>IF($W170="","",INDEX('Per Line'!$H$2:$H$1501,$W170)&amp;"")</f>
        <v/>
      </c>
      <c r="I170">
        <f>IF($W170="","",INDEX('Per Line'!$I$2:$I$1501,$W170))</f>
        <v/>
      </c>
      <c r="J170" s="7">
        <f>IF($W170="","",I170*U170/100)</f>
        <v/>
      </c>
      <c r="K170">
        <f>IF($W170="","",INDEX('Per Line'!$U$2:$U$1501,$W170)&amp;"")</f>
        <v/>
      </c>
      <c r="L170" s="7">
        <f>IF($W170="","",SUMIFS('Per Line'!$Q$2:$Q$1501,'Per Line'!$B$2:$B$1501,$B170,'Per Line'!$AI$2:$AI$1501,1))</f>
        <v/>
      </c>
      <c r="M170">
        <f>IF($W170="","",Settings!$C$7)</f>
        <v/>
      </c>
      <c r="N170" s="7">
        <f>IF($W170="","",SUMIFS('Per Line'!$Q$2:$Q$1501,'Per Line'!$B$2:$B$1501,$B170,'Per Line'!$AH$2:$AH$1501,0,'Per Line'!$AI$2:$AI$1501,0))</f>
        <v/>
      </c>
      <c r="O170" s="7">
        <f>IF($W170="","",N170*M170)</f>
        <v/>
      </c>
      <c r="P170">
        <f>IF($W170="","",Settings!$C$6)</f>
        <v/>
      </c>
      <c r="Q170" s="7">
        <f>IF($W170="","",SUMIFS('Per Line'!$Q$2:$Q$1501,'Per Line'!$B$2:$B$1501,$B170,'Per Line'!$AH$2:$AH$1501,1,'Per Line'!$AI$2:$AI$1501,0))</f>
        <v/>
      </c>
      <c r="R170" s="7">
        <f>IF($W170="","",Q170*P170)</f>
        <v/>
      </c>
      <c r="S170" s="7">
        <f>IF($W170="","",R170+O170)</f>
        <v/>
      </c>
      <c r="T170" s="7">
        <f>IF($W170="","",U170-S170)</f>
        <v/>
      </c>
      <c r="U170" s="7">
        <f>IF($W170="","",N170+Q170+L170)</f>
        <v/>
      </c>
      <c r="V170" s="7">
        <f>IF($W170="","",U170-S170-J170)</f>
        <v/>
      </c>
      <c r="W170" s="13">
        <f>IF(ROWS($W$2:$W170)&lt;=MAX('Per Line'!$AG$2:$AG$1501),MATCH(ROWS($W$2:$W170),'Per Line'!$AG$2:$AG$1501,0),"")</f>
        <v/>
      </c>
    </row>
    <row r="171">
      <c r="A171" s="12" t="n"/>
      <c r="B171">
        <f>IF($W171="","",INDEX('Per Line'!$B$2:$B$1501,$W171)&amp;"")</f>
        <v/>
      </c>
      <c r="C171">
        <f>IF($W171="","",INDEX('Per Line'!$A$2:$A$1501,$W171))</f>
        <v/>
      </c>
      <c r="D171" s="11">
        <f>IF($W171="","",INDEX('Per Line'!$C$2:$C$1501,$W171))</f>
        <v/>
      </c>
      <c r="E171">
        <f>IF($W171="","",INDEX('Per Line'!$D$2:$D$1501,$W171)&amp;"")</f>
        <v/>
      </c>
      <c r="F171">
        <f>IF($W171="","",INDEX('Per Line'!$F$2:$F$1501,$W171)&amp;"")</f>
        <v/>
      </c>
      <c r="G171">
        <f>IF($W171="","",INDEX('Per Line'!$G$2:$G$1501,$W171)&amp;"")</f>
        <v/>
      </c>
      <c r="H171">
        <f>IF($W171="","",INDEX('Per Line'!$H$2:$H$1501,$W171)&amp;"")</f>
        <v/>
      </c>
      <c r="I171">
        <f>IF($W171="","",INDEX('Per Line'!$I$2:$I$1501,$W171))</f>
        <v/>
      </c>
      <c r="J171" s="7">
        <f>IF($W171="","",I171*U171/100)</f>
        <v/>
      </c>
      <c r="K171">
        <f>IF($W171="","",INDEX('Per Line'!$U$2:$U$1501,$W171)&amp;"")</f>
        <v/>
      </c>
      <c r="L171" s="7">
        <f>IF($W171="","",SUMIFS('Per Line'!$Q$2:$Q$1501,'Per Line'!$B$2:$B$1501,$B171,'Per Line'!$AI$2:$AI$1501,1))</f>
        <v/>
      </c>
      <c r="M171">
        <f>IF($W171="","",Settings!$C$7)</f>
        <v/>
      </c>
      <c r="N171" s="7">
        <f>IF($W171="","",SUMIFS('Per Line'!$Q$2:$Q$1501,'Per Line'!$B$2:$B$1501,$B171,'Per Line'!$AH$2:$AH$1501,0,'Per Line'!$AI$2:$AI$1501,0))</f>
        <v/>
      </c>
      <c r="O171" s="7">
        <f>IF($W171="","",N171*M171)</f>
        <v/>
      </c>
      <c r="P171">
        <f>IF($W171="","",Settings!$C$6)</f>
        <v/>
      </c>
      <c r="Q171" s="7">
        <f>IF($W171="","",SUMIFS('Per Line'!$Q$2:$Q$1501,'Per Line'!$B$2:$B$1501,$B171,'Per Line'!$AH$2:$AH$1501,1,'Per Line'!$AI$2:$AI$1501,0))</f>
        <v/>
      </c>
      <c r="R171" s="7">
        <f>IF($W171="","",Q171*P171)</f>
        <v/>
      </c>
      <c r="S171" s="7">
        <f>IF($W171="","",R171+O171)</f>
        <v/>
      </c>
      <c r="T171" s="7">
        <f>IF($W171="","",U171-S171)</f>
        <v/>
      </c>
      <c r="U171" s="7">
        <f>IF($W171="","",N171+Q171+L171)</f>
        <v/>
      </c>
      <c r="V171" s="7">
        <f>IF($W171="","",U171-S171-J171)</f>
        <v/>
      </c>
      <c r="W171" s="13">
        <f>IF(ROWS($W$2:$W171)&lt;=MAX('Per Line'!$AG$2:$AG$1501),MATCH(ROWS($W$2:$W171),'Per Line'!$AG$2:$AG$1501,0),"")</f>
        <v/>
      </c>
    </row>
    <row r="172">
      <c r="A172" s="12" t="n"/>
      <c r="B172">
        <f>IF($W172="","",INDEX('Per Line'!$B$2:$B$1501,$W172)&amp;"")</f>
        <v/>
      </c>
      <c r="C172">
        <f>IF($W172="","",INDEX('Per Line'!$A$2:$A$1501,$W172))</f>
        <v/>
      </c>
      <c r="D172" s="11">
        <f>IF($W172="","",INDEX('Per Line'!$C$2:$C$1501,$W172))</f>
        <v/>
      </c>
      <c r="E172">
        <f>IF($W172="","",INDEX('Per Line'!$D$2:$D$1501,$W172)&amp;"")</f>
        <v/>
      </c>
      <c r="F172">
        <f>IF($W172="","",INDEX('Per Line'!$F$2:$F$1501,$W172)&amp;"")</f>
        <v/>
      </c>
      <c r="G172">
        <f>IF($W172="","",INDEX('Per Line'!$G$2:$G$1501,$W172)&amp;"")</f>
        <v/>
      </c>
      <c r="H172">
        <f>IF($W172="","",INDEX('Per Line'!$H$2:$H$1501,$W172)&amp;"")</f>
        <v/>
      </c>
      <c r="I172">
        <f>IF($W172="","",INDEX('Per Line'!$I$2:$I$1501,$W172))</f>
        <v/>
      </c>
      <c r="J172" s="7">
        <f>IF($W172="","",I172*U172/100)</f>
        <v/>
      </c>
      <c r="K172">
        <f>IF($W172="","",INDEX('Per Line'!$U$2:$U$1501,$W172)&amp;"")</f>
        <v/>
      </c>
      <c r="L172" s="7">
        <f>IF($W172="","",SUMIFS('Per Line'!$Q$2:$Q$1501,'Per Line'!$B$2:$B$1501,$B172,'Per Line'!$AI$2:$AI$1501,1))</f>
        <v/>
      </c>
      <c r="M172">
        <f>IF($W172="","",Settings!$C$7)</f>
        <v/>
      </c>
      <c r="N172" s="7">
        <f>IF($W172="","",SUMIFS('Per Line'!$Q$2:$Q$1501,'Per Line'!$B$2:$B$1501,$B172,'Per Line'!$AH$2:$AH$1501,0,'Per Line'!$AI$2:$AI$1501,0))</f>
        <v/>
      </c>
      <c r="O172" s="7">
        <f>IF($W172="","",N172*M172)</f>
        <v/>
      </c>
      <c r="P172">
        <f>IF($W172="","",Settings!$C$6)</f>
        <v/>
      </c>
      <c r="Q172" s="7">
        <f>IF($W172="","",SUMIFS('Per Line'!$Q$2:$Q$1501,'Per Line'!$B$2:$B$1501,$B172,'Per Line'!$AH$2:$AH$1501,1,'Per Line'!$AI$2:$AI$1501,0))</f>
        <v/>
      </c>
      <c r="R172" s="7">
        <f>IF($W172="","",Q172*P172)</f>
        <v/>
      </c>
      <c r="S172" s="7">
        <f>IF($W172="","",R172+O172)</f>
        <v/>
      </c>
      <c r="T172" s="7">
        <f>IF($W172="","",U172-S172)</f>
        <v/>
      </c>
      <c r="U172" s="7">
        <f>IF($W172="","",N172+Q172+L172)</f>
        <v/>
      </c>
      <c r="V172" s="7">
        <f>IF($W172="","",U172-S172-J172)</f>
        <v/>
      </c>
      <c r="W172" s="13">
        <f>IF(ROWS($W$2:$W172)&lt;=MAX('Per Line'!$AG$2:$AG$1501),MATCH(ROWS($W$2:$W172),'Per Line'!$AG$2:$AG$1501,0),"")</f>
        <v/>
      </c>
    </row>
    <row r="173">
      <c r="A173" s="12" t="n"/>
      <c r="B173">
        <f>IF($W173="","",INDEX('Per Line'!$B$2:$B$1501,$W173)&amp;"")</f>
        <v/>
      </c>
      <c r="C173">
        <f>IF($W173="","",INDEX('Per Line'!$A$2:$A$1501,$W173))</f>
        <v/>
      </c>
      <c r="D173" s="11">
        <f>IF($W173="","",INDEX('Per Line'!$C$2:$C$1501,$W173))</f>
        <v/>
      </c>
      <c r="E173">
        <f>IF($W173="","",INDEX('Per Line'!$D$2:$D$1501,$W173)&amp;"")</f>
        <v/>
      </c>
      <c r="F173">
        <f>IF($W173="","",INDEX('Per Line'!$F$2:$F$1501,$W173)&amp;"")</f>
        <v/>
      </c>
      <c r="G173">
        <f>IF($W173="","",INDEX('Per Line'!$G$2:$G$1501,$W173)&amp;"")</f>
        <v/>
      </c>
      <c r="H173">
        <f>IF($W173="","",INDEX('Per Line'!$H$2:$H$1501,$W173)&amp;"")</f>
        <v/>
      </c>
      <c r="I173">
        <f>IF($W173="","",INDEX('Per Line'!$I$2:$I$1501,$W173))</f>
        <v/>
      </c>
      <c r="J173" s="7">
        <f>IF($W173="","",I173*U173/100)</f>
        <v/>
      </c>
      <c r="K173">
        <f>IF($W173="","",INDEX('Per Line'!$U$2:$U$1501,$W173)&amp;"")</f>
        <v/>
      </c>
      <c r="L173" s="7">
        <f>IF($W173="","",SUMIFS('Per Line'!$Q$2:$Q$1501,'Per Line'!$B$2:$B$1501,$B173,'Per Line'!$AI$2:$AI$1501,1))</f>
        <v/>
      </c>
      <c r="M173">
        <f>IF($W173="","",Settings!$C$7)</f>
        <v/>
      </c>
      <c r="N173" s="7">
        <f>IF($W173="","",SUMIFS('Per Line'!$Q$2:$Q$1501,'Per Line'!$B$2:$B$1501,$B173,'Per Line'!$AH$2:$AH$1501,0,'Per Line'!$AI$2:$AI$1501,0))</f>
        <v/>
      </c>
      <c r="O173" s="7">
        <f>IF($W173="","",N173*M173)</f>
        <v/>
      </c>
      <c r="P173">
        <f>IF($W173="","",Settings!$C$6)</f>
        <v/>
      </c>
      <c r="Q173" s="7">
        <f>IF($W173="","",SUMIFS('Per Line'!$Q$2:$Q$1501,'Per Line'!$B$2:$B$1501,$B173,'Per Line'!$AH$2:$AH$1501,1,'Per Line'!$AI$2:$AI$1501,0))</f>
        <v/>
      </c>
      <c r="R173" s="7">
        <f>IF($W173="","",Q173*P173)</f>
        <v/>
      </c>
      <c r="S173" s="7">
        <f>IF($W173="","",R173+O173)</f>
        <v/>
      </c>
      <c r="T173" s="7">
        <f>IF($W173="","",U173-S173)</f>
        <v/>
      </c>
      <c r="U173" s="7">
        <f>IF($W173="","",N173+Q173+L173)</f>
        <v/>
      </c>
      <c r="V173" s="7">
        <f>IF($W173="","",U173-S173-J173)</f>
        <v/>
      </c>
      <c r="W173" s="13">
        <f>IF(ROWS($W$2:$W173)&lt;=MAX('Per Line'!$AG$2:$AG$1501),MATCH(ROWS($W$2:$W173),'Per Line'!$AG$2:$AG$1501,0),"")</f>
        <v/>
      </c>
    </row>
    <row r="174">
      <c r="A174" s="12" t="n"/>
      <c r="B174">
        <f>IF($W174="","",INDEX('Per Line'!$B$2:$B$1501,$W174)&amp;"")</f>
        <v/>
      </c>
      <c r="C174">
        <f>IF($W174="","",INDEX('Per Line'!$A$2:$A$1501,$W174))</f>
        <v/>
      </c>
      <c r="D174" s="11">
        <f>IF($W174="","",INDEX('Per Line'!$C$2:$C$1501,$W174))</f>
        <v/>
      </c>
      <c r="E174">
        <f>IF($W174="","",INDEX('Per Line'!$D$2:$D$1501,$W174)&amp;"")</f>
        <v/>
      </c>
      <c r="F174">
        <f>IF($W174="","",INDEX('Per Line'!$F$2:$F$1501,$W174)&amp;"")</f>
        <v/>
      </c>
      <c r="G174">
        <f>IF($W174="","",INDEX('Per Line'!$G$2:$G$1501,$W174)&amp;"")</f>
        <v/>
      </c>
      <c r="H174">
        <f>IF($W174="","",INDEX('Per Line'!$H$2:$H$1501,$W174)&amp;"")</f>
        <v/>
      </c>
      <c r="I174">
        <f>IF($W174="","",INDEX('Per Line'!$I$2:$I$1501,$W174))</f>
        <v/>
      </c>
      <c r="J174" s="7">
        <f>IF($W174="","",I174*U174/100)</f>
        <v/>
      </c>
      <c r="K174">
        <f>IF($W174="","",INDEX('Per Line'!$U$2:$U$1501,$W174)&amp;"")</f>
        <v/>
      </c>
      <c r="L174" s="7">
        <f>IF($W174="","",SUMIFS('Per Line'!$Q$2:$Q$1501,'Per Line'!$B$2:$B$1501,$B174,'Per Line'!$AI$2:$AI$1501,1))</f>
        <v/>
      </c>
      <c r="M174">
        <f>IF($W174="","",Settings!$C$7)</f>
        <v/>
      </c>
      <c r="N174" s="7">
        <f>IF($W174="","",SUMIFS('Per Line'!$Q$2:$Q$1501,'Per Line'!$B$2:$B$1501,$B174,'Per Line'!$AH$2:$AH$1501,0,'Per Line'!$AI$2:$AI$1501,0))</f>
        <v/>
      </c>
      <c r="O174" s="7">
        <f>IF($W174="","",N174*M174)</f>
        <v/>
      </c>
      <c r="P174">
        <f>IF($W174="","",Settings!$C$6)</f>
        <v/>
      </c>
      <c r="Q174" s="7">
        <f>IF($W174="","",SUMIFS('Per Line'!$Q$2:$Q$1501,'Per Line'!$B$2:$B$1501,$B174,'Per Line'!$AH$2:$AH$1501,1,'Per Line'!$AI$2:$AI$1501,0))</f>
        <v/>
      </c>
      <c r="R174" s="7">
        <f>IF($W174="","",Q174*P174)</f>
        <v/>
      </c>
      <c r="S174" s="7">
        <f>IF($W174="","",R174+O174)</f>
        <v/>
      </c>
      <c r="T174" s="7">
        <f>IF($W174="","",U174-S174)</f>
        <v/>
      </c>
      <c r="U174" s="7">
        <f>IF($W174="","",N174+Q174+L174)</f>
        <v/>
      </c>
      <c r="V174" s="7">
        <f>IF($W174="","",U174-S174-J174)</f>
        <v/>
      </c>
      <c r="W174" s="13">
        <f>IF(ROWS($W$2:$W174)&lt;=MAX('Per Line'!$AG$2:$AG$1501),MATCH(ROWS($W$2:$W174),'Per Line'!$AG$2:$AG$1501,0),"")</f>
        <v/>
      </c>
    </row>
    <row r="175">
      <c r="A175" s="12" t="n"/>
      <c r="B175">
        <f>IF($W175="","",INDEX('Per Line'!$B$2:$B$1501,$W175)&amp;"")</f>
        <v/>
      </c>
      <c r="C175">
        <f>IF($W175="","",INDEX('Per Line'!$A$2:$A$1501,$W175))</f>
        <v/>
      </c>
      <c r="D175" s="11">
        <f>IF($W175="","",INDEX('Per Line'!$C$2:$C$1501,$W175))</f>
        <v/>
      </c>
      <c r="E175">
        <f>IF($W175="","",INDEX('Per Line'!$D$2:$D$1501,$W175)&amp;"")</f>
        <v/>
      </c>
      <c r="F175">
        <f>IF($W175="","",INDEX('Per Line'!$F$2:$F$1501,$W175)&amp;"")</f>
        <v/>
      </c>
      <c r="G175">
        <f>IF($W175="","",INDEX('Per Line'!$G$2:$G$1501,$W175)&amp;"")</f>
        <v/>
      </c>
      <c r="H175">
        <f>IF($W175="","",INDEX('Per Line'!$H$2:$H$1501,$W175)&amp;"")</f>
        <v/>
      </c>
      <c r="I175">
        <f>IF($W175="","",INDEX('Per Line'!$I$2:$I$1501,$W175))</f>
        <v/>
      </c>
      <c r="J175" s="7">
        <f>IF($W175="","",I175*U175/100)</f>
        <v/>
      </c>
      <c r="K175">
        <f>IF($W175="","",INDEX('Per Line'!$U$2:$U$1501,$W175)&amp;"")</f>
        <v/>
      </c>
      <c r="L175" s="7">
        <f>IF($W175="","",SUMIFS('Per Line'!$Q$2:$Q$1501,'Per Line'!$B$2:$B$1501,$B175,'Per Line'!$AI$2:$AI$1501,1))</f>
        <v/>
      </c>
      <c r="M175">
        <f>IF($W175="","",Settings!$C$7)</f>
        <v/>
      </c>
      <c r="N175" s="7">
        <f>IF($W175="","",SUMIFS('Per Line'!$Q$2:$Q$1501,'Per Line'!$B$2:$B$1501,$B175,'Per Line'!$AH$2:$AH$1501,0,'Per Line'!$AI$2:$AI$1501,0))</f>
        <v/>
      </c>
      <c r="O175" s="7">
        <f>IF($W175="","",N175*M175)</f>
        <v/>
      </c>
      <c r="P175">
        <f>IF($W175="","",Settings!$C$6)</f>
        <v/>
      </c>
      <c r="Q175" s="7">
        <f>IF($W175="","",SUMIFS('Per Line'!$Q$2:$Q$1501,'Per Line'!$B$2:$B$1501,$B175,'Per Line'!$AH$2:$AH$1501,1,'Per Line'!$AI$2:$AI$1501,0))</f>
        <v/>
      </c>
      <c r="R175" s="7">
        <f>IF($W175="","",Q175*P175)</f>
        <v/>
      </c>
      <c r="S175" s="7">
        <f>IF($W175="","",R175+O175)</f>
        <v/>
      </c>
      <c r="T175" s="7">
        <f>IF($W175="","",U175-S175)</f>
        <v/>
      </c>
      <c r="U175" s="7">
        <f>IF($W175="","",N175+Q175+L175)</f>
        <v/>
      </c>
      <c r="V175" s="7">
        <f>IF($W175="","",U175-S175-J175)</f>
        <v/>
      </c>
      <c r="W175" s="13">
        <f>IF(ROWS($W$2:$W175)&lt;=MAX('Per Line'!$AG$2:$AG$1501),MATCH(ROWS($W$2:$W175),'Per Line'!$AG$2:$AG$1501,0),"")</f>
        <v/>
      </c>
    </row>
    <row r="176">
      <c r="A176" s="12" t="n"/>
      <c r="B176">
        <f>IF($W176="","",INDEX('Per Line'!$B$2:$B$1501,$W176)&amp;"")</f>
        <v/>
      </c>
      <c r="C176">
        <f>IF($W176="","",INDEX('Per Line'!$A$2:$A$1501,$W176))</f>
        <v/>
      </c>
      <c r="D176" s="11">
        <f>IF($W176="","",INDEX('Per Line'!$C$2:$C$1501,$W176))</f>
        <v/>
      </c>
      <c r="E176">
        <f>IF($W176="","",INDEX('Per Line'!$D$2:$D$1501,$W176)&amp;"")</f>
        <v/>
      </c>
      <c r="F176">
        <f>IF($W176="","",INDEX('Per Line'!$F$2:$F$1501,$W176)&amp;"")</f>
        <v/>
      </c>
      <c r="G176">
        <f>IF($W176="","",INDEX('Per Line'!$G$2:$G$1501,$W176)&amp;"")</f>
        <v/>
      </c>
      <c r="H176">
        <f>IF($W176="","",INDEX('Per Line'!$H$2:$H$1501,$W176)&amp;"")</f>
        <v/>
      </c>
      <c r="I176">
        <f>IF($W176="","",INDEX('Per Line'!$I$2:$I$1501,$W176))</f>
        <v/>
      </c>
      <c r="J176" s="7">
        <f>IF($W176="","",I176*U176/100)</f>
        <v/>
      </c>
      <c r="K176">
        <f>IF($W176="","",INDEX('Per Line'!$U$2:$U$1501,$W176)&amp;"")</f>
        <v/>
      </c>
      <c r="L176" s="7">
        <f>IF($W176="","",SUMIFS('Per Line'!$Q$2:$Q$1501,'Per Line'!$B$2:$B$1501,$B176,'Per Line'!$AI$2:$AI$1501,1))</f>
        <v/>
      </c>
      <c r="M176">
        <f>IF($W176="","",Settings!$C$7)</f>
        <v/>
      </c>
      <c r="N176" s="7">
        <f>IF($W176="","",SUMIFS('Per Line'!$Q$2:$Q$1501,'Per Line'!$B$2:$B$1501,$B176,'Per Line'!$AH$2:$AH$1501,0,'Per Line'!$AI$2:$AI$1501,0))</f>
        <v/>
      </c>
      <c r="O176" s="7">
        <f>IF($W176="","",N176*M176)</f>
        <v/>
      </c>
      <c r="P176">
        <f>IF($W176="","",Settings!$C$6)</f>
        <v/>
      </c>
      <c r="Q176" s="7">
        <f>IF($W176="","",SUMIFS('Per Line'!$Q$2:$Q$1501,'Per Line'!$B$2:$B$1501,$B176,'Per Line'!$AH$2:$AH$1501,1,'Per Line'!$AI$2:$AI$1501,0))</f>
        <v/>
      </c>
      <c r="R176" s="7">
        <f>IF($W176="","",Q176*P176)</f>
        <v/>
      </c>
      <c r="S176" s="7">
        <f>IF($W176="","",R176+O176)</f>
        <v/>
      </c>
      <c r="T176" s="7">
        <f>IF($W176="","",U176-S176)</f>
        <v/>
      </c>
      <c r="U176" s="7">
        <f>IF($W176="","",N176+Q176+L176)</f>
        <v/>
      </c>
      <c r="V176" s="7">
        <f>IF($W176="","",U176-S176-J176)</f>
        <v/>
      </c>
      <c r="W176" s="13">
        <f>IF(ROWS($W$2:$W176)&lt;=MAX('Per Line'!$AG$2:$AG$1501),MATCH(ROWS($W$2:$W176),'Per Line'!$AG$2:$AG$1501,0),"")</f>
        <v/>
      </c>
    </row>
    <row r="177">
      <c r="A177" s="12" t="n"/>
      <c r="B177">
        <f>IF($W177="","",INDEX('Per Line'!$B$2:$B$1501,$W177)&amp;"")</f>
        <v/>
      </c>
      <c r="C177">
        <f>IF($W177="","",INDEX('Per Line'!$A$2:$A$1501,$W177))</f>
        <v/>
      </c>
      <c r="D177" s="11">
        <f>IF($W177="","",INDEX('Per Line'!$C$2:$C$1501,$W177))</f>
        <v/>
      </c>
      <c r="E177">
        <f>IF($W177="","",INDEX('Per Line'!$D$2:$D$1501,$W177)&amp;"")</f>
        <v/>
      </c>
      <c r="F177">
        <f>IF($W177="","",INDEX('Per Line'!$F$2:$F$1501,$W177)&amp;"")</f>
        <v/>
      </c>
      <c r="G177">
        <f>IF($W177="","",INDEX('Per Line'!$G$2:$G$1501,$W177)&amp;"")</f>
        <v/>
      </c>
      <c r="H177">
        <f>IF($W177="","",INDEX('Per Line'!$H$2:$H$1501,$W177)&amp;"")</f>
        <v/>
      </c>
      <c r="I177">
        <f>IF($W177="","",INDEX('Per Line'!$I$2:$I$1501,$W177))</f>
        <v/>
      </c>
      <c r="J177" s="7">
        <f>IF($W177="","",I177*U177/100)</f>
        <v/>
      </c>
      <c r="K177">
        <f>IF($W177="","",INDEX('Per Line'!$U$2:$U$1501,$W177)&amp;"")</f>
        <v/>
      </c>
      <c r="L177" s="7">
        <f>IF($W177="","",SUMIFS('Per Line'!$Q$2:$Q$1501,'Per Line'!$B$2:$B$1501,$B177,'Per Line'!$AI$2:$AI$1501,1))</f>
        <v/>
      </c>
      <c r="M177">
        <f>IF($W177="","",Settings!$C$7)</f>
        <v/>
      </c>
      <c r="N177" s="7">
        <f>IF($W177="","",SUMIFS('Per Line'!$Q$2:$Q$1501,'Per Line'!$B$2:$B$1501,$B177,'Per Line'!$AH$2:$AH$1501,0,'Per Line'!$AI$2:$AI$1501,0))</f>
        <v/>
      </c>
      <c r="O177" s="7">
        <f>IF($W177="","",N177*M177)</f>
        <v/>
      </c>
      <c r="P177">
        <f>IF($W177="","",Settings!$C$6)</f>
        <v/>
      </c>
      <c r="Q177" s="7">
        <f>IF($W177="","",SUMIFS('Per Line'!$Q$2:$Q$1501,'Per Line'!$B$2:$B$1501,$B177,'Per Line'!$AH$2:$AH$1501,1,'Per Line'!$AI$2:$AI$1501,0))</f>
        <v/>
      </c>
      <c r="R177" s="7">
        <f>IF($W177="","",Q177*P177)</f>
        <v/>
      </c>
      <c r="S177" s="7">
        <f>IF($W177="","",R177+O177)</f>
        <v/>
      </c>
      <c r="T177" s="7">
        <f>IF($W177="","",U177-S177)</f>
        <v/>
      </c>
      <c r="U177" s="7">
        <f>IF($W177="","",N177+Q177+L177)</f>
        <v/>
      </c>
      <c r="V177" s="7">
        <f>IF($W177="","",U177-S177-J177)</f>
        <v/>
      </c>
      <c r="W177" s="13">
        <f>IF(ROWS($W$2:$W177)&lt;=MAX('Per Line'!$AG$2:$AG$1501),MATCH(ROWS($W$2:$W177),'Per Line'!$AG$2:$AG$1501,0),"")</f>
        <v/>
      </c>
    </row>
    <row r="178">
      <c r="A178" s="12" t="n"/>
      <c r="B178">
        <f>IF($W178="","",INDEX('Per Line'!$B$2:$B$1501,$W178)&amp;"")</f>
        <v/>
      </c>
      <c r="C178">
        <f>IF($W178="","",INDEX('Per Line'!$A$2:$A$1501,$W178))</f>
        <v/>
      </c>
      <c r="D178" s="11">
        <f>IF($W178="","",INDEX('Per Line'!$C$2:$C$1501,$W178))</f>
        <v/>
      </c>
      <c r="E178">
        <f>IF($W178="","",INDEX('Per Line'!$D$2:$D$1501,$W178)&amp;"")</f>
        <v/>
      </c>
      <c r="F178">
        <f>IF($W178="","",INDEX('Per Line'!$F$2:$F$1501,$W178)&amp;"")</f>
        <v/>
      </c>
      <c r="G178">
        <f>IF($W178="","",INDEX('Per Line'!$G$2:$G$1501,$W178)&amp;"")</f>
        <v/>
      </c>
      <c r="H178">
        <f>IF($W178="","",INDEX('Per Line'!$H$2:$H$1501,$W178)&amp;"")</f>
        <v/>
      </c>
      <c r="I178">
        <f>IF($W178="","",INDEX('Per Line'!$I$2:$I$1501,$W178))</f>
        <v/>
      </c>
      <c r="J178" s="7">
        <f>IF($W178="","",I178*U178/100)</f>
        <v/>
      </c>
      <c r="K178">
        <f>IF($W178="","",INDEX('Per Line'!$U$2:$U$1501,$W178)&amp;"")</f>
        <v/>
      </c>
      <c r="L178" s="7">
        <f>IF($W178="","",SUMIFS('Per Line'!$Q$2:$Q$1501,'Per Line'!$B$2:$B$1501,$B178,'Per Line'!$AI$2:$AI$1501,1))</f>
        <v/>
      </c>
      <c r="M178">
        <f>IF($W178="","",Settings!$C$7)</f>
        <v/>
      </c>
      <c r="N178" s="7">
        <f>IF($W178="","",SUMIFS('Per Line'!$Q$2:$Q$1501,'Per Line'!$B$2:$B$1501,$B178,'Per Line'!$AH$2:$AH$1501,0,'Per Line'!$AI$2:$AI$1501,0))</f>
        <v/>
      </c>
      <c r="O178" s="7">
        <f>IF($W178="","",N178*M178)</f>
        <v/>
      </c>
      <c r="P178">
        <f>IF($W178="","",Settings!$C$6)</f>
        <v/>
      </c>
      <c r="Q178" s="7">
        <f>IF($W178="","",SUMIFS('Per Line'!$Q$2:$Q$1501,'Per Line'!$B$2:$B$1501,$B178,'Per Line'!$AH$2:$AH$1501,1,'Per Line'!$AI$2:$AI$1501,0))</f>
        <v/>
      </c>
      <c r="R178" s="7">
        <f>IF($W178="","",Q178*P178)</f>
        <v/>
      </c>
      <c r="S178" s="7">
        <f>IF($W178="","",R178+O178)</f>
        <v/>
      </c>
      <c r="T178" s="7">
        <f>IF($W178="","",U178-S178)</f>
        <v/>
      </c>
      <c r="U178" s="7">
        <f>IF($W178="","",N178+Q178+L178)</f>
        <v/>
      </c>
      <c r="V178" s="7">
        <f>IF($W178="","",U178-S178-J178)</f>
        <v/>
      </c>
      <c r="W178" s="13">
        <f>IF(ROWS($W$2:$W178)&lt;=MAX('Per Line'!$AG$2:$AG$1501),MATCH(ROWS($W$2:$W178),'Per Line'!$AG$2:$AG$1501,0),"")</f>
        <v/>
      </c>
    </row>
    <row r="179">
      <c r="A179" s="12" t="n"/>
      <c r="B179">
        <f>IF($W179="","",INDEX('Per Line'!$B$2:$B$1501,$W179)&amp;"")</f>
        <v/>
      </c>
      <c r="C179">
        <f>IF($W179="","",INDEX('Per Line'!$A$2:$A$1501,$W179))</f>
        <v/>
      </c>
      <c r="D179" s="11">
        <f>IF($W179="","",INDEX('Per Line'!$C$2:$C$1501,$W179))</f>
        <v/>
      </c>
      <c r="E179">
        <f>IF($W179="","",INDEX('Per Line'!$D$2:$D$1501,$W179)&amp;"")</f>
        <v/>
      </c>
      <c r="F179">
        <f>IF($W179="","",INDEX('Per Line'!$F$2:$F$1501,$W179)&amp;"")</f>
        <v/>
      </c>
      <c r="G179">
        <f>IF($W179="","",INDEX('Per Line'!$G$2:$G$1501,$W179)&amp;"")</f>
        <v/>
      </c>
      <c r="H179">
        <f>IF($W179="","",INDEX('Per Line'!$H$2:$H$1501,$W179)&amp;"")</f>
        <v/>
      </c>
      <c r="I179">
        <f>IF($W179="","",INDEX('Per Line'!$I$2:$I$1501,$W179))</f>
        <v/>
      </c>
      <c r="J179" s="7">
        <f>IF($W179="","",I179*U179/100)</f>
        <v/>
      </c>
      <c r="K179">
        <f>IF($W179="","",INDEX('Per Line'!$U$2:$U$1501,$W179)&amp;"")</f>
        <v/>
      </c>
      <c r="L179" s="7">
        <f>IF($W179="","",SUMIFS('Per Line'!$Q$2:$Q$1501,'Per Line'!$B$2:$B$1501,$B179,'Per Line'!$AI$2:$AI$1501,1))</f>
        <v/>
      </c>
      <c r="M179">
        <f>IF($W179="","",Settings!$C$7)</f>
        <v/>
      </c>
      <c r="N179" s="7">
        <f>IF($W179="","",SUMIFS('Per Line'!$Q$2:$Q$1501,'Per Line'!$B$2:$B$1501,$B179,'Per Line'!$AH$2:$AH$1501,0,'Per Line'!$AI$2:$AI$1501,0))</f>
        <v/>
      </c>
      <c r="O179" s="7">
        <f>IF($W179="","",N179*M179)</f>
        <v/>
      </c>
      <c r="P179">
        <f>IF($W179="","",Settings!$C$6)</f>
        <v/>
      </c>
      <c r="Q179" s="7">
        <f>IF($W179="","",SUMIFS('Per Line'!$Q$2:$Q$1501,'Per Line'!$B$2:$B$1501,$B179,'Per Line'!$AH$2:$AH$1501,1,'Per Line'!$AI$2:$AI$1501,0))</f>
        <v/>
      </c>
      <c r="R179" s="7">
        <f>IF($W179="","",Q179*P179)</f>
        <v/>
      </c>
      <c r="S179" s="7">
        <f>IF($W179="","",R179+O179)</f>
        <v/>
      </c>
      <c r="T179" s="7">
        <f>IF($W179="","",U179-S179)</f>
        <v/>
      </c>
      <c r="U179" s="7">
        <f>IF($W179="","",N179+Q179+L179)</f>
        <v/>
      </c>
      <c r="V179" s="7">
        <f>IF($W179="","",U179-S179-J179)</f>
        <v/>
      </c>
      <c r="W179" s="13">
        <f>IF(ROWS($W$2:$W179)&lt;=MAX('Per Line'!$AG$2:$AG$1501),MATCH(ROWS($W$2:$W179),'Per Line'!$AG$2:$AG$1501,0),"")</f>
        <v/>
      </c>
    </row>
    <row r="180">
      <c r="A180" s="12" t="n"/>
      <c r="B180">
        <f>IF($W180="","",INDEX('Per Line'!$B$2:$B$1501,$W180)&amp;"")</f>
        <v/>
      </c>
      <c r="C180">
        <f>IF($W180="","",INDEX('Per Line'!$A$2:$A$1501,$W180))</f>
        <v/>
      </c>
      <c r="D180" s="11">
        <f>IF($W180="","",INDEX('Per Line'!$C$2:$C$1501,$W180))</f>
        <v/>
      </c>
      <c r="E180">
        <f>IF($W180="","",INDEX('Per Line'!$D$2:$D$1501,$W180)&amp;"")</f>
        <v/>
      </c>
      <c r="F180">
        <f>IF($W180="","",INDEX('Per Line'!$F$2:$F$1501,$W180)&amp;"")</f>
        <v/>
      </c>
      <c r="G180">
        <f>IF($W180="","",INDEX('Per Line'!$G$2:$G$1501,$W180)&amp;"")</f>
        <v/>
      </c>
      <c r="H180">
        <f>IF($W180="","",INDEX('Per Line'!$H$2:$H$1501,$W180)&amp;"")</f>
        <v/>
      </c>
      <c r="I180">
        <f>IF($W180="","",INDEX('Per Line'!$I$2:$I$1501,$W180))</f>
        <v/>
      </c>
      <c r="J180" s="7">
        <f>IF($W180="","",I180*U180/100)</f>
        <v/>
      </c>
      <c r="K180">
        <f>IF($W180="","",INDEX('Per Line'!$U$2:$U$1501,$W180)&amp;"")</f>
        <v/>
      </c>
      <c r="L180" s="7">
        <f>IF($W180="","",SUMIFS('Per Line'!$Q$2:$Q$1501,'Per Line'!$B$2:$B$1501,$B180,'Per Line'!$AI$2:$AI$1501,1))</f>
        <v/>
      </c>
      <c r="M180">
        <f>IF($W180="","",Settings!$C$7)</f>
        <v/>
      </c>
      <c r="N180" s="7">
        <f>IF($W180="","",SUMIFS('Per Line'!$Q$2:$Q$1501,'Per Line'!$B$2:$B$1501,$B180,'Per Line'!$AH$2:$AH$1501,0,'Per Line'!$AI$2:$AI$1501,0))</f>
        <v/>
      </c>
      <c r="O180" s="7">
        <f>IF($W180="","",N180*M180)</f>
        <v/>
      </c>
      <c r="P180">
        <f>IF($W180="","",Settings!$C$6)</f>
        <v/>
      </c>
      <c r="Q180" s="7">
        <f>IF($W180="","",SUMIFS('Per Line'!$Q$2:$Q$1501,'Per Line'!$B$2:$B$1501,$B180,'Per Line'!$AH$2:$AH$1501,1,'Per Line'!$AI$2:$AI$1501,0))</f>
        <v/>
      </c>
      <c r="R180" s="7">
        <f>IF($W180="","",Q180*P180)</f>
        <v/>
      </c>
      <c r="S180" s="7">
        <f>IF($W180="","",R180+O180)</f>
        <v/>
      </c>
      <c r="T180" s="7">
        <f>IF($W180="","",U180-S180)</f>
        <v/>
      </c>
      <c r="U180" s="7">
        <f>IF($W180="","",N180+Q180+L180)</f>
        <v/>
      </c>
      <c r="V180" s="7">
        <f>IF($W180="","",U180-S180-J180)</f>
        <v/>
      </c>
      <c r="W180" s="13">
        <f>IF(ROWS($W$2:$W180)&lt;=MAX('Per Line'!$AG$2:$AG$1501),MATCH(ROWS($W$2:$W180),'Per Line'!$AG$2:$AG$1501,0),"")</f>
        <v/>
      </c>
    </row>
    <row r="181">
      <c r="A181" s="12" t="n"/>
      <c r="B181">
        <f>IF($W181="","",INDEX('Per Line'!$B$2:$B$1501,$W181)&amp;"")</f>
        <v/>
      </c>
      <c r="C181">
        <f>IF($W181="","",INDEX('Per Line'!$A$2:$A$1501,$W181))</f>
        <v/>
      </c>
      <c r="D181" s="11">
        <f>IF($W181="","",INDEX('Per Line'!$C$2:$C$1501,$W181))</f>
        <v/>
      </c>
      <c r="E181">
        <f>IF($W181="","",INDEX('Per Line'!$D$2:$D$1501,$W181)&amp;"")</f>
        <v/>
      </c>
      <c r="F181">
        <f>IF($W181="","",INDEX('Per Line'!$F$2:$F$1501,$W181)&amp;"")</f>
        <v/>
      </c>
      <c r="G181">
        <f>IF($W181="","",INDEX('Per Line'!$G$2:$G$1501,$W181)&amp;"")</f>
        <v/>
      </c>
      <c r="H181">
        <f>IF($W181="","",INDEX('Per Line'!$H$2:$H$1501,$W181)&amp;"")</f>
        <v/>
      </c>
      <c r="I181">
        <f>IF($W181="","",INDEX('Per Line'!$I$2:$I$1501,$W181))</f>
        <v/>
      </c>
      <c r="J181" s="7">
        <f>IF($W181="","",I181*U181/100)</f>
        <v/>
      </c>
      <c r="K181">
        <f>IF($W181="","",INDEX('Per Line'!$U$2:$U$1501,$W181)&amp;"")</f>
        <v/>
      </c>
      <c r="L181" s="7">
        <f>IF($W181="","",SUMIFS('Per Line'!$Q$2:$Q$1501,'Per Line'!$B$2:$B$1501,$B181,'Per Line'!$AI$2:$AI$1501,1))</f>
        <v/>
      </c>
      <c r="M181">
        <f>IF($W181="","",Settings!$C$7)</f>
        <v/>
      </c>
      <c r="N181" s="7">
        <f>IF($W181="","",SUMIFS('Per Line'!$Q$2:$Q$1501,'Per Line'!$B$2:$B$1501,$B181,'Per Line'!$AH$2:$AH$1501,0,'Per Line'!$AI$2:$AI$1501,0))</f>
        <v/>
      </c>
      <c r="O181" s="7">
        <f>IF($W181="","",N181*M181)</f>
        <v/>
      </c>
      <c r="P181">
        <f>IF($W181="","",Settings!$C$6)</f>
        <v/>
      </c>
      <c r="Q181" s="7">
        <f>IF($W181="","",SUMIFS('Per Line'!$Q$2:$Q$1501,'Per Line'!$B$2:$B$1501,$B181,'Per Line'!$AH$2:$AH$1501,1,'Per Line'!$AI$2:$AI$1501,0))</f>
        <v/>
      </c>
      <c r="R181" s="7">
        <f>IF($W181="","",Q181*P181)</f>
        <v/>
      </c>
      <c r="S181" s="7">
        <f>IF($W181="","",R181+O181)</f>
        <v/>
      </c>
      <c r="T181" s="7">
        <f>IF($W181="","",U181-S181)</f>
        <v/>
      </c>
      <c r="U181" s="7">
        <f>IF($W181="","",N181+Q181+L181)</f>
        <v/>
      </c>
      <c r="V181" s="7">
        <f>IF($W181="","",U181-S181-J181)</f>
        <v/>
      </c>
      <c r="W181" s="13">
        <f>IF(ROWS($W$2:$W181)&lt;=MAX('Per Line'!$AG$2:$AG$1501),MATCH(ROWS($W$2:$W181),'Per Line'!$AG$2:$AG$1501,0),"")</f>
        <v/>
      </c>
    </row>
    <row r="182">
      <c r="A182" s="12" t="n"/>
      <c r="B182">
        <f>IF($W182="","",INDEX('Per Line'!$B$2:$B$1501,$W182)&amp;"")</f>
        <v/>
      </c>
      <c r="C182">
        <f>IF($W182="","",INDEX('Per Line'!$A$2:$A$1501,$W182))</f>
        <v/>
      </c>
      <c r="D182" s="11">
        <f>IF($W182="","",INDEX('Per Line'!$C$2:$C$1501,$W182))</f>
        <v/>
      </c>
      <c r="E182">
        <f>IF($W182="","",INDEX('Per Line'!$D$2:$D$1501,$W182)&amp;"")</f>
        <v/>
      </c>
      <c r="F182">
        <f>IF($W182="","",INDEX('Per Line'!$F$2:$F$1501,$W182)&amp;"")</f>
        <v/>
      </c>
      <c r="G182">
        <f>IF($W182="","",INDEX('Per Line'!$G$2:$G$1501,$W182)&amp;"")</f>
        <v/>
      </c>
      <c r="H182">
        <f>IF($W182="","",INDEX('Per Line'!$H$2:$H$1501,$W182)&amp;"")</f>
        <v/>
      </c>
      <c r="I182">
        <f>IF($W182="","",INDEX('Per Line'!$I$2:$I$1501,$W182))</f>
        <v/>
      </c>
      <c r="J182" s="7">
        <f>IF($W182="","",I182*U182/100)</f>
        <v/>
      </c>
      <c r="K182">
        <f>IF($W182="","",INDEX('Per Line'!$U$2:$U$1501,$W182)&amp;"")</f>
        <v/>
      </c>
      <c r="L182" s="7">
        <f>IF($W182="","",SUMIFS('Per Line'!$Q$2:$Q$1501,'Per Line'!$B$2:$B$1501,$B182,'Per Line'!$AI$2:$AI$1501,1))</f>
        <v/>
      </c>
      <c r="M182">
        <f>IF($W182="","",Settings!$C$7)</f>
        <v/>
      </c>
      <c r="N182" s="7">
        <f>IF($W182="","",SUMIFS('Per Line'!$Q$2:$Q$1501,'Per Line'!$B$2:$B$1501,$B182,'Per Line'!$AH$2:$AH$1501,0,'Per Line'!$AI$2:$AI$1501,0))</f>
        <v/>
      </c>
      <c r="O182" s="7">
        <f>IF($W182="","",N182*M182)</f>
        <v/>
      </c>
      <c r="P182">
        <f>IF($W182="","",Settings!$C$6)</f>
        <v/>
      </c>
      <c r="Q182" s="7">
        <f>IF($W182="","",SUMIFS('Per Line'!$Q$2:$Q$1501,'Per Line'!$B$2:$B$1501,$B182,'Per Line'!$AH$2:$AH$1501,1,'Per Line'!$AI$2:$AI$1501,0))</f>
        <v/>
      </c>
      <c r="R182" s="7">
        <f>IF($W182="","",Q182*P182)</f>
        <v/>
      </c>
      <c r="S182" s="7">
        <f>IF($W182="","",R182+O182)</f>
        <v/>
      </c>
      <c r="T182" s="7">
        <f>IF($W182="","",U182-S182)</f>
        <v/>
      </c>
      <c r="U182" s="7">
        <f>IF($W182="","",N182+Q182+L182)</f>
        <v/>
      </c>
      <c r="V182" s="7">
        <f>IF($W182="","",U182-S182-J182)</f>
        <v/>
      </c>
      <c r="W182" s="13">
        <f>IF(ROWS($W$2:$W182)&lt;=MAX('Per Line'!$AG$2:$AG$1501),MATCH(ROWS($W$2:$W182),'Per Line'!$AG$2:$AG$1501,0),"")</f>
        <v/>
      </c>
    </row>
    <row r="183">
      <c r="A183" s="12" t="n"/>
      <c r="B183">
        <f>IF($W183="","",INDEX('Per Line'!$B$2:$B$1501,$W183)&amp;"")</f>
        <v/>
      </c>
      <c r="C183">
        <f>IF($W183="","",INDEX('Per Line'!$A$2:$A$1501,$W183))</f>
        <v/>
      </c>
      <c r="D183" s="11">
        <f>IF($W183="","",INDEX('Per Line'!$C$2:$C$1501,$W183))</f>
        <v/>
      </c>
      <c r="E183">
        <f>IF($W183="","",INDEX('Per Line'!$D$2:$D$1501,$W183)&amp;"")</f>
        <v/>
      </c>
      <c r="F183">
        <f>IF($W183="","",INDEX('Per Line'!$F$2:$F$1501,$W183)&amp;"")</f>
        <v/>
      </c>
      <c r="G183">
        <f>IF($W183="","",INDEX('Per Line'!$G$2:$G$1501,$W183)&amp;"")</f>
        <v/>
      </c>
      <c r="H183">
        <f>IF($W183="","",INDEX('Per Line'!$H$2:$H$1501,$W183)&amp;"")</f>
        <v/>
      </c>
      <c r="I183">
        <f>IF($W183="","",INDEX('Per Line'!$I$2:$I$1501,$W183))</f>
        <v/>
      </c>
      <c r="J183" s="7">
        <f>IF($W183="","",I183*U183/100)</f>
        <v/>
      </c>
      <c r="K183">
        <f>IF($W183="","",INDEX('Per Line'!$U$2:$U$1501,$W183)&amp;"")</f>
        <v/>
      </c>
      <c r="L183" s="7">
        <f>IF($W183="","",SUMIFS('Per Line'!$Q$2:$Q$1501,'Per Line'!$B$2:$B$1501,$B183,'Per Line'!$AI$2:$AI$1501,1))</f>
        <v/>
      </c>
      <c r="M183">
        <f>IF($W183="","",Settings!$C$7)</f>
        <v/>
      </c>
      <c r="N183" s="7">
        <f>IF($W183="","",SUMIFS('Per Line'!$Q$2:$Q$1501,'Per Line'!$B$2:$B$1501,$B183,'Per Line'!$AH$2:$AH$1501,0,'Per Line'!$AI$2:$AI$1501,0))</f>
        <v/>
      </c>
      <c r="O183" s="7">
        <f>IF($W183="","",N183*M183)</f>
        <v/>
      </c>
      <c r="P183">
        <f>IF($W183="","",Settings!$C$6)</f>
        <v/>
      </c>
      <c r="Q183" s="7">
        <f>IF($W183="","",SUMIFS('Per Line'!$Q$2:$Q$1501,'Per Line'!$B$2:$B$1501,$B183,'Per Line'!$AH$2:$AH$1501,1,'Per Line'!$AI$2:$AI$1501,0))</f>
        <v/>
      </c>
      <c r="R183" s="7">
        <f>IF($W183="","",Q183*P183)</f>
        <v/>
      </c>
      <c r="S183" s="7">
        <f>IF($W183="","",R183+O183)</f>
        <v/>
      </c>
      <c r="T183" s="7">
        <f>IF($W183="","",U183-S183)</f>
        <v/>
      </c>
      <c r="U183" s="7">
        <f>IF($W183="","",N183+Q183+L183)</f>
        <v/>
      </c>
      <c r="V183" s="7">
        <f>IF($W183="","",U183-S183-J183)</f>
        <v/>
      </c>
      <c r="W183" s="13">
        <f>IF(ROWS($W$2:$W183)&lt;=MAX('Per Line'!$AG$2:$AG$1501),MATCH(ROWS($W$2:$W183),'Per Line'!$AG$2:$AG$1501,0),"")</f>
        <v/>
      </c>
    </row>
    <row r="184">
      <c r="A184" s="12" t="n"/>
      <c r="B184">
        <f>IF($W184="","",INDEX('Per Line'!$B$2:$B$1501,$W184)&amp;"")</f>
        <v/>
      </c>
      <c r="C184">
        <f>IF($W184="","",INDEX('Per Line'!$A$2:$A$1501,$W184))</f>
        <v/>
      </c>
      <c r="D184" s="11">
        <f>IF($W184="","",INDEX('Per Line'!$C$2:$C$1501,$W184))</f>
        <v/>
      </c>
      <c r="E184">
        <f>IF($W184="","",INDEX('Per Line'!$D$2:$D$1501,$W184)&amp;"")</f>
        <v/>
      </c>
      <c r="F184">
        <f>IF($W184="","",INDEX('Per Line'!$F$2:$F$1501,$W184)&amp;"")</f>
        <v/>
      </c>
      <c r="G184">
        <f>IF($W184="","",INDEX('Per Line'!$G$2:$G$1501,$W184)&amp;"")</f>
        <v/>
      </c>
      <c r="H184">
        <f>IF($W184="","",INDEX('Per Line'!$H$2:$H$1501,$W184)&amp;"")</f>
        <v/>
      </c>
      <c r="I184">
        <f>IF($W184="","",INDEX('Per Line'!$I$2:$I$1501,$W184))</f>
        <v/>
      </c>
      <c r="J184" s="7">
        <f>IF($W184="","",I184*U184/100)</f>
        <v/>
      </c>
      <c r="K184">
        <f>IF($W184="","",INDEX('Per Line'!$U$2:$U$1501,$W184)&amp;"")</f>
        <v/>
      </c>
      <c r="L184" s="7">
        <f>IF($W184="","",SUMIFS('Per Line'!$Q$2:$Q$1501,'Per Line'!$B$2:$B$1501,$B184,'Per Line'!$AI$2:$AI$1501,1))</f>
        <v/>
      </c>
      <c r="M184">
        <f>IF($W184="","",Settings!$C$7)</f>
        <v/>
      </c>
      <c r="N184" s="7">
        <f>IF($W184="","",SUMIFS('Per Line'!$Q$2:$Q$1501,'Per Line'!$B$2:$B$1501,$B184,'Per Line'!$AH$2:$AH$1501,0,'Per Line'!$AI$2:$AI$1501,0))</f>
        <v/>
      </c>
      <c r="O184" s="7">
        <f>IF($W184="","",N184*M184)</f>
        <v/>
      </c>
      <c r="P184">
        <f>IF($W184="","",Settings!$C$6)</f>
        <v/>
      </c>
      <c r="Q184" s="7">
        <f>IF($W184="","",SUMIFS('Per Line'!$Q$2:$Q$1501,'Per Line'!$B$2:$B$1501,$B184,'Per Line'!$AH$2:$AH$1501,1,'Per Line'!$AI$2:$AI$1501,0))</f>
        <v/>
      </c>
      <c r="R184" s="7">
        <f>IF($W184="","",Q184*P184)</f>
        <v/>
      </c>
      <c r="S184" s="7">
        <f>IF($W184="","",R184+O184)</f>
        <v/>
      </c>
      <c r="T184" s="7">
        <f>IF($W184="","",U184-S184)</f>
        <v/>
      </c>
      <c r="U184" s="7">
        <f>IF($W184="","",N184+Q184+L184)</f>
        <v/>
      </c>
      <c r="V184" s="7">
        <f>IF($W184="","",U184-S184-J184)</f>
        <v/>
      </c>
      <c r="W184" s="13">
        <f>IF(ROWS($W$2:$W184)&lt;=MAX('Per Line'!$AG$2:$AG$1501),MATCH(ROWS($W$2:$W184),'Per Line'!$AG$2:$AG$1501,0),"")</f>
        <v/>
      </c>
    </row>
    <row r="185">
      <c r="A185" s="12" t="n"/>
      <c r="B185">
        <f>IF($W185="","",INDEX('Per Line'!$B$2:$B$1501,$W185)&amp;"")</f>
        <v/>
      </c>
      <c r="C185">
        <f>IF($W185="","",INDEX('Per Line'!$A$2:$A$1501,$W185))</f>
        <v/>
      </c>
      <c r="D185" s="11">
        <f>IF($W185="","",INDEX('Per Line'!$C$2:$C$1501,$W185))</f>
        <v/>
      </c>
      <c r="E185">
        <f>IF($W185="","",INDEX('Per Line'!$D$2:$D$1501,$W185)&amp;"")</f>
        <v/>
      </c>
      <c r="F185">
        <f>IF($W185="","",INDEX('Per Line'!$F$2:$F$1501,$W185)&amp;"")</f>
        <v/>
      </c>
      <c r="G185">
        <f>IF($W185="","",INDEX('Per Line'!$G$2:$G$1501,$W185)&amp;"")</f>
        <v/>
      </c>
      <c r="H185">
        <f>IF($W185="","",INDEX('Per Line'!$H$2:$H$1501,$W185)&amp;"")</f>
        <v/>
      </c>
      <c r="I185">
        <f>IF($W185="","",INDEX('Per Line'!$I$2:$I$1501,$W185))</f>
        <v/>
      </c>
      <c r="J185" s="7">
        <f>IF($W185="","",I185*U185/100)</f>
        <v/>
      </c>
      <c r="K185">
        <f>IF($W185="","",INDEX('Per Line'!$U$2:$U$1501,$W185)&amp;"")</f>
        <v/>
      </c>
      <c r="L185" s="7">
        <f>IF($W185="","",SUMIFS('Per Line'!$Q$2:$Q$1501,'Per Line'!$B$2:$B$1501,$B185,'Per Line'!$AI$2:$AI$1501,1))</f>
        <v/>
      </c>
      <c r="M185">
        <f>IF($W185="","",Settings!$C$7)</f>
        <v/>
      </c>
      <c r="N185" s="7">
        <f>IF($W185="","",SUMIFS('Per Line'!$Q$2:$Q$1501,'Per Line'!$B$2:$B$1501,$B185,'Per Line'!$AH$2:$AH$1501,0,'Per Line'!$AI$2:$AI$1501,0))</f>
        <v/>
      </c>
      <c r="O185" s="7">
        <f>IF($W185="","",N185*M185)</f>
        <v/>
      </c>
      <c r="P185">
        <f>IF($W185="","",Settings!$C$6)</f>
        <v/>
      </c>
      <c r="Q185" s="7">
        <f>IF($W185="","",SUMIFS('Per Line'!$Q$2:$Q$1501,'Per Line'!$B$2:$B$1501,$B185,'Per Line'!$AH$2:$AH$1501,1,'Per Line'!$AI$2:$AI$1501,0))</f>
        <v/>
      </c>
      <c r="R185" s="7">
        <f>IF($W185="","",Q185*P185)</f>
        <v/>
      </c>
      <c r="S185" s="7">
        <f>IF($W185="","",R185+O185)</f>
        <v/>
      </c>
      <c r="T185" s="7">
        <f>IF($W185="","",U185-S185)</f>
        <v/>
      </c>
      <c r="U185" s="7">
        <f>IF($W185="","",N185+Q185+L185)</f>
        <v/>
      </c>
      <c r="V185" s="7">
        <f>IF($W185="","",U185-S185-J185)</f>
        <v/>
      </c>
      <c r="W185" s="13">
        <f>IF(ROWS($W$2:$W185)&lt;=MAX('Per Line'!$AG$2:$AG$1501),MATCH(ROWS($W$2:$W185),'Per Line'!$AG$2:$AG$1501,0),"")</f>
        <v/>
      </c>
    </row>
    <row r="186">
      <c r="A186" s="12" t="n"/>
      <c r="B186">
        <f>IF($W186="","",INDEX('Per Line'!$B$2:$B$1501,$W186)&amp;"")</f>
        <v/>
      </c>
      <c r="C186">
        <f>IF($W186="","",INDEX('Per Line'!$A$2:$A$1501,$W186))</f>
        <v/>
      </c>
      <c r="D186" s="11">
        <f>IF($W186="","",INDEX('Per Line'!$C$2:$C$1501,$W186))</f>
        <v/>
      </c>
      <c r="E186">
        <f>IF($W186="","",INDEX('Per Line'!$D$2:$D$1501,$W186)&amp;"")</f>
        <v/>
      </c>
      <c r="F186">
        <f>IF($W186="","",INDEX('Per Line'!$F$2:$F$1501,$W186)&amp;"")</f>
        <v/>
      </c>
      <c r="G186">
        <f>IF($W186="","",INDEX('Per Line'!$G$2:$G$1501,$W186)&amp;"")</f>
        <v/>
      </c>
      <c r="H186">
        <f>IF($W186="","",INDEX('Per Line'!$H$2:$H$1501,$W186)&amp;"")</f>
        <v/>
      </c>
      <c r="I186">
        <f>IF($W186="","",INDEX('Per Line'!$I$2:$I$1501,$W186))</f>
        <v/>
      </c>
      <c r="J186" s="7">
        <f>IF($W186="","",I186*U186/100)</f>
        <v/>
      </c>
      <c r="K186">
        <f>IF($W186="","",INDEX('Per Line'!$U$2:$U$1501,$W186)&amp;"")</f>
        <v/>
      </c>
      <c r="L186" s="7">
        <f>IF($W186="","",SUMIFS('Per Line'!$Q$2:$Q$1501,'Per Line'!$B$2:$B$1501,$B186,'Per Line'!$AI$2:$AI$1501,1))</f>
        <v/>
      </c>
      <c r="M186">
        <f>IF($W186="","",Settings!$C$7)</f>
        <v/>
      </c>
      <c r="N186" s="7">
        <f>IF($W186="","",SUMIFS('Per Line'!$Q$2:$Q$1501,'Per Line'!$B$2:$B$1501,$B186,'Per Line'!$AH$2:$AH$1501,0,'Per Line'!$AI$2:$AI$1501,0))</f>
        <v/>
      </c>
      <c r="O186" s="7">
        <f>IF($W186="","",N186*M186)</f>
        <v/>
      </c>
      <c r="P186">
        <f>IF($W186="","",Settings!$C$6)</f>
        <v/>
      </c>
      <c r="Q186" s="7">
        <f>IF($W186="","",SUMIFS('Per Line'!$Q$2:$Q$1501,'Per Line'!$B$2:$B$1501,$B186,'Per Line'!$AH$2:$AH$1501,1,'Per Line'!$AI$2:$AI$1501,0))</f>
        <v/>
      </c>
      <c r="R186" s="7">
        <f>IF($W186="","",Q186*P186)</f>
        <v/>
      </c>
      <c r="S186" s="7">
        <f>IF($W186="","",R186+O186)</f>
        <v/>
      </c>
      <c r="T186" s="7">
        <f>IF($W186="","",U186-S186)</f>
        <v/>
      </c>
      <c r="U186" s="7">
        <f>IF($W186="","",N186+Q186+L186)</f>
        <v/>
      </c>
      <c r="V186" s="7">
        <f>IF($W186="","",U186-S186-J186)</f>
        <v/>
      </c>
      <c r="W186" s="13">
        <f>IF(ROWS($W$2:$W186)&lt;=MAX('Per Line'!$AG$2:$AG$1501),MATCH(ROWS($W$2:$W186),'Per Line'!$AG$2:$AG$1501,0),"")</f>
        <v/>
      </c>
    </row>
    <row r="187">
      <c r="A187" s="12" t="n"/>
      <c r="B187">
        <f>IF($W187="","",INDEX('Per Line'!$B$2:$B$1501,$W187)&amp;"")</f>
        <v/>
      </c>
      <c r="C187">
        <f>IF($W187="","",INDEX('Per Line'!$A$2:$A$1501,$W187))</f>
        <v/>
      </c>
      <c r="D187" s="11">
        <f>IF($W187="","",INDEX('Per Line'!$C$2:$C$1501,$W187))</f>
        <v/>
      </c>
      <c r="E187">
        <f>IF($W187="","",INDEX('Per Line'!$D$2:$D$1501,$W187)&amp;"")</f>
        <v/>
      </c>
      <c r="F187">
        <f>IF($W187="","",INDEX('Per Line'!$F$2:$F$1501,$W187)&amp;"")</f>
        <v/>
      </c>
      <c r="G187">
        <f>IF($W187="","",INDEX('Per Line'!$G$2:$G$1501,$W187)&amp;"")</f>
        <v/>
      </c>
      <c r="H187">
        <f>IF($W187="","",INDEX('Per Line'!$H$2:$H$1501,$W187)&amp;"")</f>
        <v/>
      </c>
      <c r="I187">
        <f>IF($W187="","",INDEX('Per Line'!$I$2:$I$1501,$W187))</f>
        <v/>
      </c>
      <c r="J187" s="7">
        <f>IF($W187="","",I187*U187/100)</f>
        <v/>
      </c>
      <c r="K187">
        <f>IF($W187="","",INDEX('Per Line'!$U$2:$U$1501,$W187)&amp;"")</f>
        <v/>
      </c>
      <c r="L187" s="7">
        <f>IF($W187="","",SUMIFS('Per Line'!$Q$2:$Q$1501,'Per Line'!$B$2:$B$1501,$B187,'Per Line'!$AI$2:$AI$1501,1))</f>
        <v/>
      </c>
      <c r="M187">
        <f>IF($W187="","",Settings!$C$7)</f>
        <v/>
      </c>
      <c r="N187" s="7">
        <f>IF($W187="","",SUMIFS('Per Line'!$Q$2:$Q$1501,'Per Line'!$B$2:$B$1501,$B187,'Per Line'!$AH$2:$AH$1501,0,'Per Line'!$AI$2:$AI$1501,0))</f>
        <v/>
      </c>
      <c r="O187" s="7">
        <f>IF($W187="","",N187*M187)</f>
        <v/>
      </c>
      <c r="P187">
        <f>IF($W187="","",Settings!$C$6)</f>
        <v/>
      </c>
      <c r="Q187" s="7">
        <f>IF($W187="","",SUMIFS('Per Line'!$Q$2:$Q$1501,'Per Line'!$B$2:$B$1501,$B187,'Per Line'!$AH$2:$AH$1501,1,'Per Line'!$AI$2:$AI$1501,0))</f>
        <v/>
      </c>
      <c r="R187" s="7">
        <f>IF($W187="","",Q187*P187)</f>
        <v/>
      </c>
      <c r="S187" s="7">
        <f>IF($W187="","",R187+O187)</f>
        <v/>
      </c>
      <c r="T187" s="7">
        <f>IF($W187="","",U187-S187)</f>
        <v/>
      </c>
      <c r="U187" s="7">
        <f>IF($W187="","",N187+Q187+L187)</f>
        <v/>
      </c>
      <c r="V187" s="7">
        <f>IF($W187="","",U187-S187-J187)</f>
        <v/>
      </c>
      <c r="W187" s="13">
        <f>IF(ROWS($W$2:$W187)&lt;=MAX('Per Line'!$AG$2:$AG$1501),MATCH(ROWS($W$2:$W187),'Per Line'!$AG$2:$AG$1501,0),"")</f>
        <v/>
      </c>
    </row>
    <row r="188">
      <c r="A188" s="12" t="n"/>
      <c r="B188">
        <f>IF($W188="","",INDEX('Per Line'!$B$2:$B$1501,$W188)&amp;"")</f>
        <v/>
      </c>
      <c r="C188">
        <f>IF($W188="","",INDEX('Per Line'!$A$2:$A$1501,$W188))</f>
        <v/>
      </c>
      <c r="D188" s="11">
        <f>IF($W188="","",INDEX('Per Line'!$C$2:$C$1501,$W188))</f>
        <v/>
      </c>
      <c r="E188">
        <f>IF($W188="","",INDEX('Per Line'!$D$2:$D$1501,$W188)&amp;"")</f>
        <v/>
      </c>
      <c r="F188">
        <f>IF($W188="","",INDEX('Per Line'!$F$2:$F$1501,$W188)&amp;"")</f>
        <v/>
      </c>
      <c r="G188">
        <f>IF($W188="","",INDEX('Per Line'!$G$2:$G$1501,$W188)&amp;"")</f>
        <v/>
      </c>
      <c r="H188">
        <f>IF($W188="","",INDEX('Per Line'!$H$2:$H$1501,$W188)&amp;"")</f>
        <v/>
      </c>
      <c r="I188">
        <f>IF($W188="","",INDEX('Per Line'!$I$2:$I$1501,$W188))</f>
        <v/>
      </c>
      <c r="J188" s="7">
        <f>IF($W188="","",I188*U188/100)</f>
        <v/>
      </c>
      <c r="K188">
        <f>IF($W188="","",INDEX('Per Line'!$U$2:$U$1501,$W188)&amp;"")</f>
        <v/>
      </c>
      <c r="L188" s="7">
        <f>IF($W188="","",SUMIFS('Per Line'!$Q$2:$Q$1501,'Per Line'!$B$2:$B$1501,$B188,'Per Line'!$AI$2:$AI$1501,1))</f>
        <v/>
      </c>
      <c r="M188">
        <f>IF($W188="","",Settings!$C$7)</f>
        <v/>
      </c>
      <c r="N188" s="7">
        <f>IF($W188="","",SUMIFS('Per Line'!$Q$2:$Q$1501,'Per Line'!$B$2:$B$1501,$B188,'Per Line'!$AH$2:$AH$1501,0,'Per Line'!$AI$2:$AI$1501,0))</f>
        <v/>
      </c>
      <c r="O188" s="7">
        <f>IF($W188="","",N188*M188)</f>
        <v/>
      </c>
      <c r="P188">
        <f>IF($W188="","",Settings!$C$6)</f>
        <v/>
      </c>
      <c r="Q188" s="7">
        <f>IF($W188="","",SUMIFS('Per Line'!$Q$2:$Q$1501,'Per Line'!$B$2:$B$1501,$B188,'Per Line'!$AH$2:$AH$1501,1,'Per Line'!$AI$2:$AI$1501,0))</f>
        <v/>
      </c>
      <c r="R188" s="7">
        <f>IF($W188="","",Q188*P188)</f>
        <v/>
      </c>
      <c r="S188" s="7">
        <f>IF($W188="","",R188+O188)</f>
        <v/>
      </c>
      <c r="T188" s="7">
        <f>IF($W188="","",U188-S188)</f>
        <v/>
      </c>
      <c r="U188" s="7">
        <f>IF($W188="","",N188+Q188+L188)</f>
        <v/>
      </c>
      <c r="V188" s="7">
        <f>IF($W188="","",U188-S188-J188)</f>
        <v/>
      </c>
      <c r="W188" s="13">
        <f>IF(ROWS($W$2:$W188)&lt;=MAX('Per Line'!$AG$2:$AG$1501),MATCH(ROWS($W$2:$W188),'Per Line'!$AG$2:$AG$1501,0),"")</f>
        <v/>
      </c>
    </row>
    <row r="189">
      <c r="A189" s="12" t="n"/>
      <c r="B189">
        <f>IF($W189="","",INDEX('Per Line'!$B$2:$B$1501,$W189)&amp;"")</f>
        <v/>
      </c>
      <c r="C189">
        <f>IF($W189="","",INDEX('Per Line'!$A$2:$A$1501,$W189))</f>
        <v/>
      </c>
      <c r="D189" s="11">
        <f>IF($W189="","",INDEX('Per Line'!$C$2:$C$1501,$W189))</f>
        <v/>
      </c>
      <c r="E189">
        <f>IF($W189="","",INDEX('Per Line'!$D$2:$D$1501,$W189)&amp;"")</f>
        <v/>
      </c>
      <c r="F189">
        <f>IF($W189="","",INDEX('Per Line'!$F$2:$F$1501,$W189)&amp;"")</f>
        <v/>
      </c>
      <c r="G189">
        <f>IF($W189="","",INDEX('Per Line'!$G$2:$G$1501,$W189)&amp;"")</f>
        <v/>
      </c>
      <c r="H189">
        <f>IF($W189="","",INDEX('Per Line'!$H$2:$H$1501,$W189)&amp;"")</f>
        <v/>
      </c>
      <c r="I189">
        <f>IF($W189="","",INDEX('Per Line'!$I$2:$I$1501,$W189))</f>
        <v/>
      </c>
      <c r="J189" s="7">
        <f>IF($W189="","",I189*U189/100)</f>
        <v/>
      </c>
      <c r="K189">
        <f>IF($W189="","",INDEX('Per Line'!$U$2:$U$1501,$W189)&amp;"")</f>
        <v/>
      </c>
      <c r="L189" s="7">
        <f>IF($W189="","",SUMIFS('Per Line'!$Q$2:$Q$1501,'Per Line'!$B$2:$B$1501,$B189,'Per Line'!$AI$2:$AI$1501,1))</f>
        <v/>
      </c>
      <c r="M189">
        <f>IF($W189="","",Settings!$C$7)</f>
        <v/>
      </c>
      <c r="N189" s="7">
        <f>IF($W189="","",SUMIFS('Per Line'!$Q$2:$Q$1501,'Per Line'!$B$2:$B$1501,$B189,'Per Line'!$AH$2:$AH$1501,0,'Per Line'!$AI$2:$AI$1501,0))</f>
        <v/>
      </c>
      <c r="O189" s="7">
        <f>IF($W189="","",N189*M189)</f>
        <v/>
      </c>
      <c r="P189">
        <f>IF($W189="","",Settings!$C$6)</f>
        <v/>
      </c>
      <c r="Q189" s="7">
        <f>IF($W189="","",SUMIFS('Per Line'!$Q$2:$Q$1501,'Per Line'!$B$2:$B$1501,$B189,'Per Line'!$AH$2:$AH$1501,1,'Per Line'!$AI$2:$AI$1501,0))</f>
        <v/>
      </c>
      <c r="R189" s="7">
        <f>IF($W189="","",Q189*P189)</f>
        <v/>
      </c>
      <c r="S189" s="7">
        <f>IF($W189="","",R189+O189)</f>
        <v/>
      </c>
      <c r="T189" s="7">
        <f>IF($W189="","",U189-S189)</f>
        <v/>
      </c>
      <c r="U189" s="7">
        <f>IF($W189="","",N189+Q189+L189)</f>
        <v/>
      </c>
      <c r="V189" s="7">
        <f>IF($W189="","",U189-S189-J189)</f>
        <v/>
      </c>
      <c r="W189" s="13">
        <f>IF(ROWS($W$2:$W189)&lt;=MAX('Per Line'!$AG$2:$AG$1501),MATCH(ROWS($W$2:$W189),'Per Line'!$AG$2:$AG$1501,0),"")</f>
        <v/>
      </c>
    </row>
    <row r="190">
      <c r="A190" s="12" t="n"/>
      <c r="B190">
        <f>IF($W190="","",INDEX('Per Line'!$B$2:$B$1501,$W190)&amp;"")</f>
        <v/>
      </c>
      <c r="C190">
        <f>IF($W190="","",INDEX('Per Line'!$A$2:$A$1501,$W190))</f>
        <v/>
      </c>
      <c r="D190" s="11">
        <f>IF($W190="","",INDEX('Per Line'!$C$2:$C$1501,$W190))</f>
        <v/>
      </c>
      <c r="E190">
        <f>IF($W190="","",INDEX('Per Line'!$D$2:$D$1501,$W190)&amp;"")</f>
        <v/>
      </c>
      <c r="F190">
        <f>IF($W190="","",INDEX('Per Line'!$F$2:$F$1501,$W190)&amp;"")</f>
        <v/>
      </c>
      <c r="G190">
        <f>IF($W190="","",INDEX('Per Line'!$G$2:$G$1501,$W190)&amp;"")</f>
        <v/>
      </c>
      <c r="H190">
        <f>IF($W190="","",INDEX('Per Line'!$H$2:$H$1501,$W190)&amp;"")</f>
        <v/>
      </c>
      <c r="I190">
        <f>IF($W190="","",INDEX('Per Line'!$I$2:$I$1501,$W190))</f>
        <v/>
      </c>
      <c r="J190" s="7">
        <f>IF($W190="","",I190*U190/100)</f>
        <v/>
      </c>
      <c r="K190">
        <f>IF($W190="","",INDEX('Per Line'!$U$2:$U$1501,$W190)&amp;"")</f>
        <v/>
      </c>
      <c r="L190" s="7">
        <f>IF($W190="","",SUMIFS('Per Line'!$Q$2:$Q$1501,'Per Line'!$B$2:$B$1501,$B190,'Per Line'!$AI$2:$AI$1501,1))</f>
        <v/>
      </c>
      <c r="M190">
        <f>IF($W190="","",Settings!$C$7)</f>
        <v/>
      </c>
      <c r="N190" s="7">
        <f>IF($W190="","",SUMIFS('Per Line'!$Q$2:$Q$1501,'Per Line'!$B$2:$B$1501,$B190,'Per Line'!$AH$2:$AH$1501,0,'Per Line'!$AI$2:$AI$1501,0))</f>
        <v/>
      </c>
      <c r="O190" s="7">
        <f>IF($W190="","",N190*M190)</f>
        <v/>
      </c>
      <c r="P190">
        <f>IF($W190="","",Settings!$C$6)</f>
        <v/>
      </c>
      <c r="Q190" s="7">
        <f>IF($W190="","",SUMIFS('Per Line'!$Q$2:$Q$1501,'Per Line'!$B$2:$B$1501,$B190,'Per Line'!$AH$2:$AH$1501,1,'Per Line'!$AI$2:$AI$1501,0))</f>
        <v/>
      </c>
      <c r="R190" s="7">
        <f>IF($W190="","",Q190*P190)</f>
        <v/>
      </c>
      <c r="S190" s="7">
        <f>IF($W190="","",R190+O190)</f>
        <v/>
      </c>
      <c r="T190" s="7">
        <f>IF($W190="","",U190-S190)</f>
        <v/>
      </c>
      <c r="U190" s="7">
        <f>IF($W190="","",N190+Q190+L190)</f>
        <v/>
      </c>
      <c r="V190" s="7">
        <f>IF($W190="","",U190-S190-J190)</f>
        <v/>
      </c>
      <c r="W190" s="13">
        <f>IF(ROWS($W$2:$W190)&lt;=MAX('Per Line'!$AG$2:$AG$1501),MATCH(ROWS($W$2:$W190),'Per Line'!$AG$2:$AG$1501,0),"")</f>
        <v/>
      </c>
    </row>
    <row r="191">
      <c r="A191" s="12" t="n"/>
      <c r="B191">
        <f>IF($W191="","",INDEX('Per Line'!$B$2:$B$1501,$W191)&amp;"")</f>
        <v/>
      </c>
      <c r="C191">
        <f>IF($W191="","",INDEX('Per Line'!$A$2:$A$1501,$W191))</f>
        <v/>
      </c>
      <c r="D191" s="11">
        <f>IF($W191="","",INDEX('Per Line'!$C$2:$C$1501,$W191))</f>
        <v/>
      </c>
      <c r="E191">
        <f>IF($W191="","",INDEX('Per Line'!$D$2:$D$1501,$W191)&amp;"")</f>
        <v/>
      </c>
      <c r="F191">
        <f>IF($W191="","",INDEX('Per Line'!$F$2:$F$1501,$W191)&amp;"")</f>
        <v/>
      </c>
      <c r="G191">
        <f>IF($W191="","",INDEX('Per Line'!$G$2:$G$1501,$W191)&amp;"")</f>
        <v/>
      </c>
      <c r="H191">
        <f>IF($W191="","",INDEX('Per Line'!$H$2:$H$1501,$W191)&amp;"")</f>
        <v/>
      </c>
      <c r="I191">
        <f>IF($W191="","",INDEX('Per Line'!$I$2:$I$1501,$W191))</f>
        <v/>
      </c>
      <c r="J191" s="7">
        <f>IF($W191="","",I191*U191/100)</f>
        <v/>
      </c>
      <c r="K191">
        <f>IF($W191="","",INDEX('Per Line'!$U$2:$U$1501,$W191)&amp;"")</f>
        <v/>
      </c>
      <c r="L191" s="7">
        <f>IF($W191="","",SUMIFS('Per Line'!$Q$2:$Q$1501,'Per Line'!$B$2:$B$1501,$B191,'Per Line'!$AI$2:$AI$1501,1))</f>
        <v/>
      </c>
      <c r="M191">
        <f>IF($W191="","",Settings!$C$7)</f>
        <v/>
      </c>
      <c r="N191" s="7">
        <f>IF($W191="","",SUMIFS('Per Line'!$Q$2:$Q$1501,'Per Line'!$B$2:$B$1501,$B191,'Per Line'!$AH$2:$AH$1501,0,'Per Line'!$AI$2:$AI$1501,0))</f>
        <v/>
      </c>
      <c r="O191" s="7">
        <f>IF($W191="","",N191*M191)</f>
        <v/>
      </c>
      <c r="P191">
        <f>IF($W191="","",Settings!$C$6)</f>
        <v/>
      </c>
      <c r="Q191" s="7">
        <f>IF($W191="","",SUMIFS('Per Line'!$Q$2:$Q$1501,'Per Line'!$B$2:$B$1501,$B191,'Per Line'!$AH$2:$AH$1501,1,'Per Line'!$AI$2:$AI$1501,0))</f>
        <v/>
      </c>
      <c r="R191" s="7">
        <f>IF($W191="","",Q191*P191)</f>
        <v/>
      </c>
      <c r="S191" s="7">
        <f>IF($W191="","",R191+O191)</f>
        <v/>
      </c>
      <c r="T191" s="7">
        <f>IF($W191="","",U191-S191)</f>
        <v/>
      </c>
      <c r="U191" s="7">
        <f>IF($W191="","",N191+Q191+L191)</f>
        <v/>
      </c>
      <c r="V191" s="7">
        <f>IF($W191="","",U191-S191-J191)</f>
        <v/>
      </c>
      <c r="W191" s="13">
        <f>IF(ROWS($W$2:$W191)&lt;=MAX('Per Line'!$AG$2:$AG$1501),MATCH(ROWS($W$2:$W191),'Per Line'!$AG$2:$AG$1501,0),"")</f>
        <v/>
      </c>
    </row>
    <row r="192">
      <c r="A192" s="12" t="n"/>
      <c r="B192">
        <f>IF($W192="","",INDEX('Per Line'!$B$2:$B$1501,$W192)&amp;"")</f>
        <v/>
      </c>
      <c r="C192">
        <f>IF($W192="","",INDEX('Per Line'!$A$2:$A$1501,$W192))</f>
        <v/>
      </c>
      <c r="D192" s="11">
        <f>IF($W192="","",INDEX('Per Line'!$C$2:$C$1501,$W192))</f>
        <v/>
      </c>
      <c r="E192">
        <f>IF($W192="","",INDEX('Per Line'!$D$2:$D$1501,$W192)&amp;"")</f>
        <v/>
      </c>
      <c r="F192">
        <f>IF($W192="","",INDEX('Per Line'!$F$2:$F$1501,$W192)&amp;"")</f>
        <v/>
      </c>
      <c r="G192">
        <f>IF($W192="","",INDEX('Per Line'!$G$2:$G$1501,$W192)&amp;"")</f>
        <v/>
      </c>
      <c r="H192">
        <f>IF($W192="","",INDEX('Per Line'!$H$2:$H$1501,$W192)&amp;"")</f>
        <v/>
      </c>
      <c r="I192">
        <f>IF($W192="","",INDEX('Per Line'!$I$2:$I$1501,$W192))</f>
        <v/>
      </c>
      <c r="J192" s="7">
        <f>IF($W192="","",I192*U192/100)</f>
        <v/>
      </c>
      <c r="K192">
        <f>IF($W192="","",INDEX('Per Line'!$U$2:$U$1501,$W192)&amp;"")</f>
        <v/>
      </c>
      <c r="L192" s="7">
        <f>IF($W192="","",SUMIFS('Per Line'!$Q$2:$Q$1501,'Per Line'!$B$2:$B$1501,$B192,'Per Line'!$AI$2:$AI$1501,1))</f>
        <v/>
      </c>
      <c r="M192">
        <f>IF($W192="","",Settings!$C$7)</f>
        <v/>
      </c>
      <c r="N192" s="7">
        <f>IF($W192="","",SUMIFS('Per Line'!$Q$2:$Q$1501,'Per Line'!$B$2:$B$1501,$B192,'Per Line'!$AH$2:$AH$1501,0,'Per Line'!$AI$2:$AI$1501,0))</f>
        <v/>
      </c>
      <c r="O192" s="7">
        <f>IF($W192="","",N192*M192)</f>
        <v/>
      </c>
      <c r="P192">
        <f>IF($W192="","",Settings!$C$6)</f>
        <v/>
      </c>
      <c r="Q192" s="7">
        <f>IF($W192="","",SUMIFS('Per Line'!$Q$2:$Q$1501,'Per Line'!$B$2:$B$1501,$B192,'Per Line'!$AH$2:$AH$1501,1,'Per Line'!$AI$2:$AI$1501,0))</f>
        <v/>
      </c>
      <c r="R192" s="7">
        <f>IF($W192="","",Q192*P192)</f>
        <v/>
      </c>
      <c r="S192" s="7">
        <f>IF($W192="","",R192+O192)</f>
        <v/>
      </c>
      <c r="T192" s="7">
        <f>IF($W192="","",U192-S192)</f>
        <v/>
      </c>
      <c r="U192" s="7">
        <f>IF($W192="","",N192+Q192+L192)</f>
        <v/>
      </c>
      <c r="V192" s="7">
        <f>IF($W192="","",U192-S192-J192)</f>
        <v/>
      </c>
      <c r="W192" s="13">
        <f>IF(ROWS($W$2:$W192)&lt;=MAX('Per Line'!$AG$2:$AG$1501),MATCH(ROWS($W$2:$W192),'Per Line'!$AG$2:$AG$1501,0),"")</f>
        <v/>
      </c>
    </row>
    <row r="193">
      <c r="A193" s="12" t="n"/>
      <c r="B193">
        <f>IF($W193="","",INDEX('Per Line'!$B$2:$B$1501,$W193)&amp;"")</f>
        <v/>
      </c>
      <c r="C193">
        <f>IF($W193="","",INDEX('Per Line'!$A$2:$A$1501,$W193))</f>
        <v/>
      </c>
      <c r="D193" s="11">
        <f>IF($W193="","",INDEX('Per Line'!$C$2:$C$1501,$W193))</f>
        <v/>
      </c>
      <c r="E193">
        <f>IF($W193="","",INDEX('Per Line'!$D$2:$D$1501,$W193)&amp;"")</f>
        <v/>
      </c>
      <c r="F193">
        <f>IF($W193="","",INDEX('Per Line'!$F$2:$F$1501,$W193)&amp;"")</f>
        <v/>
      </c>
      <c r="G193">
        <f>IF($W193="","",INDEX('Per Line'!$G$2:$G$1501,$W193)&amp;"")</f>
        <v/>
      </c>
      <c r="H193">
        <f>IF($W193="","",INDEX('Per Line'!$H$2:$H$1501,$W193)&amp;"")</f>
        <v/>
      </c>
      <c r="I193">
        <f>IF($W193="","",INDEX('Per Line'!$I$2:$I$1501,$W193))</f>
        <v/>
      </c>
      <c r="J193" s="7">
        <f>IF($W193="","",I193*U193/100)</f>
        <v/>
      </c>
      <c r="K193">
        <f>IF($W193="","",INDEX('Per Line'!$U$2:$U$1501,$W193)&amp;"")</f>
        <v/>
      </c>
      <c r="L193" s="7">
        <f>IF($W193="","",SUMIFS('Per Line'!$Q$2:$Q$1501,'Per Line'!$B$2:$B$1501,$B193,'Per Line'!$AI$2:$AI$1501,1))</f>
        <v/>
      </c>
      <c r="M193">
        <f>IF($W193="","",Settings!$C$7)</f>
        <v/>
      </c>
      <c r="N193" s="7">
        <f>IF($W193="","",SUMIFS('Per Line'!$Q$2:$Q$1501,'Per Line'!$B$2:$B$1501,$B193,'Per Line'!$AH$2:$AH$1501,0,'Per Line'!$AI$2:$AI$1501,0))</f>
        <v/>
      </c>
      <c r="O193" s="7">
        <f>IF($W193="","",N193*M193)</f>
        <v/>
      </c>
      <c r="P193">
        <f>IF($W193="","",Settings!$C$6)</f>
        <v/>
      </c>
      <c r="Q193" s="7">
        <f>IF($W193="","",SUMIFS('Per Line'!$Q$2:$Q$1501,'Per Line'!$B$2:$B$1501,$B193,'Per Line'!$AH$2:$AH$1501,1,'Per Line'!$AI$2:$AI$1501,0))</f>
        <v/>
      </c>
      <c r="R193" s="7">
        <f>IF($W193="","",Q193*P193)</f>
        <v/>
      </c>
      <c r="S193" s="7">
        <f>IF($W193="","",R193+O193)</f>
        <v/>
      </c>
      <c r="T193" s="7">
        <f>IF($W193="","",U193-S193)</f>
        <v/>
      </c>
      <c r="U193" s="7">
        <f>IF($W193="","",N193+Q193+L193)</f>
        <v/>
      </c>
      <c r="V193" s="7">
        <f>IF($W193="","",U193-S193-J193)</f>
        <v/>
      </c>
      <c r="W193" s="13">
        <f>IF(ROWS($W$2:$W193)&lt;=MAX('Per Line'!$AG$2:$AG$1501),MATCH(ROWS($W$2:$W193),'Per Line'!$AG$2:$AG$1501,0),"")</f>
        <v/>
      </c>
    </row>
    <row r="194">
      <c r="A194" s="12" t="n"/>
      <c r="B194">
        <f>IF($W194="","",INDEX('Per Line'!$B$2:$B$1501,$W194)&amp;"")</f>
        <v/>
      </c>
      <c r="C194">
        <f>IF($W194="","",INDEX('Per Line'!$A$2:$A$1501,$W194))</f>
        <v/>
      </c>
      <c r="D194" s="11">
        <f>IF($W194="","",INDEX('Per Line'!$C$2:$C$1501,$W194))</f>
        <v/>
      </c>
      <c r="E194">
        <f>IF($W194="","",INDEX('Per Line'!$D$2:$D$1501,$W194)&amp;"")</f>
        <v/>
      </c>
      <c r="F194">
        <f>IF($W194="","",INDEX('Per Line'!$F$2:$F$1501,$W194)&amp;"")</f>
        <v/>
      </c>
      <c r="G194">
        <f>IF($W194="","",INDEX('Per Line'!$G$2:$G$1501,$W194)&amp;"")</f>
        <v/>
      </c>
      <c r="H194">
        <f>IF($W194="","",INDEX('Per Line'!$H$2:$H$1501,$W194)&amp;"")</f>
        <v/>
      </c>
      <c r="I194">
        <f>IF($W194="","",INDEX('Per Line'!$I$2:$I$1501,$W194))</f>
        <v/>
      </c>
      <c r="J194" s="7">
        <f>IF($W194="","",I194*U194/100)</f>
        <v/>
      </c>
      <c r="K194">
        <f>IF($W194="","",INDEX('Per Line'!$U$2:$U$1501,$W194)&amp;"")</f>
        <v/>
      </c>
      <c r="L194" s="7">
        <f>IF($W194="","",SUMIFS('Per Line'!$Q$2:$Q$1501,'Per Line'!$B$2:$B$1501,$B194,'Per Line'!$AI$2:$AI$1501,1))</f>
        <v/>
      </c>
      <c r="M194">
        <f>IF($W194="","",Settings!$C$7)</f>
        <v/>
      </c>
      <c r="N194" s="7">
        <f>IF($W194="","",SUMIFS('Per Line'!$Q$2:$Q$1501,'Per Line'!$B$2:$B$1501,$B194,'Per Line'!$AH$2:$AH$1501,0,'Per Line'!$AI$2:$AI$1501,0))</f>
        <v/>
      </c>
      <c r="O194" s="7">
        <f>IF($W194="","",N194*M194)</f>
        <v/>
      </c>
      <c r="P194">
        <f>IF($W194="","",Settings!$C$6)</f>
        <v/>
      </c>
      <c r="Q194" s="7">
        <f>IF($W194="","",SUMIFS('Per Line'!$Q$2:$Q$1501,'Per Line'!$B$2:$B$1501,$B194,'Per Line'!$AH$2:$AH$1501,1,'Per Line'!$AI$2:$AI$1501,0))</f>
        <v/>
      </c>
      <c r="R194" s="7">
        <f>IF($W194="","",Q194*P194)</f>
        <v/>
      </c>
      <c r="S194" s="7">
        <f>IF($W194="","",R194+O194)</f>
        <v/>
      </c>
      <c r="T194" s="7">
        <f>IF($W194="","",U194-S194)</f>
        <v/>
      </c>
      <c r="U194" s="7">
        <f>IF($W194="","",N194+Q194+L194)</f>
        <v/>
      </c>
      <c r="V194" s="7">
        <f>IF($W194="","",U194-S194-J194)</f>
        <v/>
      </c>
      <c r="W194" s="13">
        <f>IF(ROWS($W$2:$W194)&lt;=MAX('Per Line'!$AG$2:$AG$1501),MATCH(ROWS($W$2:$W194),'Per Line'!$AG$2:$AG$1501,0),"")</f>
        <v/>
      </c>
    </row>
    <row r="195">
      <c r="A195" s="12" t="n"/>
      <c r="B195">
        <f>IF($W195="","",INDEX('Per Line'!$B$2:$B$1501,$W195)&amp;"")</f>
        <v/>
      </c>
      <c r="C195">
        <f>IF($W195="","",INDEX('Per Line'!$A$2:$A$1501,$W195))</f>
        <v/>
      </c>
      <c r="D195" s="11">
        <f>IF($W195="","",INDEX('Per Line'!$C$2:$C$1501,$W195))</f>
        <v/>
      </c>
      <c r="E195">
        <f>IF($W195="","",INDEX('Per Line'!$D$2:$D$1501,$W195)&amp;"")</f>
        <v/>
      </c>
      <c r="F195">
        <f>IF($W195="","",INDEX('Per Line'!$F$2:$F$1501,$W195)&amp;"")</f>
        <v/>
      </c>
      <c r="G195">
        <f>IF($W195="","",INDEX('Per Line'!$G$2:$G$1501,$W195)&amp;"")</f>
        <v/>
      </c>
      <c r="H195">
        <f>IF($W195="","",INDEX('Per Line'!$H$2:$H$1501,$W195)&amp;"")</f>
        <v/>
      </c>
      <c r="I195">
        <f>IF($W195="","",INDEX('Per Line'!$I$2:$I$1501,$W195))</f>
        <v/>
      </c>
      <c r="J195" s="7">
        <f>IF($W195="","",I195*U195/100)</f>
        <v/>
      </c>
      <c r="K195">
        <f>IF($W195="","",INDEX('Per Line'!$U$2:$U$1501,$W195)&amp;"")</f>
        <v/>
      </c>
      <c r="L195" s="7">
        <f>IF($W195="","",SUMIFS('Per Line'!$Q$2:$Q$1501,'Per Line'!$B$2:$B$1501,$B195,'Per Line'!$AI$2:$AI$1501,1))</f>
        <v/>
      </c>
      <c r="M195">
        <f>IF($W195="","",Settings!$C$7)</f>
        <v/>
      </c>
      <c r="N195" s="7">
        <f>IF($W195="","",SUMIFS('Per Line'!$Q$2:$Q$1501,'Per Line'!$B$2:$B$1501,$B195,'Per Line'!$AH$2:$AH$1501,0,'Per Line'!$AI$2:$AI$1501,0))</f>
        <v/>
      </c>
      <c r="O195" s="7">
        <f>IF($W195="","",N195*M195)</f>
        <v/>
      </c>
      <c r="P195">
        <f>IF($W195="","",Settings!$C$6)</f>
        <v/>
      </c>
      <c r="Q195" s="7">
        <f>IF($W195="","",SUMIFS('Per Line'!$Q$2:$Q$1501,'Per Line'!$B$2:$B$1501,$B195,'Per Line'!$AH$2:$AH$1501,1,'Per Line'!$AI$2:$AI$1501,0))</f>
        <v/>
      </c>
      <c r="R195" s="7">
        <f>IF($W195="","",Q195*P195)</f>
        <v/>
      </c>
      <c r="S195" s="7">
        <f>IF($W195="","",R195+O195)</f>
        <v/>
      </c>
      <c r="T195" s="7">
        <f>IF($W195="","",U195-S195)</f>
        <v/>
      </c>
      <c r="U195" s="7">
        <f>IF($W195="","",N195+Q195+L195)</f>
        <v/>
      </c>
      <c r="V195" s="7">
        <f>IF($W195="","",U195-S195-J195)</f>
        <v/>
      </c>
      <c r="W195" s="13">
        <f>IF(ROWS($W$2:$W195)&lt;=MAX('Per Line'!$AG$2:$AG$1501),MATCH(ROWS($W$2:$W195),'Per Line'!$AG$2:$AG$1501,0),"")</f>
        <v/>
      </c>
    </row>
    <row r="196">
      <c r="A196" s="12" t="n"/>
      <c r="B196">
        <f>IF($W196="","",INDEX('Per Line'!$B$2:$B$1501,$W196)&amp;"")</f>
        <v/>
      </c>
      <c r="C196">
        <f>IF($W196="","",INDEX('Per Line'!$A$2:$A$1501,$W196))</f>
        <v/>
      </c>
      <c r="D196" s="11">
        <f>IF($W196="","",INDEX('Per Line'!$C$2:$C$1501,$W196))</f>
        <v/>
      </c>
      <c r="E196">
        <f>IF($W196="","",INDEX('Per Line'!$D$2:$D$1501,$W196)&amp;"")</f>
        <v/>
      </c>
      <c r="F196">
        <f>IF($W196="","",INDEX('Per Line'!$F$2:$F$1501,$W196)&amp;"")</f>
        <v/>
      </c>
      <c r="G196">
        <f>IF($W196="","",INDEX('Per Line'!$G$2:$G$1501,$W196)&amp;"")</f>
        <v/>
      </c>
      <c r="H196">
        <f>IF($W196="","",INDEX('Per Line'!$H$2:$H$1501,$W196)&amp;"")</f>
        <v/>
      </c>
      <c r="I196">
        <f>IF($W196="","",INDEX('Per Line'!$I$2:$I$1501,$W196))</f>
        <v/>
      </c>
      <c r="J196" s="7">
        <f>IF($W196="","",I196*U196/100)</f>
        <v/>
      </c>
      <c r="K196">
        <f>IF($W196="","",INDEX('Per Line'!$U$2:$U$1501,$W196)&amp;"")</f>
        <v/>
      </c>
      <c r="L196" s="7">
        <f>IF($W196="","",SUMIFS('Per Line'!$Q$2:$Q$1501,'Per Line'!$B$2:$B$1501,$B196,'Per Line'!$AI$2:$AI$1501,1))</f>
        <v/>
      </c>
      <c r="M196">
        <f>IF($W196="","",Settings!$C$7)</f>
        <v/>
      </c>
      <c r="N196" s="7">
        <f>IF($W196="","",SUMIFS('Per Line'!$Q$2:$Q$1501,'Per Line'!$B$2:$B$1501,$B196,'Per Line'!$AH$2:$AH$1501,0,'Per Line'!$AI$2:$AI$1501,0))</f>
        <v/>
      </c>
      <c r="O196" s="7">
        <f>IF($W196="","",N196*M196)</f>
        <v/>
      </c>
      <c r="P196">
        <f>IF($W196="","",Settings!$C$6)</f>
        <v/>
      </c>
      <c r="Q196" s="7">
        <f>IF($W196="","",SUMIFS('Per Line'!$Q$2:$Q$1501,'Per Line'!$B$2:$B$1501,$B196,'Per Line'!$AH$2:$AH$1501,1,'Per Line'!$AI$2:$AI$1501,0))</f>
        <v/>
      </c>
      <c r="R196" s="7">
        <f>IF($W196="","",Q196*P196)</f>
        <v/>
      </c>
      <c r="S196" s="7">
        <f>IF($W196="","",R196+O196)</f>
        <v/>
      </c>
      <c r="T196" s="7">
        <f>IF($W196="","",U196-S196)</f>
        <v/>
      </c>
      <c r="U196" s="7">
        <f>IF($W196="","",N196+Q196+L196)</f>
        <v/>
      </c>
      <c r="V196" s="7">
        <f>IF($W196="","",U196-S196-J196)</f>
        <v/>
      </c>
      <c r="W196" s="13">
        <f>IF(ROWS($W$2:$W196)&lt;=MAX('Per Line'!$AG$2:$AG$1501),MATCH(ROWS($W$2:$W196),'Per Line'!$AG$2:$AG$1501,0),"")</f>
        <v/>
      </c>
    </row>
    <row r="197">
      <c r="A197" s="12" t="n"/>
      <c r="B197">
        <f>IF($W197="","",INDEX('Per Line'!$B$2:$B$1501,$W197)&amp;"")</f>
        <v/>
      </c>
      <c r="C197">
        <f>IF($W197="","",INDEX('Per Line'!$A$2:$A$1501,$W197))</f>
        <v/>
      </c>
      <c r="D197" s="11">
        <f>IF($W197="","",INDEX('Per Line'!$C$2:$C$1501,$W197))</f>
        <v/>
      </c>
      <c r="E197">
        <f>IF($W197="","",INDEX('Per Line'!$D$2:$D$1501,$W197)&amp;"")</f>
        <v/>
      </c>
      <c r="F197">
        <f>IF($W197="","",INDEX('Per Line'!$F$2:$F$1501,$W197)&amp;"")</f>
        <v/>
      </c>
      <c r="G197">
        <f>IF($W197="","",INDEX('Per Line'!$G$2:$G$1501,$W197)&amp;"")</f>
        <v/>
      </c>
      <c r="H197">
        <f>IF($W197="","",INDEX('Per Line'!$H$2:$H$1501,$W197)&amp;"")</f>
        <v/>
      </c>
      <c r="I197">
        <f>IF($W197="","",INDEX('Per Line'!$I$2:$I$1501,$W197))</f>
        <v/>
      </c>
      <c r="J197" s="7">
        <f>IF($W197="","",I197*U197/100)</f>
        <v/>
      </c>
      <c r="K197">
        <f>IF($W197="","",INDEX('Per Line'!$U$2:$U$1501,$W197)&amp;"")</f>
        <v/>
      </c>
      <c r="L197" s="7">
        <f>IF($W197="","",SUMIFS('Per Line'!$Q$2:$Q$1501,'Per Line'!$B$2:$B$1501,$B197,'Per Line'!$AI$2:$AI$1501,1))</f>
        <v/>
      </c>
      <c r="M197">
        <f>IF($W197="","",Settings!$C$7)</f>
        <v/>
      </c>
      <c r="N197" s="7">
        <f>IF($W197="","",SUMIFS('Per Line'!$Q$2:$Q$1501,'Per Line'!$B$2:$B$1501,$B197,'Per Line'!$AH$2:$AH$1501,0,'Per Line'!$AI$2:$AI$1501,0))</f>
        <v/>
      </c>
      <c r="O197" s="7">
        <f>IF($W197="","",N197*M197)</f>
        <v/>
      </c>
      <c r="P197">
        <f>IF($W197="","",Settings!$C$6)</f>
        <v/>
      </c>
      <c r="Q197" s="7">
        <f>IF($W197="","",SUMIFS('Per Line'!$Q$2:$Q$1501,'Per Line'!$B$2:$B$1501,$B197,'Per Line'!$AH$2:$AH$1501,1,'Per Line'!$AI$2:$AI$1501,0))</f>
        <v/>
      </c>
      <c r="R197" s="7">
        <f>IF($W197="","",Q197*P197)</f>
        <v/>
      </c>
      <c r="S197" s="7">
        <f>IF($W197="","",R197+O197)</f>
        <v/>
      </c>
      <c r="T197" s="7">
        <f>IF($W197="","",U197-S197)</f>
        <v/>
      </c>
      <c r="U197" s="7">
        <f>IF($W197="","",N197+Q197+L197)</f>
        <v/>
      </c>
      <c r="V197" s="7">
        <f>IF($W197="","",U197-S197-J197)</f>
        <v/>
      </c>
      <c r="W197" s="13">
        <f>IF(ROWS($W$2:$W197)&lt;=MAX('Per Line'!$AG$2:$AG$1501),MATCH(ROWS($W$2:$W197),'Per Line'!$AG$2:$AG$1501,0),"")</f>
        <v/>
      </c>
    </row>
    <row r="198">
      <c r="A198" s="12" t="n"/>
      <c r="B198">
        <f>IF($W198="","",INDEX('Per Line'!$B$2:$B$1501,$W198)&amp;"")</f>
        <v/>
      </c>
      <c r="C198">
        <f>IF($W198="","",INDEX('Per Line'!$A$2:$A$1501,$W198))</f>
        <v/>
      </c>
      <c r="D198" s="11">
        <f>IF($W198="","",INDEX('Per Line'!$C$2:$C$1501,$W198))</f>
        <v/>
      </c>
      <c r="E198">
        <f>IF($W198="","",INDEX('Per Line'!$D$2:$D$1501,$W198)&amp;"")</f>
        <v/>
      </c>
      <c r="F198">
        <f>IF($W198="","",INDEX('Per Line'!$F$2:$F$1501,$W198)&amp;"")</f>
        <v/>
      </c>
      <c r="G198">
        <f>IF($W198="","",INDEX('Per Line'!$G$2:$G$1501,$W198)&amp;"")</f>
        <v/>
      </c>
      <c r="H198">
        <f>IF($W198="","",INDEX('Per Line'!$H$2:$H$1501,$W198)&amp;"")</f>
        <v/>
      </c>
      <c r="I198">
        <f>IF($W198="","",INDEX('Per Line'!$I$2:$I$1501,$W198))</f>
        <v/>
      </c>
      <c r="J198" s="7">
        <f>IF($W198="","",I198*U198/100)</f>
        <v/>
      </c>
      <c r="K198">
        <f>IF($W198="","",INDEX('Per Line'!$U$2:$U$1501,$W198)&amp;"")</f>
        <v/>
      </c>
      <c r="L198" s="7">
        <f>IF($W198="","",SUMIFS('Per Line'!$Q$2:$Q$1501,'Per Line'!$B$2:$B$1501,$B198,'Per Line'!$AI$2:$AI$1501,1))</f>
        <v/>
      </c>
      <c r="M198">
        <f>IF($W198="","",Settings!$C$7)</f>
        <v/>
      </c>
      <c r="N198" s="7">
        <f>IF($W198="","",SUMIFS('Per Line'!$Q$2:$Q$1501,'Per Line'!$B$2:$B$1501,$B198,'Per Line'!$AH$2:$AH$1501,0,'Per Line'!$AI$2:$AI$1501,0))</f>
        <v/>
      </c>
      <c r="O198" s="7">
        <f>IF($W198="","",N198*M198)</f>
        <v/>
      </c>
      <c r="P198">
        <f>IF($W198="","",Settings!$C$6)</f>
        <v/>
      </c>
      <c r="Q198" s="7">
        <f>IF($W198="","",SUMIFS('Per Line'!$Q$2:$Q$1501,'Per Line'!$B$2:$B$1501,$B198,'Per Line'!$AH$2:$AH$1501,1,'Per Line'!$AI$2:$AI$1501,0))</f>
        <v/>
      </c>
      <c r="R198" s="7">
        <f>IF($W198="","",Q198*P198)</f>
        <v/>
      </c>
      <c r="S198" s="7">
        <f>IF($W198="","",R198+O198)</f>
        <v/>
      </c>
      <c r="T198" s="7">
        <f>IF($W198="","",U198-S198)</f>
        <v/>
      </c>
      <c r="U198" s="7">
        <f>IF($W198="","",N198+Q198+L198)</f>
        <v/>
      </c>
      <c r="V198" s="7">
        <f>IF($W198="","",U198-S198-J198)</f>
        <v/>
      </c>
      <c r="W198" s="13">
        <f>IF(ROWS($W$2:$W198)&lt;=MAX('Per Line'!$AG$2:$AG$1501),MATCH(ROWS($W$2:$W198),'Per Line'!$AG$2:$AG$1501,0),"")</f>
        <v/>
      </c>
    </row>
    <row r="199">
      <c r="A199" s="12" t="n"/>
      <c r="B199">
        <f>IF($W199="","",INDEX('Per Line'!$B$2:$B$1501,$W199)&amp;"")</f>
        <v/>
      </c>
      <c r="C199">
        <f>IF($W199="","",INDEX('Per Line'!$A$2:$A$1501,$W199))</f>
        <v/>
      </c>
      <c r="D199" s="11">
        <f>IF($W199="","",INDEX('Per Line'!$C$2:$C$1501,$W199))</f>
        <v/>
      </c>
      <c r="E199">
        <f>IF($W199="","",INDEX('Per Line'!$D$2:$D$1501,$W199)&amp;"")</f>
        <v/>
      </c>
      <c r="F199">
        <f>IF($W199="","",INDEX('Per Line'!$F$2:$F$1501,$W199)&amp;"")</f>
        <v/>
      </c>
      <c r="G199">
        <f>IF($W199="","",INDEX('Per Line'!$G$2:$G$1501,$W199)&amp;"")</f>
        <v/>
      </c>
      <c r="H199">
        <f>IF($W199="","",INDEX('Per Line'!$H$2:$H$1501,$W199)&amp;"")</f>
        <v/>
      </c>
      <c r="I199">
        <f>IF($W199="","",INDEX('Per Line'!$I$2:$I$1501,$W199))</f>
        <v/>
      </c>
      <c r="J199" s="7">
        <f>IF($W199="","",I199*U199/100)</f>
        <v/>
      </c>
      <c r="K199">
        <f>IF($W199="","",INDEX('Per Line'!$U$2:$U$1501,$W199)&amp;"")</f>
        <v/>
      </c>
      <c r="L199" s="7">
        <f>IF($W199="","",SUMIFS('Per Line'!$Q$2:$Q$1501,'Per Line'!$B$2:$B$1501,$B199,'Per Line'!$AI$2:$AI$1501,1))</f>
        <v/>
      </c>
      <c r="M199">
        <f>IF($W199="","",Settings!$C$7)</f>
        <v/>
      </c>
      <c r="N199" s="7">
        <f>IF($W199="","",SUMIFS('Per Line'!$Q$2:$Q$1501,'Per Line'!$B$2:$B$1501,$B199,'Per Line'!$AH$2:$AH$1501,0,'Per Line'!$AI$2:$AI$1501,0))</f>
        <v/>
      </c>
      <c r="O199" s="7">
        <f>IF($W199="","",N199*M199)</f>
        <v/>
      </c>
      <c r="P199">
        <f>IF($W199="","",Settings!$C$6)</f>
        <v/>
      </c>
      <c r="Q199" s="7">
        <f>IF($W199="","",SUMIFS('Per Line'!$Q$2:$Q$1501,'Per Line'!$B$2:$B$1501,$B199,'Per Line'!$AH$2:$AH$1501,1,'Per Line'!$AI$2:$AI$1501,0))</f>
        <v/>
      </c>
      <c r="R199" s="7">
        <f>IF($W199="","",Q199*P199)</f>
        <v/>
      </c>
      <c r="S199" s="7">
        <f>IF($W199="","",R199+O199)</f>
        <v/>
      </c>
      <c r="T199" s="7">
        <f>IF($W199="","",U199-S199)</f>
        <v/>
      </c>
      <c r="U199" s="7">
        <f>IF($W199="","",N199+Q199+L199)</f>
        <v/>
      </c>
      <c r="V199" s="7">
        <f>IF($W199="","",U199-S199-J199)</f>
        <v/>
      </c>
      <c r="W199" s="13">
        <f>IF(ROWS($W$2:$W199)&lt;=MAX('Per Line'!$AG$2:$AG$1501),MATCH(ROWS($W$2:$W199),'Per Line'!$AG$2:$AG$1501,0),"")</f>
        <v/>
      </c>
    </row>
    <row r="200">
      <c r="A200" s="12" t="n"/>
      <c r="B200">
        <f>IF($W200="","",INDEX('Per Line'!$B$2:$B$1501,$W200)&amp;"")</f>
        <v/>
      </c>
      <c r="C200">
        <f>IF($W200="","",INDEX('Per Line'!$A$2:$A$1501,$W200))</f>
        <v/>
      </c>
      <c r="D200" s="11">
        <f>IF($W200="","",INDEX('Per Line'!$C$2:$C$1501,$W200))</f>
        <v/>
      </c>
      <c r="E200">
        <f>IF($W200="","",INDEX('Per Line'!$D$2:$D$1501,$W200)&amp;"")</f>
        <v/>
      </c>
      <c r="F200">
        <f>IF($W200="","",INDEX('Per Line'!$F$2:$F$1501,$W200)&amp;"")</f>
        <v/>
      </c>
      <c r="G200">
        <f>IF($W200="","",INDEX('Per Line'!$G$2:$G$1501,$W200)&amp;"")</f>
        <v/>
      </c>
      <c r="H200">
        <f>IF($W200="","",INDEX('Per Line'!$H$2:$H$1501,$W200)&amp;"")</f>
        <v/>
      </c>
      <c r="I200">
        <f>IF($W200="","",INDEX('Per Line'!$I$2:$I$1501,$W200))</f>
        <v/>
      </c>
      <c r="J200" s="7">
        <f>IF($W200="","",I200*U200/100)</f>
        <v/>
      </c>
      <c r="K200">
        <f>IF($W200="","",INDEX('Per Line'!$U$2:$U$1501,$W200)&amp;"")</f>
        <v/>
      </c>
      <c r="L200" s="7">
        <f>IF($W200="","",SUMIFS('Per Line'!$Q$2:$Q$1501,'Per Line'!$B$2:$B$1501,$B200,'Per Line'!$AI$2:$AI$1501,1))</f>
        <v/>
      </c>
      <c r="M200">
        <f>IF($W200="","",Settings!$C$7)</f>
        <v/>
      </c>
      <c r="N200" s="7">
        <f>IF($W200="","",SUMIFS('Per Line'!$Q$2:$Q$1501,'Per Line'!$B$2:$B$1501,$B200,'Per Line'!$AH$2:$AH$1501,0,'Per Line'!$AI$2:$AI$1501,0))</f>
        <v/>
      </c>
      <c r="O200" s="7">
        <f>IF($W200="","",N200*M200)</f>
        <v/>
      </c>
      <c r="P200">
        <f>IF($W200="","",Settings!$C$6)</f>
        <v/>
      </c>
      <c r="Q200" s="7">
        <f>IF($W200="","",SUMIFS('Per Line'!$Q$2:$Q$1501,'Per Line'!$B$2:$B$1501,$B200,'Per Line'!$AH$2:$AH$1501,1,'Per Line'!$AI$2:$AI$1501,0))</f>
        <v/>
      </c>
      <c r="R200" s="7">
        <f>IF($W200="","",Q200*P200)</f>
        <v/>
      </c>
      <c r="S200" s="7">
        <f>IF($W200="","",R200+O200)</f>
        <v/>
      </c>
      <c r="T200" s="7">
        <f>IF($W200="","",U200-S200)</f>
        <v/>
      </c>
      <c r="U200" s="7">
        <f>IF($W200="","",N200+Q200+L200)</f>
        <v/>
      </c>
      <c r="V200" s="7">
        <f>IF($W200="","",U200-S200-J200)</f>
        <v/>
      </c>
      <c r="W200" s="13">
        <f>IF(ROWS($W$2:$W200)&lt;=MAX('Per Line'!$AG$2:$AG$1501),MATCH(ROWS($W$2:$W200),'Per Line'!$AG$2:$AG$1501,0),"")</f>
        <v/>
      </c>
    </row>
    <row r="201">
      <c r="A201" s="12" t="n"/>
      <c r="B201">
        <f>IF($W201="","",INDEX('Per Line'!$B$2:$B$1501,$W201)&amp;"")</f>
        <v/>
      </c>
      <c r="C201">
        <f>IF($W201="","",INDEX('Per Line'!$A$2:$A$1501,$W201))</f>
        <v/>
      </c>
      <c r="D201" s="11">
        <f>IF($W201="","",INDEX('Per Line'!$C$2:$C$1501,$W201))</f>
        <v/>
      </c>
      <c r="E201">
        <f>IF($W201="","",INDEX('Per Line'!$D$2:$D$1501,$W201)&amp;"")</f>
        <v/>
      </c>
      <c r="F201">
        <f>IF($W201="","",INDEX('Per Line'!$F$2:$F$1501,$W201)&amp;"")</f>
        <v/>
      </c>
      <c r="G201">
        <f>IF($W201="","",INDEX('Per Line'!$G$2:$G$1501,$W201)&amp;"")</f>
        <v/>
      </c>
      <c r="H201">
        <f>IF($W201="","",INDEX('Per Line'!$H$2:$H$1501,$W201)&amp;"")</f>
        <v/>
      </c>
      <c r="I201">
        <f>IF($W201="","",INDEX('Per Line'!$I$2:$I$1501,$W201))</f>
        <v/>
      </c>
      <c r="J201" s="7">
        <f>IF($W201="","",I201*U201/100)</f>
        <v/>
      </c>
      <c r="K201">
        <f>IF($W201="","",INDEX('Per Line'!$U$2:$U$1501,$W201)&amp;"")</f>
        <v/>
      </c>
      <c r="L201" s="7">
        <f>IF($W201="","",SUMIFS('Per Line'!$Q$2:$Q$1501,'Per Line'!$B$2:$B$1501,$B201,'Per Line'!$AI$2:$AI$1501,1))</f>
        <v/>
      </c>
      <c r="M201">
        <f>IF($W201="","",Settings!$C$7)</f>
        <v/>
      </c>
      <c r="N201" s="7">
        <f>IF($W201="","",SUMIFS('Per Line'!$Q$2:$Q$1501,'Per Line'!$B$2:$B$1501,$B201,'Per Line'!$AH$2:$AH$1501,0,'Per Line'!$AI$2:$AI$1501,0))</f>
        <v/>
      </c>
      <c r="O201" s="7">
        <f>IF($W201="","",N201*M201)</f>
        <v/>
      </c>
      <c r="P201">
        <f>IF($W201="","",Settings!$C$6)</f>
        <v/>
      </c>
      <c r="Q201" s="7">
        <f>IF($W201="","",SUMIFS('Per Line'!$Q$2:$Q$1501,'Per Line'!$B$2:$B$1501,$B201,'Per Line'!$AH$2:$AH$1501,1,'Per Line'!$AI$2:$AI$1501,0))</f>
        <v/>
      </c>
      <c r="R201" s="7">
        <f>IF($W201="","",Q201*P201)</f>
        <v/>
      </c>
      <c r="S201" s="7">
        <f>IF($W201="","",R201+O201)</f>
        <v/>
      </c>
      <c r="T201" s="7">
        <f>IF($W201="","",U201-S201)</f>
        <v/>
      </c>
      <c r="U201" s="7">
        <f>IF($W201="","",N201+Q201+L201)</f>
        <v/>
      </c>
      <c r="V201" s="7">
        <f>IF($W201="","",U201-S201-J201)</f>
        <v/>
      </c>
      <c r="W201" s="13">
        <f>IF(ROWS($W$2:$W201)&lt;=MAX('Per Line'!$AG$2:$AG$1501),MATCH(ROWS($W$2:$W201),'Per Line'!$AG$2:$AG$1501,0),"")</f>
        <v/>
      </c>
    </row>
    <row r="202">
      <c r="A202" s="12" t="n"/>
      <c r="B202">
        <f>IF($W202="","",INDEX('Per Line'!$B$2:$B$1501,$W202)&amp;"")</f>
        <v/>
      </c>
      <c r="C202">
        <f>IF($W202="","",INDEX('Per Line'!$A$2:$A$1501,$W202))</f>
        <v/>
      </c>
      <c r="D202" s="11">
        <f>IF($W202="","",INDEX('Per Line'!$C$2:$C$1501,$W202))</f>
        <v/>
      </c>
      <c r="E202">
        <f>IF($W202="","",INDEX('Per Line'!$D$2:$D$1501,$W202)&amp;"")</f>
        <v/>
      </c>
      <c r="F202">
        <f>IF($W202="","",INDEX('Per Line'!$F$2:$F$1501,$W202)&amp;"")</f>
        <v/>
      </c>
      <c r="G202">
        <f>IF($W202="","",INDEX('Per Line'!$G$2:$G$1501,$W202)&amp;"")</f>
        <v/>
      </c>
      <c r="H202">
        <f>IF($W202="","",INDEX('Per Line'!$H$2:$H$1501,$W202)&amp;"")</f>
        <v/>
      </c>
      <c r="I202">
        <f>IF($W202="","",INDEX('Per Line'!$I$2:$I$1501,$W202))</f>
        <v/>
      </c>
      <c r="J202" s="7">
        <f>IF($W202="","",I202*U202/100)</f>
        <v/>
      </c>
      <c r="K202">
        <f>IF($W202="","",INDEX('Per Line'!$U$2:$U$1501,$W202)&amp;"")</f>
        <v/>
      </c>
      <c r="L202" s="7">
        <f>IF($W202="","",SUMIFS('Per Line'!$Q$2:$Q$1501,'Per Line'!$B$2:$B$1501,$B202,'Per Line'!$AI$2:$AI$1501,1))</f>
        <v/>
      </c>
      <c r="M202">
        <f>IF($W202="","",Settings!$C$7)</f>
        <v/>
      </c>
      <c r="N202" s="7">
        <f>IF($W202="","",SUMIFS('Per Line'!$Q$2:$Q$1501,'Per Line'!$B$2:$B$1501,$B202,'Per Line'!$AH$2:$AH$1501,0,'Per Line'!$AI$2:$AI$1501,0))</f>
        <v/>
      </c>
      <c r="O202" s="7">
        <f>IF($W202="","",N202*M202)</f>
        <v/>
      </c>
      <c r="P202">
        <f>IF($W202="","",Settings!$C$6)</f>
        <v/>
      </c>
      <c r="Q202" s="7">
        <f>IF($W202="","",SUMIFS('Per Line'!$Q$2:$Q$1501,'Per Line'!$B$2:$B$1501,$B202,'Per Line'!$AH$2:$AH$1501,1,'Per Line'!$AI$2:$AI$1501,0))</f>
        <v/>
      </c>
      <c r="R202" s="7">
        <f>IF($W202="","",Q202*P202)</f>
        <v/>
      </c>
      <c r="S202" s="7">
        <f>IF($W202="","",R202+O202)</f>
        <v/>
      </c>
      <c r="T202" s="7">
        <f>IF($W202="","",U202-S202)</f>
        <v/>
      </c>
      <c r="U202" s="7">
        <f>IF($W202="","",N202+Q202+L202)</f>
        <v/>
      </c>
      <c r="V202" s="7">
        <f>IF($W202="","",U202-S202-J202)</f>
        <v/>
      </c>
      <c r="W202" s="13">
        <f>IF(ROWS($W$2:$W202)&lt;=MAX('Per Line'!$AG$2:$AG$1501),MATCH(ROWS($W$2:$W202),'Per Line'!$AG$2:$AG$1501,0),"")</f>
        <v/>
      </c>
    </row>
    <row r="203">
      <c r="A203" s="12" t="n"/>
      <c r="B203">
        <f>IF($W203="","",INDEX('Per Line'!$B$2:$B$1501,$W203)&amp;"")</f>
        <v/>
      </c>
      <c r="C203">
        <f>IF($W203="","",INDEX('Per Line'!$A$2:$A$1501,$W203))</f>
        <v/>
      </c>
      <c r="D203" s="11">
        <f>IF($W203="","",INDEX('Per Line'!$C$2:$C$1501,$W203))</f>
        <v/>
      </c>
      <c r="E203">
        <f>IF($W203="","",INDEX('Per Line'!$D$2:$D$1501,$W203)&amp;"")</f>
        <v/>
      </c>
      <c r="F203">
        <f>IF($W203="","",INDEX('Per Line'!$F$2:$F$1501,$W203)&amp;"")</f>
        <v/>
      </c>
      <c r="G203">
        <f>IF($W203="","",INDEX('Per Line'!$G$2:$G$1501,$W203)&amp;"")</f>
        <v/>
      </c>
      <c r="H203">
        <f>IF($W203="","",INDEX('Per Line'!$H$2:$H$1501,$W203)&amp;"")</f>
        <v/>
      </c>
      <c r="I203">
        <f>IF($W203="","",INDEX('Per Line'!$I$2:$I$1501,$W203))</f>
        <v/>
      </c>
      <c r="J203" s="7">
        <f>IF($W203="","",I203*U203/100)</f>
        <v/>
      </c>
      <c r="K203">
        <f>IF($W203="","",INDEX('Per Line'!$U$2:$U$1501,$W203)&amp;"")</f>
        <v/>
      </c>
      <c r="L203" s="7">
        <f>IF($W203="","",SUMIFS('Per Line'!$Q$2:$Q$1501,'Per Line'!$B$2:$B$1501,$B203,'Per Line'!$AI$2:$AI$1501,1))</f>
        <v/>
      </c>
      <c r="M203">
        <f>IF($W203="","",Settings!$C$7)</f>
        <v/>
      </c>
      <c r="N203" s="7">
        <f>IF($W203="","",SUMIFS('Per Line'!$Q$2:$Q$1501,'Per Line'!$B$2:$B$1501,$B203,'Per Line'!$AH$2:$AH$1501,0,'Per Line'!$AI$2:$AI$1501,0))</f>
        <v/>
      </c>
      <c r="O203" s="7">
        <f>IF($W203="","",N203*M203)</f>
        <v/>
      </c>
      <c r="P203">
        <f>IF($W203="","",Settings!$C$6)</f>
        <v/>
      </c>
      <c r="Q203" s="7">
        <f>IF($W203="","",SUMIFS('Per Line'!$Q$2:$Q$1501,'Per Line'!$B$2:$B$1501,$B203,'Per Line'!$AH$2:$AH$1501,1,'Per Line'!$AI$2:$AI$1501,0))</f>
        <v/>
      </c>
      <c r="R203" s="7">
        <f>IF($W203="","",Q203*P203)</f>
        <v/>
      </c>
      <c r="S203" s="7">
        <f>IF($W203="","",R203+O203)</f>
        <v/>
      </c>
      <c r="T203" s="7">
        <f>IF($W203="","",U203-S203)</f>
        <v/>
      </c>
      <c r="U203" s="7">
        <f>IF($W203="","",N203+Q203+L203)</f>
        <v/>
      </c>
      <c r="V203" s="7">
        <f>IF($W203="","",U203-S203-J203)</f>
        <v/>
      </c>
      <c r="W203" s="13">
        <f>IF(ROWS($W$2:$W203)&lt;=MAX('Per Line'!$AG$2:$AG$1501),MATCH(ROWS($W$2:$W203),'Per Line'!$AG$2:$AG$1501,0),"")</f>
        <v/>
      </c>
    </row>
    <row r="204">
      <c r="A204" s="12" t="n"/>
      <c r="B204">
        <f>IF($W204="","",INDEX('Per Line'!$B$2:$B$1501,$W204)&amp;"")</f>
        <v/>
      </c>
      <c r="C204">
        <f>IF($W204="","",INDEX('Per Line'!$A$2:$A$1501,$W204))</f>
        <v/>
      </c>
      <c r="D204" s="11">
        <f>IF($W204="","",INDEX('Per Line'!$C$2:$C$1501,$W204))</f>
        <v/>
      </c>
      <c r="E204">
        <f>IF($W204="","",INDEX('Per Line'!$D$2:$D$1501,$W204)&amp;"")</f>
        <v/>
      </c>
      <c r="F204">
        <f>IF($W204="","",INDEX('Per Line'!$F$2:$F$1501,$W204)&amp;"")</f>
        <v/>
      </c>
      <c r="G204">
        <f>IF($W204="","",INDEX('Per Line'!$G$2:$G$1501,$W204)&amp;"")</f>
        <v/>
      </c>
      <c r="H204">
        <f>IF($W204="","",INDEX('Per Line'!$H$2:$H$1501,$W204)&amp;"")</f>
        <v/>
      </c>
      <c r="I204">
        <f>IF($W204="","",INDEX('Per Line'!$I$2:$I$1501,$W204))</f>
        <v/>
      </c>
      <c r="J204" s="7">
        <f>IF($W204="","",I204*U204/100)</f>
        <v/>
      </c>
      <c r="K204">
        <f>IF($W204="","",INDEX('Per Line'!$U$2:$U$1501,$W204)&amp;"")</f>
        <v/>
      </c>
      <c r="L204" s="7">
        <f>IF($W204="","",SUMIFS('Per Line'!$Q$2:$Q$1501,'Per Line'!$B$2:$B$1501,$B204,'Per Line'!$AI$2:$AI$1501,1))</f>
        <v/>
      </c>
      <c r="M204">
        <f>IF($W204="","",Settings!$C$7)</f>
        <v/>
      </c>
      <c r="N204" s="7">
        <f>IF($W204="","",SUMIFS('Per Line'!$Q$2:$Q$1501,'Per Line'!$B$2:$B$1501,$B204,'Per Line'!$AH$2:$AH$1501,0,'Per Line'!$AI$2:$AI$1501,0))</f>
        <v/>
      </c>
      <c r="O204" s="7">
        <f>IF($W204="","",N204*M204)</f>
        <v/>
      </c>
      <c r="P204">
        <f>IF($W204="","",Settings!$C$6)</f>
        <v/>
      </c>
      <c r="Q204" s="7">
        <f>IF($W204="","",SUMIFS('Per Line'!$Q$2:$Q$1501,'Per Line'!$B$2:$B$1501,$B204,'Per Line'!$AH$2:$AH$1501,1,'Per Line'!$AI$2:$AI$1501,0))</f>
        <v/>
      </c>
      <c r="R204" s="7">
        <f>IF($W204="","",Q204*P204)</f>
        <v/>
      </c>
      <c r="S204" s="7">
        <f>IF($W204="","",R204+O204)</f>
        <v/>
      </c>
      <c r="T204" s="7">
        <f>IF($W204="","",U204-S204)</f>
        <v/>
      </c>
      <c r="U204" s="7">
        <f>IF($W204="","",N204+Q204+L204)</f>
        <v/>
      </c>
      <c r="V204" s="7">
        <f>IF($W204="","",U204-S204-J204)</f>
        <v/>
      </c>
      <c r="W204" s="13">
        <f>IF(ROWS($W$2:$W204)&lt;=MAX('Per Line'!$AG$2:$AG$1501),MATCH(ROWS($W$2:$W204),'Per Line'!$AG$2:$AG$1501,0),"")</f>
        <v/>
      </c>
    </row>
    <row r="205">
      <c r="A205" s="12" t="n"/>
      <c r="B205">
        <f>IF($W205="","",INDEX('Per Line'!$B$2:$B$1501,$W205)&amp;"")</f>
        <v/>
      </c>
      <c r="C205">
        <f>IF($W205="","",INDEX('Per Line'!$A$2:$A$1501,$W205))</f>
        <v/>
      </c>
      <c r="D205" s="11">
        <f>IF($W205="","",INDEX('Per Line'!$C$2:$C$1501,$W205))</f>
        <v/>
      </c>
      <c r="E205">
        <f>IF($W205="","",INDEX('Per Line'!$D$2:$D$1501,$W205)&amp;"")</f>
        <v/>
      </c>
      <c r="F205">
        <f>IF($W205="","",INDEX('Per Line'!$F$2:$F$1501,$W205)&amp;"")</f>
        <v/>
      </c>
      <c r="G205">
        <f>IF($W205="","",INDEX('Per Line'!$G$2:$G$1501,$W205)&amp;"")</f>
        <v/>
      </c>
      <c r="H205">
        <f>IF($W205="","",INDEX('Per Line'!$H$2:$H$1501,$W205)&amp;"")</f>
        <v/>
      </c>
      <c r="I205">
        <f>IF($W205="","",INDEX('Per Line'!$I$2:$I$1501,$W205))</f>
        <v/>
      </c>
      <c r="J205" s="7">
        <f>IF($W205="","",I205*U205/100)</f>
        <v/>
      </c>
      <c r="K205">
        <f>IF($W205="","",INDEX('Per Line'!$U$2:$U$1501,$W205)&amp;"")</f>
        <v/>
      </c>
      <c r="L205" s="7">
        <f>IF($W205="","",SUMIFS('Per Line'!$Q$2:$Q$1501,'Per Line'!$B$2:$B$1501,$B205,'Per Line'!$AI$2:$AI$1501,1))</f>
        <v/>
      </c>
      <c r="M205">
        <f>IF($W205="","",Settings!$C$7)</f>
        <v/>
      </c>
      <c r="N205" s="7">
        <f>IF($W205="","",SUMIFS('Per Line'!$Q$2:$Q$1501,'Per Line'!$B$2:$B$1501,$B205,'Per Line'!$AH$2:$AH$1501,0,'Per Line'!$AI$2:$AI$1501,0))</f>
        <v/>
      </c>
      <c r="O205" s="7">
        <f>IF($W205="","",N205*M205)</f>
        <v/>
      </c>
      <c r="P205">
        <f>IF($W205="","",Settings!$C$6)</f>
        <v/>
      </c>
      <c r="Q205" s="7">
        <f>IF($W205="","",SUMIFS('Per Line'!$Q$2:$Q$1501,'Per Line'!$B$2:$B$1501,$B205,'Per Line'!$AH$2:$AH$1501,1,'Per Line'!$AI$2:$AI$1501,0))</f>
        <v/>
      </c>
      <c r="R205" s="7">
        <f>IF($W205="","",Q205*P205)</f>
        <v/>
      </c>
      <c r="S205" s="7">
        <f>IF($W205="","",R205+O205)</f>
        <v/>
      </c>
      <c r="T205" s="7">
        <f>IF($W205="","",U205-S205)</f>
        <v/>
      </c>
      <c r="U205" s="7">
        <f>IF($W205="","",N205+Q205+L205)</f>
        <v/>
      </c>
      <c r="V205" s="7">
        <f>IF($W205="","",U205-S205-J205)</f>
        <v/>
      </c>
      <c r="W205" s="13">
        <f>IF(ROWS($W$2:$W205)&lt;=MAX('Per Line'!$AG$2:$AG$1501),MATCH(ROWS($W$2:$W205),'Per Line'!$AG$2:$AG$1501,0),"")</f>
        <v/>
      </c>
    </row>
    <row r="206">
      <c r="A206" s="12" t="n"/>
      <c r="B206">
        <f>IF($W206="","",INDEX('Per Line'!$B$2:$B$1501,$W206)&amp;"")</f>
        <v/>
      </c>
      <c r="C206">
        <f>IF($W206="","",INDEX('Per Line'!$A$2:$A$1501,$W206))</f>
        <v/>
      </c>
      <c r="D206" s="11">
        <f>IF($W206="","",INDEX('Per Line'!$C$2:$C$1501,$W206))</f>
        <v/>
      </c>
      <c r="E206">
        <f>IF($W206="","",INDEX('Per Line'!$D$2:$D$1501,$W206)&amp;"")</f>
        <v/>
      </c>
      <c r="F206">
        <f>IF($W206="","",INDEX('Per Line'!$F$2:$F$1501,$W206)&amp;"")</f>
        <v/>
      </c>
      <c r="G206">
        <f>IF($W206="","",INDEX('Per Line'!$G$2:$G$1501,$W206)&amp;"")</f>
        <v/>
      </c>
      <c r="H206">
        <f>IF($W206="","",INDEX('Per Line'!$H$2:$H$1501,$W206)&amp;"")</f>
        <v/>
      </c>
      <c r="I206">
        <f>IF($W206="","",INDEX('Per Line'!$I$2:$I$1501,$W206))</f>
        <v/>
      </c>
      <c r="J206" s="7">
        <f>IF($W206="","",I206*U206/100)</f>
        <v/>
      </c>
      <c r="K206">
        <f>IF($W206="","",INDEX('Per Line'!$U$2:$U$1501,$W206)&amp;"")</f>
        <v/>
      </c>
      <c r="L206" s="7">
        <f>IF($W206="","",SUMIFS('Per Line'!$Q$2:$Q$1501,'Per Line'!$B$2:$B$1501,$B206,'Per Line'!$AI$2:$AI$1501,1))</f>
        <v/>
      </c>
      <c r="M206">
        <f>IF($W206="","",Settings!$C$7)</f>
        <v/>
      </c>
      <c r="N206" s="7">
        <f>IF($W206="","",SUMIFS('Per Line'!$Q$2:$Q$1501,'Per Line'!$B$2:$B$1501,$B206,'Per Line'!$AH$2:$AH$1501,0,'Per Line'!$AI$2:$AI$1501,0))</f>
        <v/>
      </c>
      <c r="O206" s="7">
        <f>IF($W206="","",N206*M206)</f>
        <v/>
      </c>
      <c r="P206">
        <f>IF($W206="","",Settings!$C$6)</f>
        <v/>
      </c>
      <c r="Q206" s="7">
        <f>IF($W206="","",SUMIFS('Per Line'!$Q$2:$Q$1501,'Per Line'!$B$2:$B$1501,$B206,'Per Line'!$AH$2:$AH$1501,1,'Per Line'!$AI$2:$AI$1501,0))</f>
        <v/>
      </c>
      <c r="R206" s="7">
        <f>IF($W206="","",Q206*P206)</f>
        <v/>
      </c>
      <c r="S206" s="7">
        <f>IF($W206="","",R206+O206)</f>
        <v/>
      </c>
      <c r="T206" s="7">
        <f>IF($W206="","",U206-S206)</f>
        <v/>
      </c>
      <c r="U206" s="7">
        <f>IF($W206="","",N206+Q206+L206)</f>
        <v/>
      </c>
      <c r="V206" s="7">
        <f>IF($W206="","",U206-S206-J206)</f>
        <v/>
      </c>
      <c r="W206" s="13">
        <f>IF(ROWS($W$2:$W206)&lt;=MAX('Per Line'!$AG$2:$AG$1501),MATCH(ROWS($W$2:$W206),'Per Line'!$AG$2:$AG$1501,0),"")</f>
        <v/>
      </c>
    </row>
    <row r="207">
      <c r="A207" s="12" t="n"/>
      <c r="B207">
        <f>IF($W207="","",INDEX('Per Line'!$B$2:$B$1501,$W207)&amp;"")</f>
        <v/>
      </c>
      <c r="C207">
        <f>IF($W207="","",INDEX('Per Line'!$A$2:$A$1501,$W207))</f>
        <v/>
      </c>
      <c r="D207" s="11">
        <f>IF($W207="","",INDEX('Per Line'!$C$2:$C$1501,$W207))</f>
        <v/>
      </c>
      <c r="E207">
        <f>IF($W207="","",INDEX('Per Line'!$D$2:$D$1501,$W207)&amp;"")</f>
        <v/>
      </c>
      <c r="F207">
        <f>IF($W207="","",INDEX('Per Line'!$F$2:$F$1501,$W207)&amp;"")</f>
        <v/>
      </c>
      <c r="G207">
        <f>IF($W207="","",INDEX('Per Line'!$G$2:$G$1501,$W207)&amp;"")</f>
        <v/>
      </c>
      <c r="H207">
        <f>IF($W207="","",INDEX('Per Line'!$H$2:$H$1501,$W207)&amp;"")</f>
        <v/>
      </c>
      <c r="I207">
        <f>IF($W207="","",INDEX('Per Line'!$I$2:$I$1501,$W207))</f>
        <v/>
      </c>
      <c r="J207" s="7">
        <f>IF($W207="","",I207*U207/100)</f>
        <v/>
      </c>
      <c r="K207">
        <f>IF($W207="","",INDEX('Per Line'!$U$2:$U$1501,$W207)&amp;"")</f>
        <v/>
      </c>
      <c r="L207" s="7">
        <f>IF($W207="","",SUMIFS('Per Line'!$Q$2:$Q$1501,'Per Line'!$B$2:$B$1501,$B207,'Per Line'!$AI$2:$AI$1501,1))</f>
        <v/>
      </c>
      <c r="M207">
        <f>IF($W207="","",Settings!$C$7)</f>
        <v/>
      </c>
      <c r="N207" s="7">
        <f>IF($W207="","",SUMIFS('Per Line'!$Q$2:$Q$1501,'Per Line'!$B$2:$B$1501,$B207,'Per Line'!$AH$2:$AH$1501,0,'Per Line'!$AI$2:$AI$1501,0))</f>
        <v/>
      </c>
      <c r="O207" s="7">
        <f>IF($W207="","",N207*M207)</f>
        <v/>
      </c>
      <c r="P207">
        <f>IF($W207="","",Settings!$C$6)</f>
        <v/>
      </c>
      <c r="Q207" s="7">
        <f>IF($W207="","",SUMIFS('Per Line'!$Q$2:$Q$1501,'Per Line'!$B$2:$B$1501,$B207,'Per Line'!$AH$2:$AH$1501,1,'Per Line'!$AI$2:$AI$1501,0))</f>
        <v/>
      </c>
      <c r="R207" s="7">
        <f>IF($W207="","",Q207*P207)</f>
        <v/>
      </c>
      <c r="S207" s="7">
        <f>IF($W207="","",R207+O207)</f>
        <v/>
      </c>
      <c r="T207" s="7">
        <f>IF($W207="","",U207-S207)</f>
        <v/>
      </c>
      <c r="U207" s="7">
        <f>IF($W207="","",N207+Q207+L207)</f>
        <v/>
      </c>
      <c r="V207" s="7">
        <f>IF($W207="","",U207-S207-J207)</f>
        <v/>
      </c>
      <c r="W207" s="13">
        <f>IF(ROWS($W$2:$W207)&lt;=MAX('Per Line'!$AG$2:$AG$1501),MATCH(ROWS($W$2:$W207),'Per Line'!$AG$2:$AG$1501,0),"")</f>
        <v/>
      </c>
    </row>
    <row r="208">
      <c r="A208" s="12" t="n"/>
      <c r="B208">
        <f>IF($W208="","",INDEX('Per Line'!$B$2:$B$1501,$W208)&amp;"")</f>
        <v/>
      </c>
      <c r="C208">
        <f>IF($W208="","",INDEX('Per Line'!$A$2:$A$1501,$W208))</f>
        <v/>
      </c>
      <c r="D208" s="11">
        <f>IF($W208="","",INDEX('Per Line'!$C$2:$C$1501,$W208))</f>
        <v/>
      </c>
      <c r="E208">
        <f>IF($W208="","",INDEX('Per Line'!$D$2:$D$1501,$W208)&amp;"")</f>
        <v/>
      </c>
      <c r="F208">
        <f>IF($W208="","",INDEX('Per Line'!$F$2:$F$1501,$W208)&amp;"")</f>
        <v/>
      </c>
      <c r="G208">
        <f>IF($W208="","",INDEX('Per Line'!$G$2:$G$1501,$W208)&amp;"")</f>
        <v/>
      </c>
      <c r="H208">
        <f>IF($W208="","",INDEX('Per Line'!$H$2:$H$1501,$W208)&amp;"")</f>
        <v/>
      </c>
      <c r="I208">
        <f>IF($W208="","",INDEX('Per Line'!$I$2:$I$1501,$W208))</f>
        <v/>
      </c>
      <c r="J208" s="7">
        <f>IF($W208="","",I208*U208/100)</f>
        <v/>
      </c>
      <c r="K208">
        <f>IF($W208="","",INDEX('Per Line'!$U$2:$U$1501,$W208)&amp;"")</f>
        <v/>
      </c>
      <c r="L208" s="7">
        <f>IF($W208="","",SUMIFS('Per Line'!$Q$2:$Q$1501,'Per Line'!$B$2:$B$1501,$B208,'Per Line'!$AI$2:$AI$1501,1))</f>
        <v/>
      </c>
      <c r="M208">
        <f>IF($W208="","",Settings!$C$7)</f>
        <v/>
      </c>
      <c r="N208" s="7">
        <f>IF($W208="","",SUMIFS('Per Line'!$Q$2:$Q$1501,'Per Line'!$B$2:$B$1501,$B208,'Per Line'!$AH$2:$AH$1501,0,'Per Line'!$AI$2:$AI$1501,0))</f>
        <v/>
      </c>
      <c r="O208" s="7">
        <f>IF($W208="","",N208*M208)</f>
        <v/>
      </c>
      <c r="P208">
        <f>IF($W208="","",Settings!$C$6)</f>
        <v/>
      </c>
      <c r="Q208" s="7">
        <f>IF($W208="","",SUMIFS('Per Line'!$Q$2:$Q$1501,'Per Line'!$B$2:$B$1501,$B208,'Per Line'!$AH$2:$AH$1501,1,'Per Line'!$AI$2:$AI$1501,0))</f>
        <v/>
      </c>
      <c r="R208" s="7">
        <f>IF($W208="","",Q208*P208)</f>
        <v/>
      </c>
      <c r="S208" s="7">
        <f>IF($W208="","",R208+O208)</f>
        <v/>
      </c>
      <c r="T208" s="7">
        <f>IF($W208="","",U208-S208)</f>
        <v/>
      </c>
      <c r="U208" s="7">
        <f>IF($W208="","",N208+Q208+L208)</f>
        <v/>
      </c>
      <c r="V208" s="7">
        <f>IF($W208="","",U208-S208-J208)</f>
        <v/>
      </c>
      <c r="W208" s="13">
        <f>IF(ROWS($W$2:$W208)&lt;=MAX('Per Line'!$AG$2:$AG$1501),MATCH(ROWS($W$2:$W208),'Per Line'!$AG$2:$AG$1501,0),"")</f>
        <v/>
      </c>
    </row>
    <row r="209">
      <c r="A209" s="12" t="n"/>
      <c r="B209">
        <f>IF($W209="","",INDEX('Per Line'!$B$2:$B$1501,$W209)&amp;"")</f>
        <v/>
      </c>
      <c r="C209">
        <f>IF($W209="","",INDEX('Per Line'!$A$2:$A$1501,$W209))</f>
        <v/>
      </c>
      <c r="D209" s="11">
        <f>IF($W209="","",INDEX('Per Line'!$C$2:$C$1501,$W209))</f>
        <v/>
      </c>
      <c r="E209">
        <f>IF($W209="","",INDEX('Per Line'!$D$2:$D$1501,$W209)&amp;"")</f>
        <v/>
      </c>
      <c r="F209">
        <f>IF($W209="","",INDEX('Per Line'!$F$2:$F$1501,$W209)&amp;"")</f>
        <v/>
      </c>
      <c r="G209">
        <f>IF($W209="","",INDEX('Per Line'!$G$2:$G$1501,$W209)&amp;"")</f>
        <v/>
      </c>
      <c r="H209">
        <f>IF($W209="","",INDEX('Per Line'!$H$2:$H$1501,$W209)&amp;"")</f>
        <v/>
      </c>
      <c r="I209">
        <f>IF($W209="","",INDEX('Per Line'!$I$2:$I$1501,$W209))</f>
        <v/>
      </c>
      <c r="J209" s="7">
        <f>IF($W209="","",I209*U209/100)</f>
        <v/>
      </c>
      <c r="K209">
        <f>IF($W209="","",INDEX('Per Line'!$U$2:$U$1501,$W209)&amp;"")</f>
        <v/>
      </c>
      <c r="L209" s="7">
        <f>IF($W209="","",SUMIFS('Per Line'!$Q$2:$Q$1501,'Per Line'!$B$2:$B$1501,$B209,'Per Line'!$AI$2:$AI$1501,1))</f>
        <v/>
      </c>
      <c r="M209">
        <f>IF($W209="","",Settings!$C$7)</f>
        <v/>
      </c>
      <c r="N209" s="7">
        <f>IF($W209="","",SUMIFS('Per Line'!$Q$2:$Q$1501,'Per Line'!$B$2:$B$1501,$B209,'Per Line'!$AH$2:$AH$1501,0,'Per Line'!$AI$2:$AI$1501,0))</f>
        <v/>
      </c>
      <c r="O209" s="7">
        <f>IF($W209="","",N209*M209)</f>
        <v/>
      </c>
      <c r="P209">
        <f>IF($W209="","",Settings!$C$6)</f>
        <v/>
      </c>
      <c r="Q209" s="7">
        <f>IF($W209="","",SUMIFS('Per Line'!$Q$2:$Q$1501,'Per Line'!$B$2:$B$1501,$B209,'Per Line'!$AH$2:$AH$1501,1,'Per Line'!$AI$2:$AI$1501,0))</f>
        <v/>
      </c>
      <c r="R209" s="7">
        <f>IF($W209="","",Q209*P209)</f>
        <v/>
      </c>
      <c r="S209" s="7">
        <f>IF($W209="","",R209+O209)</f>
        <v/>
      </c>
      <c r="T209" s="7">
        <f>IF($W209="","",U209-S209)</f>
        <v/>
      </c>
      <c r="U209" s="7">
        <f>IF($W209="","",N209+Q209+L209)</f>
        <v/>
      </c>
      <c r="V209" s="7">
        <f>IF($W209="","",U209-S209-J209)</f>
        <v/>
      </c>
      <c r="W209" s="13">
        <f>IF(ROWS($W$2:$W209)&lt;=MAX('Per Line'!$AG$2:$AG$1501),MATCH(ROWS($W$2:$W209),'Per Line'!$AG$2:$AG$1501,0),"")</f>
        <v/>
      </c>
    </row>
    <row r="210">
      <c r="A210" s="12" t="n"/>
      <c r="B210">
        <f>IF($W210="","",INDEX('Per Line'!$B$2:$B$1501,$W210)&amp;"")</f>
        <v/>
      </c>
      <c r="C210">
        <f>IF($W210="","",INDEX('Per Line'!$A$2:$A$1501,$W210))</f>
        <v/>
      </c>
      <c r="D210" s="11">
        <f>IF($W210="","",INDEX('Per Line'!$C$2:$C$1501,$W210))</f>
        <v/>
      </c>
      <c r="E210">
        <f>IF($W210="","",INDEX('Per Line'!$D$2:$D$1501,$W210)&amp;"")</f>
        <v/>
      </c>
      <c r="F210">
        <f>IF($W210="","",INDEX('Per Line'!$F$2:$F$1501,$W210)&amp;"")</f>
        <v/>
      </c>
      <c r="G210">
        <f>IF($W210="","",INDEX('Per Line'!$G$2:$G$1501,$W210)&amp;"")</f>
        <v/>
      </c>
      <c r="H210">
        <f>IF($W210="","",INDEX('Per Line'!$H$2:$H$1501,$W210)&amp;"")</f>
        <v/>
      </c>
      <c r="I210">
        <f>IF($W210="","",INDEX('Per Line'!$I$2:$I$1501,$W210))</f>
        <v/>
      </c>
      <c r="J210" s="7">
        <f>IF($W210="","",I210*U210/100)</f>
        <v/>
      </c>
      <c r="K210">
        <f>IF($W210="","",INDEX('Per Line'!$U$2:$U$1501,$W210)&amp;"")</f>
        <v/>
      </c>
      <c r="L210" s="7">
        <f>IF($W210="","",SUMIFS('Per Line'!$Q$2:$Q$1501,'Per Line'!$B$2:$B$1501,$B210,'Per Line'!$AI$2:$AI$1501,1))</f>
        <v/>
      </c>
      <c r="M210">
        <f>IF($W210="","",Settings!$C$7)</f>
        <v/>
      </c>
      <c r="N210" s="7">
        <f>IF($W210="","",SUMIFS('Per Line'!$Q$2:$Q$1501,'Per Line'!$B$2:$B$1501,$B210,'Per Line'!$AH$2:$AH$1501,0,'Per Line'!$AI$2:$AI$1501,0))</f>
        <v/>
      </c>
      <c r="O210" s="7">
        <f>IF($W210="","",N210*M210)</f>
        <v/>
      </c>
      <c r="P210">
        <f>IF($W210="","",Settings!$C$6)</f>
        <v/>
      </c>
      <c r="Q210" s="7">
        <f>IF($W210="","",SUMIFS('Per Line'!$Q$2:$Q$1501,'Per Line'!$B$2:$B$1501,$B210,'Per Line'!$AH$2:$AH$1501,1,'Per Line'!$AI$2:$AI$1501,0))</f>
        <v/>
      </c>
      <c r="R210" s="7">
        <f>IF($W210="","",Q210*P210)</f>
        <v/>
      </c>
      <c r="S210" s="7">
        <f>IF($W210="","",R210+O210)</f>
        <v/>
      </c>
      <c r="T210" s="7">
        <f>IF($W210="","",U210-S210)</f>
        <v/>
      </c>
      <c r="U210" s="7">
        <f>IF($W210="","",N210+Q210+L210)</f>
        <v/>
      </c>
      <c r="V210" s="7">
        <f>IF($W210="","",U210-S210-J210)</f>
        <v/>
      </c>
      <c r="W210" s="13">
        <f>IF(ROWS($W$2:$W210)&lt;=MAX('Per Line'!$AG$2:$AG$1501),MATCH(ROWS($W$2:$W210),'Per Line'!$AG$2:$AG$1501,0),"")</f>
        <v/>
      </c>
    </row>
    <row r="211">
      <c r="A211" s="12" t="n"/>
      <c r="B211">
        <f>IF($W211="","",INDEX('Per Line'!$B$2:$B$1501,$W211)&amp;"")</f>
        <v/>
      </c>
      <c r="C211">
        <f>IF($W211="","",INDEX('Per Line'!$A$2:$A$1501,$W211))</f>
        <v/>
      </c>
      <c r="D211" s="11">
        <f>IF($W211="","",INDEX('Per Line'!$C$2:$C$1501,$W211))</f>
        <v/>
      </c>
      <c r="E211">
        <f>IF($W211="","",INDEX('Per Line'!$D$2:$D$1501,$W211)&amp;"")</f>
        <v/>
      </c>
      <c r="F211">
        <f>IF($W211="","",INDEX('Per Line'!$F$2:$F$1501,$W211)&amp;"")</f>
        <v/>
      </c>
      <c r="G211">
        <f>IF($W211="","",INDEX('Per Line'!$G$2:$G$1501,$W211)&amp;"")</f>
        <v/>
      </c>
      <c r="H211">
        <f>IF($W211="","",INDEX('Per Line'!$H$2:$H$1501,$W211)&amp;"")</f>
        <v/>
      </c>
      <c r="I211">
        <f>IF($W211="","",INDEX('Per Line'!$I$2:$I$1501,$W211))</f>
        <v/>
      </c>
      <c r="J211" s="7">
        <f>IF($W211="","",I211*U211/100)</f>
        <v/>
      </c>
      <c r="K211">
        <f>IF($W211="","",INDEX('Per Line'!$U$2:$U$1501,$W211)&amp;"")</f>
        <v/>
      </c>
      <c r="L211" s="7">
        <f>IF($W211="","",SUMIFS('Per Line'!$Q$2:$Q$1501,'Per Line'!$B$2:$B$1501,$B211,'Per Line'!$AI$2:$AI$1501,1))</f>
        <v/>
      </c>
      <c r="M211">
        <f>IF($W211="","",Settings!$C$7)</f>
        <v/>
      </c>
      <c r="N211" s="7">
        <f>IF($W211="","",SUMIFS('Per Line'!$Q$2:$Q$1501,'Per Line'!$B$2:$B$1501,$B211,'Per Line'!$AH$2:$AH$1501,0,'Per Line'!$AI$2:$AI$1501,0))</f>
        <v/>
      </c>
      <c r="O211" s="7">
        <f>IF($W211="","",N211*M211)</f>
        <v/>
      </c>
      <c r="P211">
        <f>IF($W211="","",Settings!$C$6)</f>
        <v/>
      </c>
      <c r="Q211" s="7">
        <f>IF($W211="","",SUMIFS('Per Line'!$Q$2:$Q$1501,'Per Line'!$B$2:$B$1501,$B211,'Per Line'!$AH$2:$AH$1501,1,'Per Line'!$AI$2:$AI$1501,0))</f>
        <v/>
      </c>
      <c r="R211" s="7">
        <f>IF($W211="","",Q211*P211)</f>
        <v/>
      </c>
      <c r="S211" s="7">
        <f>IF($W211="","",R211+O211)</f>
        <v/>
      </c>
      <c r="T211" s="7">
        <f>IF($W211="","",U211-S211)</f>
        <v/>
      </c>
      <c r="U211" s="7">
        <f>IF($W211="","",N211+Q211+L211)</f>
        <v/>
      </c>
      <c r="V211" s="7">
        <f>IF($W211="","",U211-S211-J211)</f>
        <v/>
      </c>
      <c r="W211" s="13">
        <f>IF(ROWS($W$2:$W211)&lt;=MAX('Per Line'!$AG$2:$AG$1501),MATCH(ROWS($W$2:$W211),'Per Line'!$AG$2:$AG$1501,0),"")</f>
        <v/>
      </c>
    </row>
    <row r="212">
      <c r="A212" s="12" t="n"/>
      <c r="B212">
        <f>IF($W212="","",INDEX('Per Line'!$B$2:$B$1501,$W212)&amp;"")</f>
        <v/>
      </c>
      <c r="C212">
        <f>IF($W212="","",INDEX('Per Line'!$A$2:$A$1501,$W212))</f>
        <v/>
      </c>
      <c r="D212" s="11">
        <f>IF($W212="","",INDEX('Per Line'!$C$2:$C$1501,$W212))</f>
        <v/>
      </c>
      <c r="E212">
        <f>IF($W212="","",INDEX('Per Line'!$D$2:$D$1501,$W212)&amp;"")</f>
        <v/>
      </c>
      <c r="F212">
        <f>IF($W212="","",INDEX('Per Line'!$F$2:$F$1501,$W212)&amp;"")</f>
        <v/>
      </c>
      <c r="G212">
        <f>IF($W212="","",INDEX('Per Line'!$G$2:$G$1501,$W212)&amp;"")</f>
        <v/>
      </c>
      <c r="H212">
        <f>IF($W212="","",INDEX('Per Line'!$H$2:$H$1501,$W212)&amp;"")</f>
        <v/>
      </c>
      <c r="I212">
        <f>IF($W212="","",INDEX('Per Line'!$I$2:$I$1501,$W212))</f>
        <v/>
      </c>
      <c r="J212" s="7">
        <f>IF($W212="","",I212*U212/100)</f>
        <v/>
      </c>
      <c r="K212">
        <f>IF($W212="","",INDEX('Per Line'!$U$2:$U$1501,$W212)&amp;"")</f>
        <v/>
      </c>
      <c r="L212" s="7">
        <f>IF($W212="","",SUMIFS('Per Line'!$Q$2:$Q$1501,'Per Line'!$B$2:$B$1501,$B212,'Per Line'!$AI$2:$AI$1501,1))</f>
        <v/>
      </c>
      <c r="M212">
        <f>IF($W212="","",Settings!$C$7)</f>
        <v/>
      </c>
      <c r="N212" s="7">
        <f>IF($W212="","",SUMIFS('Per Line'!$Q$2:$Q$1501,'Per Line'!$B$2:$B$1501,$B212,'Per Line'!$AH$2:$AH$1501,0,'Per Line'!$AI$2:$AI$1501,0))</f>
        <v/>
      </c>
      <c r="O212" s="7">
        <f>IF($W212="","",N212*M212)</f>
        <v/>
      </c>
      <c r="P212">
        <f>IF($W212="","",Settings!$C$6)</f>
        <v/>
      </c>
      <c r="Q212" s="7">
        <f>IF($W212="","",SUMIFS('Per Line'!$Q$2:$Q$1501,'Per Line'!$B$2:$B$1501,$B212,'Per Line'!$AH$2:$AH$1501,1,'Per Line'!$AI$2:$AI$1501,0))</f>
        <v/>
      </c>
      <c r="R212" s="7">
        <f>IF($W212="","",Q212*P212)</f>
        <v/>
      </c>
      <c r="S212" s="7">
        <f>IF($W212="","",R212+O212)</f>
        <v/>
      </c>
      <c r="T212" s="7">
        <f>IF($W212="","",U212-S212)</f>
        <v/>
      </c>
      <c r="U212" s="7">
        <f>IF($W212="","",N212+Q212+L212)</f>
        <v/>
      </c>
      <c r="V212" s="7">
        <f>IF($W212="","",U212-S212-J212)</f>
        <v/>
      </c>
      <c r="W212" s="13">
        <f>IF(ROWS($W$2:$W212)&lt;=MAX('Per Line'!$AG$2:$AG$1501),MATCH(ROWS($W$2:$W212),'Per Line'!$AG$2:$AG$1501,0),"")</f>
        <v/>
      </c>
    </row>
    <row r="213">
      <c r="A213" s="12" t="n"/>
      <c r="B213">
        <f>IF($W213="","",INDEX('Per Line'!$B$2:$B$1501,$W213)&amp;"")</f>
        <v/>
      </c>
      <c r="C213">
        <f>IF($W213="","",INDEX('Per Line'!$A$2:$A$1501,$W213))</f>
        <v/>
      </c>
      <c r="D213" s="11">
        <f>IF($W213="","",INDEX('Per Line'!$C$2:$C$1501,$W213))</f>
        <v/>
      </c>
      <c r="E213">
        <f>IF($W213="","",INDEX('Per Line'!$D$2:$D$1501,$W213)&amp;"")</f>
        <v/>
      </c>
      <c r="F213">
        <f>IF($W213="","",INDEX('Per Line'!$F$2:$F$1501,$W213)&amp;"")</f>
        <v/>
      </c>
      <c r="G213">
        <f>IF($W213="","",INDEX('Per Line'!$G$2:$G$1501,$W213)&amp;"")</f>
        <v/>
      </c>
      <c r="H213">
        <f>IF($W213="","",INDEX('Per Line'!$H$2:$H$1501,$W213)&amp;"")</f>
        <v/>
      </c>
      <c r="I213">
        <f>IF($W213="","",INDEX('Per Line'!$I$2:$I$1501,$W213))</f>
        <v/>
      </c>
      <c r="J213" s="7">
        <f>IF($W213="","",I213*U213/100)</f>
        <v/>
      </c>
      <c r="K213">
        <f>IF($W213="","",INDEX('Per Line'!$U$2:$U$1501,$W213)&amp;"")</f>
        <v/>
      </c>
      <c r="L213" s="7">
        <f>IF($W213="","",SUMIFS('Per Line'!$Q$2:$Q$1501,'Per Line'!$B$2:$B$1501,$B213,'Per Line'!$AI$2:$AI$1501,1))</f>
        <v/>
      </c>
      <c r="M213">
        <f>IF($W213="","",Settings!$C$7)</f>
        <v/>
      </c>
      <c r="N213" s="7">
        <f>IF($W213="","",SUMIFS('Per Line'!$Q$2:$Q$1501,'Per Line'!$B$2:$B$1501,$B213,'Per Line'!$AH$2:$AH$1501,0,'Per Line'!$AI$2:$AI$1501,0))</f>
        <v/>
      </c>
      <c r="O213" s="7">
        <f>IF($W213="","",N213*M213)</f>
        <v/>
      </c>
      <c r="P213">
        <f>IF($W213="","",Settings!$C$6)</f>
        <v/>
      </c>
      <c r="Q213" s="7">
        <f>IF($W213="","",SUMIFS('Per Line'!$Q$2:$Q$1501,'Per Line'!$B$2:$B$1501,$B213,'Per Line'!$AH$2:$AH$1501,1,'Per Line'!$AI$2:$AI$1501,0))</f>
        <v/>
      </c>
      <c r="R213" s="7">
        <f>IF($W213="","",Q213*P213)</f>
        <v/>
      </c>
      <c r="S213" s="7">
        <f>IF($W213="","",R213+O213)</f>
        <v/>
      </c>
      <c r="T213" s="7">
        <f>IF($W213="","",U213-S213)</f>
        <v/>
      </c>
      <c r="U213" s="7">
        <f>IF($W213="","",N213+Q213+L213)</f>
        <v/>
      </c>
      <c r="V213" s="7">
        <f>IF($W213="","",U213-S213-J213)</f>
        <v/>
      </c>
      <c r="W213" s="13">
        <f>IF(ROWS($W$2:$W213)&lt;=MAX('Per Line'!$AG$2:$AG$1501),MATCH(ROWS($W$2:$W213),'Per Line'!$AG$2:$AG$1501,0),"")</f>
        <v/>
      </c>
    </row>
    <row r="214">
      <c r="A214" s="12" t="n"/>
      <c r="B214">
        <f>IF($W214="","",INDEX('Per Line'!$B$2:$B$1501,$W214)&amp;"")</f>
        <v/>
      </c>
      <c r="C214">
        <f>IF($W214="","",INDEX('Per Line'!$A$2:$A$1501,$W214))</f>
        <v/>
      </c>
      <c r="D214" s="11">
        <f>IF($W214="","",INDEX('Per Line'!$C$2:$C$1501,$W214))</f>
        <v/>
      </c>
      <c r="E214">
        <f>IF($W214="","",INDEX('Per Line'!$D$2:$D$1501,$W214)&amp;"")</f>
        <v/>
      </c>
      <c r="F214">
        <f>IF($W214="","",INDEX('Per Line'!$F$2:$F$1501,$W214)&amp;"")</f>
        <v/>
      </c>
      <c r="G214">
        <f>IF($W214="","",INDEX('Per Line'!$G$2:$G$1501,$W214)&amp;"")</f>
        <v/>
      </c>
      <c r="H214">
        <f>IF($W214="","",INDEX('Per Line'!$H$2:$H$1501,$W214)&amp;"")</f>
        <v/>
      </c>
      <c r="I214">
        <f>IF($W214="","",INDEX('Per Line'!$I$2:$I$1501,$W214))</f>
        <v/>
      </c>
      <c r="J214" s="7">
        <f>IF($W214="","",I214*U214/100)</f>
        <v/>
      </c>
      <c r="K214">
        <f>IF($W214="","",INDEX('Per Line'!$U$2:$U$1501,$W214)&amp;"")</f>
        <v/>
      </c>
      <c r="L214" s="7">
        <f>IF($W214="","",SUMIFS('Per Line'!$Q$2:$Q$1501,'Per Line'!$B$2:$B$1501,$B214,'Per Line'!$AI$2:$AI$1501,1))</f>
        <v/>
      </c>
      <c r="M214">
        <f>IF($W214="","",Settings!$C$7)</f>
        <v/>
      </c>
      <c r="N214" s="7">
        <f>IF($W214="","",SUMIFS('Per Line'!$Q$2:$Q$1501,'Per Line'!$B$2:$B$1501,$B214,'Per Line'!$AH$2:$AH$1501,0,'Per Line'!$AI$2:$AI$1501,0))</f>
        <v/>
      </c>
      <c r="O214" s="7">
        <f>IF($W214="","",N214*M214)</f>
        <v/>
      </c>
      <c r="P214">
        <f>IF($W214="","",Settings!$C$6)</f>
        <v/>
      </c>
      <c r="Q214" s="7">
        <f>IF($W214="","",SUMIFS('Per Line'!$Q$2:$Q$1501,'Per Line'!$B$2:$B$1501,$B214,'Per Line'!$AH$2:$AH$1501,1,'Per Line'!$AI$2:$AI$1501,0))</f>
        <v/>
      </c>
      <c r="R214" s="7">
        <f>IF($W214="","",Q214*P214)</f>
        <v/>
      </c>
      <c r="S214" s="7">
        <f>IF($W214="","",R214+O214)</f>
        <v/>
      </c>
      <c r="T214" s="7">
        <f>IF($W214="","",U214-S214)</f>
        <v/>
      </c>
      <c r="U214" s="7">
        <f>IF($W214="","",N214+Q214+L214)</f>
        <v/>
      </c>
      <c r="V214" s="7">
        <f>IF($W214="","",U214-S214-J214)</f>
        <v/>
      </c>
      <c r="W214" s="13">
        <f>IF(ROWS($W$2:$W214)&lt;=MAX('Per Line'!$AG$2:$AG$1501),MATCH(ROWS($W$2:$W214),'Per Line'!$AG$2:$AG$1501,0),"")</f>
        <v/>
      </c>
    </row>
    <row r="215">
      <c r="A215" s="12" t="n"/>
      <c r="B215">
        <f>IF($W215="","",INDEX('Per Line'!$B$2:$B$1501,$W215)&amp;"")</f>
        <v/>
      </c>
      <c r="C215">
        <f>IF($W215="","",INDEX('Per Line'!$A$2:$A$1501,$W215))</f>
        <v/>
      </c>
      <c r="D215" s="11">
        <f>IF($W215="","",INDEX('Per Line'!$C$2:$C$1501,$W215))</f>
        <v/>
      </c>
      <c r="E215">
        <f>IF($W215="","",INDEX('Per Line'!$D$2:$D$1501,$W215)&amp;"")</f>
        <v/>
      </c>
      <c r="F215">
        <f>IF($W215="","",INDEX('Per Line'!$F$2:$F$1501,$W215)&amp;"")</f>
        <v/>
      </c>
      <c r="G215">
        <f>IF($W215="","",INDEX('Per Line'!$G$2:$G$1501,$W215)&amp;"")</f>
        <v/>
      </c>
      <c r="H215">
        <f>IF($W215="","",INDEX('Per Line'!$H$2:$H$1501,$W215)&amp;"")</f>
        <v/>
      </c>
      <c r="I215">
        <f>IF($W215="","",INDEX('Per Line'!$I$2:$I$1501,$W215))</f>
        <v/>
      </c>
      <c r="J215" s="7">
        <f>IF($W215="","",I215*U215/100)</f>
        <v/>
      </c>
      <c r="K215">
        <f>IF($W215="","",INDEX('Per Line'!$U$2:$U$1501,$W215)&amp;"")</f>
        <v/>
      </c>
      <c r="L215" s="7">
        <f>IF($W215="","",SUMIFS('Per Line'!$Q$2:$Q$1501,'Per Line'!$B$2:$B$1501,$B215,'Per Line'!$AI$2:$AI$1501,1))</f>
        <v/>
      </c>
      <c r="M215">
        <f>IF($W215="","",Settings!$C$7)</f>
        <v/>
      </c>
      <c r="N215" s="7">
        <f>IF($W215="","",SUMIFS('Per Line'!$Q$2:$Q$1501,'Per Line'!$B$2:$B$1501,$B215,'Per Line'!$AH$2:$AH$1501,0,'Per Line'!$AI$2:$AI$1501,0))</f>
        <v/>
      </c>
      <c r="O215" s="7">
        <f>IF($W215="","",N215*M215)</f>
        <v/>
      </c>
      <c r="P215">
        <f>IF($W215="","",Settings!$C$6)</f>
        <v/>
      </c>
      <c r="Q215" s="7">
        <f>IF($W215="","",SUMIFS('Per Line'!$Q$2:$Q$1501,'Per Line'!$B$2:$B$1501,$B215,'Per Line'!$AH$2:$AH$1501,1,'Per Line'!$AI$2:$AI$1501,0))</f>
        <v/>
      </c>
      <c r="R215" s="7">
        <f>IF($W215="","",Q215*P215)</f>
        <v/>
      </c>
      <c r="S215" s="7">
        <f>IF($W215="","",R215+O215)</f>
        <v/>
      </c>
      <c r="T215" s="7">
        <f>IF($W215="","",U215-S215)</f>
        <v/>
      </c>
      <c r="U215" s="7">
        <f>IF($W215="","",N215+Q215+L215)</f>
        <v/>
      </c>
      <c r="V215" s="7">
        <f>IF($W215="","",U215-S215-J215)</f>
        <v/>
      </c>
      <c r="W215" s="13">
        <f>IF(ROWS($W$2:$W215)&lt;=MAX('Per Line'!$AG$2:$AG$1501),MATCH(ROWS($W$2:$W215),'Per Line'!$AG$2:$AG$1501,0),"")</f>
        <v/>
      </c>
    </row>
    <row r="216">
      <c r="A216" s="12" t="n"/>
      <c r="B216">
        <f>IF($W216="","",INDEX('Per Line'!$B$2:$B$1501,$W216)&amp;"")</f>
        <v/>
      </c>
      <c r="C216">
        <f>IF($W216="","",INDEX('Per Line'!$A$2:$A$1501,$W216))</f>
        <v/>
      </c>
      <c r="D216" s="11">
        <f>IF($W216="","",INDEX('Per Line'!$C$2:$C$1501,$W216))</f>
        <v/>
      </c>
      <c r="E216">
        <f>IF($W216="","",INDEX('Per Line'!$D$2:$D$1501,$W216)&amp;"")</f>
        <v/>
      </c>
      <c r="F216">
        <f>IF($W216="","",INDEX('Per Line'!$F$2:$F$1501,$W216)&amp;"")</f>
        <v/>
      </c>
      <c r="G216">
        <f>IF($W216="","",INDEX('Per Line'!$G$2:$G$1501,$W216)&amp;"")</f>
        <v/>
      </c>
      <c r="H216">
        <f>IF($W216="","",INDEX('Per Line'!$H$2:$H$1501,$W216)&amp;"")</f>
        <v/>
      </c>
      <c r="I216">
        <f>IF($W216="","",INDEX('Per Line'!$I$2:$I$1501,$W216))</f>
        <v/>
      </c>
      <c r="J216" s="7">
        <f>IF($W216="","",I216*U216/100)</f>
        <v/>
      </c>
      <c r="K216">
        <f>IF($W216="","",INDEX('Per Line'!$U$2:$U$1501,$W216)&amp;"")</f>
        <v/>
      </c>
      <c r="L216" s="7">
        <f>IF($W216="","",SUMIFS('Per Line'!$Q$2:$Q$1501,'Per Line'!$B$2:$B$1501,$B216,'Per Line'!$AI$2:$AI$1501,1))</f>
        <v/>
      </c>
      <c r="M216">
        <f>IF($W216="","",Settings!$C$7)</f>
        <v/>
      </c>
      <c r="N216" s="7">
        <f>IF($W216="","",SUMIFS('Per Line'!$Q$2:$Q$1501,'Per Line'!$B$2:$B$1501,$B216,'Per Line'!$AH$2:$AH$1501,0,'Per Line'!$AI$2:$AI$1501,0))</f>
        <v/>
      </c>
      <c r="O216" s="7">
        <f>IF($W216="","",N216*M216)</f>
        <v/>
      </c>
      <c r="P216">
        <f>IF($W216="","",Settings!$C$6)</f>
        <v/>
      </c>
      <c r="Q216" s="7">
        <f>IF($W216="","",SUMIFS('Per Line'!$Q$2:$Q$1501,'Per Line'!$B$2:$B$1501,$B216,'Per Line'!$AH$2:$AH$1501,1,'Per Line'!$AI$2:$AI$1501,0))</f>
        <v/>
      </c>
      <c r="R216" s="7">
        <f>IF($W216="","",Q216*P216)</f>
        <v/>
      </c>
      <c r="S216" s="7">
        <f>IF($W216="","",R216+O216)</f>
        <v/>
      </c>
      <c r="T216" s="7">
        <f>IF($W216="","",U216-S216)</f>
        <v/>
      </c>
      <c r="U216" s="7">
        <f>IF($W216="","",N216+Q216+L216)</f>
        <v/>
      </c>
      <c r="V216" s="7">
        <f>IF($W216="","",U216-S216-J216)</f>
        <v/>
      </c>
      <c r="W216" s="13">
        <f>IF(ROWS($W$2:$W216)&lt;=MAX('Per Line'!$AG$2:$AG$1501),MATCH(ROWS($W$2:$W216),'Per Line'!$AG$2:$AG$1501,0),"")</f>
        <v/>
      </c>
    </row>
    <row r="217">
      <c r="A217" s="12" t="n"/>
      <c r="B217">
        <f>IF($W217="","",INDEX('Per Line'!$B$2:$B$1501,$W217)&amp;"")</f>
        <v/>
      </c>
      <c r="C217">
        <f>IF($W217="","",INDEX('Per Line'!$A$2:$A$1501,$W217))</f>
        <v/>
      </c>
      <c r="D217" s="11">
        <f>IF($W217="","",INDEX('Per Line'!$C$2:$C$1501,$W217))</f>
        <v/>
      </c>
      <c r="E217">
        <f>IF($W217="","",INDEX('Per Line'!$D$2:$D$1501,$W217)&amp;"")</f>
        <v/>
      </c>
      <c r="F217">
        <f>IF($W217="","",INDEX('Per Line'!$F$2:$F$1501,$W217)&amp;"")</f>
        <v/>
      </c>
      <c r="G217">
        <f>IF($W217="","",INDEX('Per Line'!$G$2:$G$1501,$W217)&amp;"")</f>
        <v/>
      </c>
      <c r="H217">
        <f>IF($W217="","",INDEX('Per Line'!$H$2:$H$1501,$W217)&amp;"")</f>
        <v/>
      </c>
      <c r="I217">
        <f>IF($W217="","",INDEX('Per Line'!$I$2:$I$1501,$W217))</f>
        <v/>
      </c>
      <c r="J217" s="7">
        <f>IF($W217="","",I217*U217/100)</f>
        <v/>
      </c>
      <c r="K217">
        <f>IF($W217="","",INDEX('Per Line'!$U$2:$U$1501,$W217)&amp;"")</f>
        <v/>
      </c>
      <c r="L217" s="7">
        <f>IF($W217="","",SUMIFS('Per Line'!$Q$2:$Q$1501,'Per Line'!$B$2:$B$1501,$B217,'Per Line'!$AI$2:$AI$1501,1))</f>
        <v/>
      </c>
      <c r="M217">
        <f>IF($W217="","",Settings!$C$7)</f>
        <v/>
      </c>
      <c r="N217" s="7">
        <f>IF($W217="","",SUMIFS('Per Line'!$Q$2:$Q$1501,'Per Line'!$B$2:$B$1501,$B217,'Per Line'!$AH$2:$AH$1501,0,'Per Line'!$AI$2:$AI$1501,0))</f>
        <v/>
      </c>
      <c r="O217" s="7">
        <f>IF($W217="","",N217*M217)</f>
        <v/>
      </c>
      <c r="P217">
        <f>IF($W217="","",Settings!$C$6)</f>
        <v/>
      </c>
      <c r="Q217" s="7">
        <f>IF($W217="","",SUMIFS('Per Line'!$Q$2:$Q$1501,'Per Line'!$B$2:$B$1501,$B217,'Per Line'!$AH$2:$AH$1501,1,'Per Line'!$AI$2:$AI$1501,0))</f>
        <v/>
      </c>
      <c r="R217" s="7">
        <f>IF($W217="","",Q217*P217)</f>
        <v/>
      </c>
      <c r="S217" s="7">
        <f>IF($W217="","",R217+O217)</f>
        <v/>
      </c>
      <c r="T217" s="7">
        <f>IF($W217="","",U217-S217)</f>
        <v/>
      </c>
      <c r="U217" s="7">
        <f>IF($W217="","",N217+Q217+L217)</f>
        <v/>
      </c>
      <c r="V217" s="7">
        <f>IF($W217="","",U217-S217-J217)</f>
        <v/>
      </c>
      <c r="W217" s="13">
        <f>IF(ROWS($W$2:$W217)&lt;=MAX('Per Line'!$AG$2:$AG$1501),MATCH(ROWS($W$2:$W217),'Per Line'!$AG$2:$AG$1501,0),"")</f>
        <v/>
      </c>
    </row>
    <row r="218">
      <c r="A218" s="12" t="n"/>
      <c r="B218">
        <f>IF($W218="","",INDEX('Per Line'!$B$2:$B$1501,$W218)&amp;"")</f>
        <v/>
      </c>
      <c r="C218">
        <f>IF($W218="","",INDEX('Per Line'!$A$2:$A$1501,$W218))</f>
        <v/>
      </c>
      <c r="D218" s="11">
        <f>IF($W218="","",INDEX('Per Line'!$C$2:$C$1501,$W218))</f>
        <v/>
      </c>
      <c r="E218">
        <f>IF($W218="","",INDEX('Per Line'!$D$2:$D$1501,$W218)&amp;"")</f>
        <v/>
      </c>
      <c r="F218">
        <f>IF($W218="","",INDEX('Per Line'!$F$2:$F$1501,$W218)&amp;"")</f>
        <v/>
      </c>
      <c r="G218">
        <f>IF($W218="","",INDEX('Per Line'!$G$2:$G$1501,$W218)&amp;"")</f>
        <v/>
      </c>
      <c r="H218">
        <f>IF($W218="","",INDEX('Per Line'!$H$2:$H$1501,$W218)&amp;"")</f>
        <v/>
      </c>
      <c r="I218">
        <f>IF($W218="","",INDEX('Per Line'!$I$2:$I$1501,$W218))</f>
        <v/>
      </c>
      <c r="J218" s="7">
        <f>IF($W218="","",I218*U218/100)</f>
        <v/>
      </c>
      <c r="K218">
        <f>IF($W218="","",INDEX('Per Line'!$U$2:$U$1501,$W218)&amp;"")</f>
        <v/>
      </c>
      <c r="L218" s="7">
        <f>IF($W218="","",SUMIFS('Per Line'!$Q$2:$Q$1501,'Per Line'!$B$2:$B$1501,$B218,'Per Line'!$AI$2:$AI$1501,1))</f>
        <v/>
      </c>
      <c r="M218">
        <f>IF($W218="","",Settings!$C$7)</f>
        <v/>
      </c>
      <c r="N218" s="7">
        <f>IF($W218="","",SUMIFS('Per Line'!$Q$2:$Q$1501,'Per Line'!$B$2:$B$1501,$B218,'Per Line'!$AH$2:$AH$1501,0,'Per Line'!$AI$2:$AI$1501,0))</f>
        <v/>
      </c>
      <c r="O218" s="7">
        <f>IF($W218="","",N218*M218)</f>
        <v/>
      </c>
      <c r="P218">
        <f>IF($W218="","",Settings!$C$6)</f>
        <v/>
      </c>
      <c r="Q218" s="7">
        <f>IF($W218="","",SUMIFS('Per Line'!$Q$2:$Q$1501,'Per Line'!$B$2:$B$1501,$B218,'Per Line'!$AH$2:$AH$1501,1,'Per Line'!$AI$2:$AI$1501,0))</f>
        <v/>
      </c>
      <c r="R218" s="7">
        <f>IF($W218="","",Q218*P218)</f>
        <v/>
      </c>
      <c r="S218" s="7">
        <f>IF($W218="","",R218+O218)</f>
        <v/>
      </c>
      <c r="T218" s="7">
        <f>IF($W218="","",U218-S218)</f>
        <v/>
      </c>
      <c r="U218" s="7">
        <f>IF($W218="","",N218+Q218+L218)</f>
        <v/>
      </c>
      <c r="V218" s="7">
        <f>IF($W218="","",U218-S218-J218)</f>
        <v/>
      </c>
      <c r="W218" s="13">
        <f>IF(ROWS($W$2:$W218)&lt;=MAX('Per Line'!$AG$2:$AG$1501),MATCH(ROWS($W$2:$W218),'Per Line'!$AG$2:$AG$1501,0),"")</f>
        <v/>
      </c>
    </row>
    <row r="219">
      <c r="A219" s="12" t="n"/>
      <c r="B219">
        <f>IF($W219="","",INDEX('Per Line'!$B$2:$B$1501,$W219)&amp;"")</f>
        <v/>
      </c>
      <c r="C219">
        <f>IF($W219="","",INDEX('Per Line'!$A$2:$A$1501,$W219))</f>
        <v/>
      </c>
      <c r="D219" s="11">
        <f>IF($W219="","",INDEX('Per Line'!$C$2:$C$1501,$W219))</f>
        <v/>
      </c>
      <c r="E219">
        <f>IF($W219="","",INDEX('Per Line'!$D$2:$D$1501,$W219)&amp;"")</f>
        <v/>
      </c>
      <c r="F219">
        <f>IF($W219="","",INDEX('Per Line'!$F$2:$F$1501,$W219)&amp;"")</f>
        <v/>
      </c>
      <c r="G219">
        <f>IF($W219="","",INDEX('Per Line'!$G$2:$G$1501,$W219)&amp;"")</f>
        <v/>
      </c>
      <c r="H219">
        <f>IF($W219="","",INDEX('Per Line'!$H$2:$H$1501,$W219)&amp;"")</f>
        <v/>
      </c>
      <c r="I219">
        <f>IF($W219="","",INDEX('Per Line'!$I$2:$I$1501,$W219))</f>
        <v/>
      </c>
      <c r="J219" s="7">
        <f>IF($W219="","",I219*U219/100)</f>
        <v/>
      </c>
      <c r="K219">
        <f>IF($W219="","",INDEX('Per Line'!$U$2:$U$1501,$W219)&amp;"")</f>
        <v/>
      </c>
      <c r="L219" s="7">
        <f>IF($W219="","",SUMIFS('Per Line'!$Q$2:$Q$1501,'Per Line'!$B$2:$B$1501,$B219,'Per Line'!$AI$2:$AI$1501,1))</f>
        <v/>
      </c>
      <c r="M219">
        <f>IF($W219="","",Settings!$C$7)</f>
        <v/>
      </c>
      <c r="N219" s="7">
        <f>IF($W219="","",SUMIFS('Per Line'!$Q$2:$Q$1501,'Per Line'!$B$2:$B$1501,$B219,'Per Line'!$AH$2:$AH$1501,0,'Per Line'!$AI$2:$AI$1501,0))</f>
        <v/>
      </c>
      <c r="O219" s="7">
        <f>IF($W219="","",N219*M219)</f>
        <v/>
      </c>
      <c r="P219">
        <f>IF($W219="","",Settings!$C$6)</f>
        <v/>
      </c>
      <c r="Q219" s="7">
        <f>IF($W219="","",SUMIFS('Per Line'!$Q$2:$Q$1501,'Per Line'!$B$2:$B$1501,$B219,'Per Line'!$AH$2:$AH$1501,1,'Per Line'!$AI$2:$AI$1501,0))</f>
        <v/>
      </c>
      <c r="R219" s="7">
        <f>IF($W219="","",Q219*P219)</f>
        <v/>
      </c>
      <c r="S219" s="7">
        <f>IF($W219="","",R219+O219)</f>
        <v/>
      </c>
      <c r="T219" s="7">
        <f>IF($W219="","",U219-S219)</f>
        <v/>
      </c>
      <c r="U219" s="7">
        <f>IF($W219="","",N219+Q219+L219)</f>
        <v/>
      </c>
      <c r="V219" s="7">
        <f>IF($W219="","",U219-S219-J219)</f>
        <v/>
      </c>
      <c r="W219" s="13">
        <f>IF(ROWS($W$2:$W219)&lt;=MAX('Per Line'!$AG$2:$AG$1501),MATCH(ROWS($W$2:$W219),'Per Line'!$AG$2:$AG$1501,0),"")</f>
        <v/>
      </c>
    </row>
    <row r="220">
      <c r="A220" s="12" t="n"/>
      <c r="B220">
        <f>IF($W220="","",INDEX('Per Line'!$B$2:$B$1501,$W220)&amp;"")</f>
        <v/>
      </c>
      <c r="C220">
        <f>IF($W220="","",INDEX('Per Line'!$A$2:$A$1501,$W220))</f>
        <v/>
      </c>
      <c r="D220" s="11">
        <f>IF($W220="","",INDEX('Per Line'!$C$2:$C$1501,$W220))</f>
        <v/>
      </c>
      <c r="E220">
        <f>IF($W220="","",INDEX('Per Line'!$D$2:$D$1501,$W220)&amp;"")</f>
        <v/>
      </c>
      <c r="F220">
        <f>IF($W220="","",INDEX('Per Line'!$F$2:$F$1501,$W220)&amp;"")</f>
        <v/>
      </c>
      <c r="G220">
        <f>IF($W220="","",INDEX('Per Line'!$G$2:$G$1501,$W220)&amp;"")</f>
        <v/>
      </c>
      <c r="H220">
        <f>IF($W220="","",INDEX('Per Line'!$H$2:$H$1501,$W220)&amp;"")</f>
        <v/>
      </c>
      <c r="I220">
        <f>IF($W220="","",INDEX('Per Line'!$I$2:$I$1501,$W220))</f>
        <v/>
      </c>
      <c r="J220" s="7">
        <f>IF($W220="","",I220*U220/100)</f>
        <v/>
      </c>
      <c r="K220">
        <f>IF($W220="","",INDEX('Per Line'!$U$2:$U$1501,$W220)&amp;"")</f>
        <v/>
      </c>
      <c r="L220" s="7">
        <f>IF($W220="","",SUMIFS('Per Line'!$Q$2:$Q$1501,'Per Line'!$B$2:$B$1501,$B220,'Per Line'!$AI$2:$AI$1501,1))</f>
        <v/>
      </c>
      <c r="M220">
        <f>IF($W220="","",Settings!$C$7)</f>
        <v/>
      </c>
      <c r="N220" s="7">
        <f>IF($W220="","",SUMIFS('Per Line'!$Q$2:$Q$1501,'Per Line'!$B$2:$B$1501,$B220,'Per Line'!$AH$2:$AH$1501,0,'Per Line'!$AI$2:$AI$1501,0))</f>
        <v/>
      </c>
      <c r="O220" s="7">
        <f>IF($W220="","",N220*M220)</f>
        <v/>
      </c>
      <c r="P220">
        <f>IF($W220="","",Settings!$C$6)</f>
        <v/>
      </c>
      <c r="Q220" s="7">
        <f>IF($W220="","",SUMIFS('Per Line'!$Q$2:$Q$1501,'Per Line'!$B$2:$B$1501,$B220,'Per Line'!$AH$2:$AH$1501,1,'Per Line'!$AI$2:$AI$1501,0))</f>
        <v/>
      </c>
      <c r="R220" s="7">
        <f>IF($W220="","",Q220*P220)</f>
        <v/>
      </c>
      <c r="S220" s="7">
        <f>IF($W220="","",R220+O220)</f>
        <v/>
      </c>
      <c r="T220" s="7">
        <f>IF($W220="","",U220-S220)</f>
        <v/>
      </c>
      <c r="U220" s="7">
        <f>IF($W220="","",N220+Q220+L220)</f>
        <v/>
      </c>
      <c r="V220" s="7">
        <f>IF($W220="","",U220-S220-J220)</f>
        <v/>
      </c>
      <c r="W220" s="13">
        <f>IF(ROWS($W$2:$W220)&lt;=MAX('Per Line'!$AG$2:$AG$1501),MATCH(ROWS($W$2:$W220),'Per Line'!$AG$2:$AG$1501,0),"")</f>
        <v/>
      </c>
    </row>
    <row r="221">
      <c r="A221" s="12" t="n"/>
      <c r="B221">
        <f>IF($W221="","",INDEX('Per Line'!$B$2:$B$1501,$W221)&amp;"")</f>
        <v/>
      </c>
      <c r="C221">
        <f>IF($W221="","",INDEX('Per Line'!$A$2:$A$1501,$W221))</f>
        <v/>
      </c>
      <c r="D221" s="11">
        <f>IF($W221="","",INDEX('Per Line'!$C$2:$C$1501,$W221))</f>
        <v/>
      </c>
      <c r="E221">
        <f>IF($W221="","",INDEX('Per Line'!$D$2:$D$1501,$W221)&amp;"")</f>
        <v/>
      </c>
      <c r="F221">
        <f>IF($W221="","",INDEX('Per Line'!$F$2:$F$1501,$W221)&amp;"")</f>
        <v/>
      </c>
      <c r="G221">
        <f>IF($W221="","",INDEX('Per Line'!$G$2:$G$1501,$W221)&amp;"")</f>
        <v/>
      </c>
      <c r="H221">
        <f>IF($W221="","",INDEX('Per Line'!$H$2:$H$1501,$W221)&amp;"")</f>
        <v/>
      </c>
      <c r="I221">
        <f>IF($W221="","",INDEX('Per Line'!$I$2:$I$1501,$W221))</f>
        <v/>
      </c>
      <c r="J221" s="7">
        <f>IF($W221="","",I221*U221/100)</f>
        <v/>
      </c>
      <c r="K221">
        <f>IF($W221="","",INDEX('Per Line'!$U$2:$U$1501,$W221)&amp;"")</f>
        <v/>
      </c>
      <c r="L221" s="7">
        <f>IF($W221="","",SUMIFS('Per Line'!$Q$2:$Q$1501,'Per Line'!$B$2:$B$1501,$B221,'Per Line'!$AI$2:$AI$1501,1))</f>
        <v/>
      </c>
      <c r="M221">
        <f>IF($W221="","",Settings!$C$7)</f>
        <v/>
      </c>
      <c r="N221" s="7">
        <f>IF($W221="","",SUMIFS('Per Line'!$Q$2:$Q$1501,'Per Line'!$B$2:$B$1501,$B221,'Per Line'!$AH$2:$AH$1501,0,'Per Line'!$AI$2:$AI$1501,0))</f>
        <v/>
      </c>
      <c r="O221" s="7">
        <f>IF($W221="","",N221*M221)</f>
        <v/>
      </c>
      <c r="P221">
        <f>IF($W221="","",Settings!$C$6)</f>
        <v/>
      </c>
      <c r="Q221" s="7">
        <f>IF($W221="","",SUMIFS('Per Line'!$Q$2:$Q$1501,'Per Line'!$B$2:$B$1501,$B221,'Per Line'!$AH$2:$AH$1501,1,'Per Line'!$AI$2:$AI$1501,0))</f>
        <v/>
      </c>
      <c r="R221" s="7">
        <f>IF($W221="","",Q221*P221)</f>
        <v/>
      </c>
      <c r="S221" s="7">
        <f>IF($W221="","",R221+O221)</f>
        <v/>
      </c>
      <c r="T221" s="7">
        <f>IF($W221="","",U221-S221)</f>
        <v/>
      </c>
      <c r="U221" s="7">
        <f>IF($W221="","",N221+Q221+L221)</f>
        <v/>
      </c>
      <c r="V221" s="7">
        <f>IF($W221="","",U221-S221-J221)</f>
        <v/>
      </c>
      <c r="W221" s="13">
        <f>IF(ROWS($W$2:$W221)&lt;=MAX('Per Line'!$AG$2:$AG$1501),MATCH(ROWS($W$2:$W221),'Per Line'!$AG$2:$AG$1501,0),"")</f>
        <v/>
      </c>
    </row>
    <row r="222">
      <c r="A222" s="12" t="n"/>
      <c r="B222">
        <f>IF($W222="","",INDEX('Per Line'!$B$2:$B$1501,$W222)&amp;"")</f>
        <v/>
      </c>
      <c r="C222">
        <f>IF($W222="","",INDEX('Per Line'!$A$2:$A$1501,$W222))</f>
        <v/>
      </c>
      <c r="D222" s="11">
        <f>IF($W222="","",INDEX('Per Line'!$C$2:$C$1501,$W222))</f>
        <v/>
      </c>
      <c r="E222">
        <f>IF($W222="","",INDEX('Per Line'!$D$2:$D$1501,$W222)&amp;"")</f>
        <v/>
      </c>
      <c r="F222">
        <f>IF($W222="","",INDEX('Per Line'!$F$2:$F$1501,$W222)&amp;"")</f>
        <v/>
      </c>
      <c r="G222">
        <f>IF($W222="","",INDEX('Per Line'!$G$2:$G$1501,$W222)&amp;"")</f>
        <v/>
      </c>
      <c r="H222">
        <f>IF($W222="","",INDEX('Per Line'!$H$2:$H$1501,$W222)&amp;"")</f>
        <v/>
      </c>
      <c r="I222">
        <f>IF($W222="","",INDEX('Per Line'!$I$2:$I$1501,$W222))</f>
        <v/>
      </c>
      <c r="J222" s="7">
        <f>IF($W222="","",I222*U222/100)</f>
        <v/>
      </c>
      <c r="K222">
        <f>IF($W222="","",INDEX('Per Line'!$U$2:$U$1501,$W222)&amp;"")</f>
        <v/>
      </c>
      <c r="L222" s="7">
        <f>IF($W222="","",SUMIFS('Per Line'!$Q$2:$Q$1501,'Per Line'!$B$2:$B$1501,$B222,'Per Line'!$AI$2:$AI$1501,1))</f>
        <v/>
      </c>
      <c r="M222">
        <f>IF($W222="","",Settings!$C$7)</f>
        <v/>
      </c>
      <c r="N222" s="7">
        <f>IF($W222="","",SUMIFS('Per Line'!$Q$2:$Q$1501,'Per Line'!$B$2:$B$1501,$B222,'Per Line'!$AH$2:$AH$1501,0,'Per Line'!$AI$2:$AI$1501,0))</f>
        <v/>
      </c>
      <c r="O222" s="7">
        <f>IF($W222="","",N222*M222)</f>
        <v/>
      </c>
      <c r="P222">
        <f>IF($W222="","",Settings!$C$6)</f>
        <v/>
      </c>
      <c r="Q222" s="7">
        <f>IF($W222="","",SUMIFS('Per Line'!$Q$2:$Q$1501,'Per Line'!$B$2:$B$1501,$B222,'Per Line'!$AH$2:$AH$1501,1,'Per Line'!$AI$2:$AI$1501,0))</f>
        <v/>
      </c>
      <c r="R222" s="7">
        <f>IF($W222="","",Q222*P222)</f>
        <v/>
      </c>
      <c r="S222" s="7">
        <f>IF($W222="","",R222+O222)</f>
        <v/>
      </c>
      <c r="T222" s="7">
        <f>IF($W222="","",U222-S222)</f>
        <v/>
      </c>
      <c r="U222" s="7">
        <f>IF($W222="","",N222+Q222+L222)</f>
        <v/>
      </c>
      <c r="V222" s="7">
        <f>IF($W222="","",U222-S222-J222)</f>
        <v/>
      </c>
      <c r="W222" s="13">
        <f>IF(ROWS($W$2:$W222)&lt;=MAX('Per Line'!$AG$2:$AG$1501),MATCH(ROWS($W$2:$W222),'Per Line'!$AG$2:$AG$1501,0),"")</f>
        <v/>
      </c>
    </row>
    <row r="223">
      <c r="A223" s="12" t="n"/>
      <c r="B223">
        <f>IF($W223="","",INDEX('Per Line'!$B$2:$B$1501,$W223)&amp;"")</f>
        <v/>
      </c>
      <c r="C223">
        <f>IF($W223="","",INDEX('Per Line'!$A$2:$A$1501,$W223))</f>
        <v/>
      </c>
      <c r="D223" s="11">
        <f>IF($W223="","",INDEX('Per Line'!$C$2:$C$1501,$W223))</f>
        <v/>
      </c>
      <c r="E223">
        <f>IF($W223="","",INDEX('Per Line'!$D$2:$D$1501,$W223)&amp;"")</f>
        <v/>
      </c>
      <c r="F223">
        <f>IF($W223="","",INDEX('Per Line'!$F$2:$F$1501,$W223)&amp;"")</f>
        <v/>
      </c>
      <c r="G223">
        <f>IF($W223="","",INDEX('Per Line'!$G$2:$G$1501,$W223)&amp;"")</f>
        <v/>
      </c>
      <c r="H223">
        <f>IF($W223="","",INDEX('Per Line'!$H$2:$H$1501,$W223)&amp;"")</f>
        <v/>
      </c>
      <c r="I223">
        <f>IF($W223="","",INDEX('Per Line'!$I$2:$I$1501,$W223))</f>
        <v/>
      </c>
      <c r="J223" s="7">
        <f>IF($W223="","",I223*U223/100)</f>
        <v/>
      </c>
      <c r="K223">
        <f>IF($W223="","",INDEX('Per Line'!$U$2:$U$1501,$W223)&amp;"")</f>
        <v/>
      </c>
      <c r="L223" s="7">
        <f>IF($W223="","",SUMIFS('Per Line'!$Q$2:$Q$1501,'Per Line'!$B$2:$B$1501,$B223,'Per Line'!$AI$2:$AI$1501,1))</f>
        <v/>
      </c>
      <c r="M223">
        <f>IF($W223="","",Settings!$C$7)</f>
        <v/>
      </c>
      <c r="N223" s="7">
        <f>IF($W223="","",SUMIFS('Per Line'!$Q$2:$Q$1501,'Per Line'!$B$2:$B$1501,$B223,'Per Line'!$AH$2:$AH$1501,0,'Per Line'!$AI$2:$AI$1501,0))</f>
        <v/>
      </c>
      <c r="O223" s="7">
        <f>IF($W223="","",N223*M223)</f>
        <v/>
      </c>
      <c r="P223">
        <f>IF($W223="","",Settings!$C$6)</f>
        <v/>
      </c>
      <c r="Q223" s="7">
        <f>IF($W223="","",SUMIFS('Per Line'!$Q$2:$Q$1501,'Per Line'!$B$2:$B$1501,$B223,'Per Line'!$AH$2:$AH$1501,1,'Per Line'!$AI$2:$AI$1501,0))</f>
        <v/>
      </c>
      <c r="R223" s="7">
        <f>IF($W223="","",Q223*P223)</f>
        <v/>
      </c>
      <c r="S223" s="7">
        <f>IF($W223="","",R223+O223)</f>
        <v/>
      </c>
      <c r="T223" s="7">
        <f>IF($W223="","",U223-S223)</f>
        <v/>
      </c>
      <c r="U223" s="7">
        <f>IF($W223="","",N223+Q223+L223)</f>
        <v/>
      </c>
      <c r="V223" s="7">
        <f>IF($W223="","",U223-S223-J223)</f>
        <v/>
      </c>
      <c r="W223" s="13">
        <f>IF(ROWS($W$2:$W223)&lt;=MAX('Per Line'!$AG$2:$AG$1501),MATCH(ROWS($W$2:$W223),'Per Line'!$AG$2:$AG$1501,0),"")</f>
        <v/>
      </c>
    </row>
    <row r="224">
      <c r="A224" s="12" t="n"/>
      <c r="B224">
        <f>IF($W224="","",INDEX('Per Line'!$B$2:$B$1501,$W224)&amp;"")</f>
        <v/>
      </c>
      <c r="C224">
        <f>IF($W224="","",INDEX('Per Line'!$A$2:$A$1501,$W224))</f>
        <v/>
      </c>
      <c r="D224" s="11">
        <f>IF($W224="","",INDEX('Per Line'!$C$2:$C$1501,$W224))</f>
        <v/>
      </c>
      <c r="E224">
        <f>IF($W224="","",INDEX('Per Line'!$D$2:$D$1501,$W224)&amp;"")</f>
        <v/>
      </c>
      <c r="F224">
        <f>IF($W224="","",INDEX('Per Line'!$F$2:$F$1501,$W224)&amp;"")</f>
        <v/>
      </c>
      <c r="G224">
        <f>IF($W224="","",INDEX('Per Line'!$G$2:$G$1501,$W224)&amp;"")</f>
        <v/>
      </c>
      <c r="H224">
        <f>IF($W224="","",INDEX('Per Line'!$H$2:$H$1501,$W224)&amp;"")</f>
        <v/>
      </c>
      <c r="I224">
        <f>IF($W224="","",INDEX('Per Line'!$I$2:$I$1501,$W224))</f>
        <v/>
      </c>
      <c r="J224" s="7">
        <f>IF($W224="","",I224*U224/100)</f>
        <v/>
      </c>
      <c r="K224">
        <f>IF($W224="","",INDEX('Per Line'!$U$2:$U$1501,$W224)&amp;"")</f>
        <v/>
      </c>
      <c r="L224" s="7">
        <f>IF($W224="","",SUMIFS('Per Line'!$Q$2:$Q$1501,'Per Line'!$B$2:$B$1501,$B224,'Per Line'!$AI$2:$AI$1501,1))</f>
        <v/>
      </c>
      <c r="M224">
        <f>IF($W224="","",Settings!$C$7)</f>
        <v/>
      </c>
      <c r="N224" s="7">
        <f>IF($W224="","",SUMIFS('Per Line'!$Q$2:$Q$1501,'Per Line'!$B$2:$B$1501,$B224,'Per Line'!$AH$2:$AH$1501,0,'Per Line'!$AI$2:$AI$1501,0))</f>
        <v/>
      </c>
      <c r="O224" s="7">
        <f>IF($W224="","",N224*M224)</f>
        <v/>
      </c>
      <c r="P224">
        <f>IF($W224="","",Settings!$C$6)</f>
        <v/>
      </c>
      <c r="Q224" s="7">
        <f>IF($W224="","",SUMIFS('Per Line'!$Q$2:$Q$1501,'Per Line'!$B$2:$B$1501,$B224,'Per Line'!$AH$2:$AH$1501,1,'Per Line'!$AI$2:$AI$1501,0))</f>
        <v/>
      </c>
      <c r="R224" s="7">
        <f>IF($W224="","",Q224*P224)</f>
        <v/>
      </c>
      <c r="S224" s="7">
        <f>IF($W224="","",R224+O224)</f>
        <v/>
      </c>
      <c r="T224" s="7">
        <f>IF($W224="","",U224-S224)</f>
        <v/>
      </c>
      <c r="U224" s="7">
        <f>IF($W224="","",N224+Q224+L224)</f>
        <v/>
      </c>
      <c r="V224" s="7">
        <f>IF($W224="","",U224-S224-J224)</f>
        <v/>
      </c>
      <c r="W224" s="13">
        <f>IF(ROWS($W$2:$W224)&lt;=MAX('Per Line'!$AG$2:$AG$1501),MATCH(ROWS($W$2:$W224),'Per Line'!$AG$2:$AG$1501,0),"")</f>
        <v/>
      </c>
    </row>
    <row r="225">
      <c r="A225" s="12" t="n"/>
      <c r="B225">
        <f>IF($W225="","",INDEX('Per Line'!$B$2:$B$1501,$W225)&amp;"")</f>
        <v/>
      </c>
      <c r="C225">
        <f>IF($W225="","",INDEX('Per Line'!$A$2:$A$1501,$W225))</f>
        <v/>
      </c>
      <c r="D225" s="11">
        <f>IF($W225="","",INDEX('Per Line'!$C$2:$C$1501,$W225))</f>
        <v/>
      </c>
      <c r="E225">
        <f>IF($W225="","",INDEX('Per Line'!$D$2:$D$1501,$W225)&amp;"")</f>
        <v/>
      </c>
      <c r="F225">
        <f>IF($W225="","",INDEX('Per Line'!$F$2:$F$1501,$W225)&amp;"")</f>
        <v/>
      </c>
      <c r="G225">
        <f>IF($W225="","",INDEX('Per Line'!$G$2:$G$1501,$W225)&amp;"")</f>
        <v/>
      </c>
      <c r="H225">
        <f>IF($W225="","",INDEX('Per Line'!$H$2:$H$1501,$W225)&amp;"")</f>
        <v/>
      </c>
      <c r="I225">
        <f>IF($W225="","",INDEX('Per Line'!$I$2:$I$1501,$W225))</f>
        <v/>
      </c>
      <c r="J225" s="7">
        <f>IF($W225="","",I225*U225/100)</f>
        <v/>
      </c>
      <c r="K225">
        <f>IF($W225="","",INDEX('Per Line'!$U$2:$U$1501,$W225)&amp;"")</f>
        <v/>
      </c>
      <c r="L225" s="7">
        <f>IF($W225="","",SUMIFS('Per Line'!$Q$2:$Q$1501,'Per Line'!$B$2:$B$1501,$B225,'Per Line'!$AI$2:$AI$1501,1))</f>
        <v/>
      </c>
      <c r="M225">
        <f>IF($W225="","",Settings!$C$7)</f>
        <v/>
      </c>
      <c r="N225" s="7">
        <f>IF($W225="","",SUMIFS('Per Line'!$Q$2:$Q$1501,'Per Line'!$B$2:$B$1501,$B225,'Per Line'!$AH$2:$AH$1501,0,'Per Line'!$AI$2:$AI$1501,0))</f>
        <v/>
      </c>
      <c r="O225" s="7">
        <f>IF($W225="","",N225*M225)</f>
        <v/>
      </c>
      <c r="P225">
        <f>IF($W225="","",Settings!$C$6)</f>
        <v/>
      </c>
      <c r="Q225" s="7">
        <f>IF($W225="","",SUMIFS('Per Line'!$Q$2:$Q$1501,'Per Line'!$B$2:$B$1501,$B225,'Per Line'!$AH$2:$AH$1501,1,'Per Line'!$AI$2:$AI$1501,0))</f>
        <v/>
      </c>
      <c r="R225" s="7">
        <f>IF($W225="","",Q225*P225)</f>
        <v/>
      </c>
      <c r="S225" s="7">
        <f>IF($W225="","",R225+O225)</f>
        <v/>
      </c>
      <c r="T225" s="7">
        <f>IF($W225="","",U225-S225)</f>
        <v/>
      </c>
      <c r="U225" s="7">
        <f>IF($W225="","",N225+Q225+L225)</f>
        <v/>
      </c>
      <c r="V225" s="7">
        <f>IF($W225="","",U225-S225-J225)</f>
        <v/>
      </c>
      <c r="W225" s="13">
        <f>IF(ROWS($W$2:$W225)&lt;=MAX('Per Line'!$AG$2:$AG$1501),MATCH(ROWS($W$2:$W225),'Per Line'!$AG$2:$AG$1501,0),"")</f>
        <v/>
      </c>
    </row>
    <row r="226">
      <c r="A226" s="12" t="n"/>
      <c r="B226">
        <f>IF($W226="","",INDEX('Per Line'!$B$2:$B$1501,$W226)&amp;"")</f>
        <v/>
      </c>
      <c r="C226">
        <f>IF($W226="","",INDEX('Per Line'!$A$2:$A$1501,$W226))</f>
        <v/>
      </c>
      <c r="D226" s="11">
        <f>IF($W226="","",INDEX('Per Line'!$C$2:$C$1501,$W226))</f>
        <v/>
      </c>
      <c r="E226">
        <f>IF($W226="","",INDEX('Per Line'!$D$2:$D$1501,$W226)&amp;"")</f>
        <v/>
      </c>
      <c r="F226">
        <f>IF($W226="","",INDEX('Per Line'!$F$2:$F$1501,$W226)&amp;"")</f>
        <v/>
      </c>
      <c r="G226">
        <f>IF($W226="","",INDEX('Per Line'!$G$2:$G$1501,$W226)&amp;"")</f>
        <v/>
      </c>
      <c r="H226">
        <f>IF($W226="","",INDEX('Per Line'!$H$2:$H$1501,$W226)&amp;"")</f>
        <v/>
      </c>
      <c r="I226">
        <f>IF($W226="","",INDEX('Per Line'!$I$2:$I$1501,$W226))</f>
        <v/>
      </c>
      <c r="J226" s="7">
        <f>IF($W226="","",I226*U226/100)</f>
        <v/>
      </c>
      <c r="K226">
        <f>IF($W226="","",INDEX('Per Line'!$U$2:$U$1501,$W226)&amp;"")</f>
        <v/>
      </c>
      <c r="L226" s="7">
        <f>IF($W226="","",SUMIFS('Per Line'!$Q$2:$Q$1501,'Per Line'!$B$2:$B$1501,$B226,'Per Line'!$AI$2:$AI$1501,1))</f>
        <v/>
      </c>
      <c r="M226">
        <f>IF($W226="","",Settings!$C$7)</f>
        <v/>
      </c>
      <c r="N226" s="7">
        <f>IF($W226="","",SUMIFS('Per Line'!$Q$2:$Q$1501,'Per Line'!$B$2:$B$1501,$B226,'Per Line'!$AH$2:$AH$1501,0,'Per Line'!$AI$2:$AI$1501,0))</f>
        <v/>
      </c>
      <c r="O226" s="7">
        <f>IF($W226="","",N226*M226)</f>
        <v/>
      </c>
      <c r="P226">
        <f>IF($W226="","",Settings!$C$6)</f>
        <v/>
      </c>
      <c r="Q226" s="7">
        <f>IF($W226="","",SUMIFS('Per Line'!$Q$2:$Q$1501,'Per Line'!$B$2:$B$1501,$B226,'Per Line'!$AH$2:$AH$1501,1,'Per Line'!$AI$2:$AI$1501,0))</f>
        <v/>
      </c>
      <c r="R226" s="7">
        <f>IF($W226="","",Q226*P226)</f>
        <v/>
      </c>
      <c r="S226" s="7">
        <f>IF($W226="","",R226+O226)</f>
        <v/>
      </c>
      <c r="T226" s="7">
        <f>IF($W226="","",U226-S226)</f>
        <v/>
      </c>
      <c r="U226" s="7">
        <f>IF($W226="","",N226+Q226+L226)</f>
        <v/>
      </c>
      <c r="V226" s="7">
        <f>IF($W226="","",U226-S226-J226)</f>
        <v/>
      </c>
      <c r="W226" s="13">
        <f>IF(ROWS($W$2:$W226)&lt;=MAX('Per Line'!$AG$2:$AG$1501),MATCH(ROWS($W$2:$W226),'Per Line'!$AG$2:$AG$1501,0),"")</f>
        <v/>
      </c>
    </row>
    <row r="227">
      <c r="A227" s="12" t="n"/>
      <c r="B227">
        <f>IF($W227="","",INDEX('Per Line'!$B$2:$B$1501,$W227)&amp;"")</f>
        <v/>
      </c>
      <c r="C227">
        <f>IF($W227="","",INDEX('Per Line'!$A$2:$A$1501,$W227))</f>
        <v/>
      </c>
      <c r="D227" s="11">
        <f>IF($W227="","",INDEX('Per Line'!$C$2:$C$1501,$W227))</f>
        <v/>
      </c>
      <c r="E227">
        <f>IF($W227="","",INDEX('Per Line'!$D$2:$D$1501,$W227)&amp;"")</f>
        <v/>
      </c>
      <c r="F227">
        <f>IF($W227="","",INDEX('Per Line'!$F$2:$F$1501,$W227)&amp;"")</f>
        <v/>
      </c>
      <c r="G227">
        <f>IF($W227="","",INDEX('Per Line'!$G$2:$G$1501,$W227)&amp;"")</f>
        <v/>
      </c>
      <c r="H227">
        <f>IF($W227="","",INDEX('Per Line'!$H$2:$H$1501,$W227)&amp;"")</f>
        <v/>
      </c>
      <c r="I227">
        <f>IF($W227="","",INDEX('Per Line'!$I$2:$I$1501,$W227))</f>
        <v/>
      </c>
      <c r="J227" s="7">
        <f>IF($W227="","",I227*U227/100)</f>
        <v/>
      </c>
      <c r="K227">
        <f>IF($W227="","",INDEX('Per Line'!$U$2:$U$1501,$W227)&amp;"")</f>
        <v/>
      </c>
      <c r="L227" s="7">
        <f>IF($W227="","",SUMIFS('Per Line'!$Q$2:$Q$1501,'Per Line'!$B$2:$B$1501,$B227,'Per Line'!$AI$2:$AI$1501,1))</f>
        <v/>
      </c>
      <c r="M227">
        <f>IF($W227="","",Settings!$C$7)</f>
        <v/>
      </c>
      <c r="N227" s="7">
        <f>IF($W227="","",SUMIFS('Per Line'!$Q$2:$Q$1501,'Per Line'!$B$2:$B$1501,$B227,'Per Line'!$AH$2:$AH$1501,0,'Per Line'!$AI$2:$AI$1501,0))</f>
        <v/>
      </c>
      <c r="O227" s="7">
        <f>IF($W227="","",N227*M227)</f>
        <v/>
      </c>
      <c r="P227">
        <f>IF($W227="","",Settings!$C$6)</f>
        <v/>
      </c>
      <c r="Q227" s="7">
        <f>IF($W227="","",SUMIFS('Per Line'!$Q$2:$Q$1501,'Per Line'!$B$2:$B$1501,$B227,'Per Line'!$AH$2:$AH$1501,1,'Per Line'!$AI$2:$AI$1501,0))</f>
        <v/>
      </c>
      <c r="R227" s="7">
        <f>IF($W227="","",Q227*P227)</f>
        <v/>
      </c>
      <c r="S227" s="7">
        <f>IF($W227="","",R227+O227)</f>
        <v/>
      </c>
      <c r="T227" s="7">
        <f>IF($W227="","",U227-S227)</f>
        <v/>
      </c>
      <c r="U227" s="7">
        <f>IF($W227="","",N227+Q227+L227)</f>
        <v/>
      </c>
      <c r="V227" s="7">
        <f>IF($W227="","",U227-S227-J227)</f>
        <v/>
      </c>
      <c r="W227" s="13">
        <f>IF(ROWS($W$2:$W227)&lt;=MAX('Per Line'!$AG$2:$AG$1501),MATCH(ROWS($W$2:$W227),'Per Line'!$AG$2:$AG$1501,0),"")</f>
        <v/>
      </c>
    </row>
    <row r="228">
      <c r="A228" s="12" t="n"/>
      <c r="B228">
        <f>IF($W228="","",INDEX('Per Line'!$B$2:$B$1501,$W228)&amp;"")</f>
        <v/>
      </c>
      <c r="C228">
        <f>IF($W228="","",INDEX('Per Line'!$A$2:$A$1501,$W228))</f>
        <v/>
      </c>
      <c r="D228" s="11">
        <f>IF($W228="","",INDEX('Per Line'!$C$2:$C$1501,$W228))</f>
        <v/>
      </c>
      <c r="E228">
        <f>IF($W228="","",INDEX('Per Line'!$D$2:$D$1501,$W228)&amp;"")</f>
        <v/>
      </c>
      <c r="F228">
        <f>IF($W228="","",INDEX('Per Line'!$F$2:$F$1501,$W228)&amp;"")</f>
        <v/>
      </c>
      <c r="G228">
        <f>IF($W228="","",INDEX('Per Line'!$G$2:$G$1501,$W228)&amp;"")</f>
        <v/>
      </c>
      <c r="H228">
        <f>IF($W228="","",INDEX('Per Line'!$H$2:$H$1501,$W228)&amp;"")</f>
        <v/>
      </c>
      <c r="I228">
        <f>IF($W228="","",INDEX('Per Line'!$I$2:$I$1501,$W228))</f>
        <v/>
      </c>
      <c r="J228" s="7">
        <f>IF($W228="","",I228*U228/100)</f>
        <v/>
      </c>
      <c r="K228">
        <f>IF($W228="","",INDEX('Per Line'!$U$2:$U$1501,$W228)&amp;"")</f>
        <v/>
      </c>
      <c r="L228" s="7">
        <f>IF($W228="","",SUMIFS('Per Line'!$Q$2:$Q$1501,'Per Line'!$B$2:$B$1501,$B228,'Per Line'!$AI$2:$AI$1501,1))</f>
        <v/>
      </c>
      <c r="M228">
        <f>IF($W228="","",Settings!$C$7)</f>
        <v/>
      </c>
      <c r="N228" s="7">
        <f>IF($W228="","",SUMIFS('Per Line'!$Q$2:$Q$1501,'Per Line'!$B$2:$B$1501,$B228,'Per Line'!$AH$2:$AH$1501,0,'Per Line'!$AI$2:$AI$1501,0))</f>
        <v/>
      </c>
      <c r="O228" s="7">
        <f>IF($W228="","",N228*M228)</f>
        <v/>
      </c>
      <c r="P228">
        <f>IF($W228="","",Settings!$C$6)</f>
        <v/>
      </c>
      <c r="Q228" s="7">
        <f>IF($W228="","",SUMIFS('Per Line'!$Q$2:$Q$1501,'Per Line'!$B$2:$B$1501,$B228,'Per Line'!$AH$2:$AH$1501,1,'Per Line'!$AI$2:$AI$1501,0))</f>
        <v/>
      </c>
      <c r="R228" s="7">
        <f>IF($W228="","",Q228*P228)</f>
        <v/>
      </c>
      <c r="S228" s="7">
        <f>IF($W228="","",R228+O228)</f>
        <v/>
      </c>
      <c r="T228" s="7">
        <f>IF($W228="","",U228-S228)</f>
        <v/>
      </c>
      <c r="U228" s="7">
        <f>IF($W228="","",N228+Q228+L228)</f>
        <v/>
      </c>
      <c r="V228" s="7">
        <f>IF($W228="","",U228-S228-J228)</f>
        <v/>
      </c>
      <c r="W228" s="13">
        <f>IF(ROWS($W$2:$W228)&lt;=MAX('Per Line'!$AG$2:$AG$1501),MATCH(ROWS($W$2:$W228),'Per Line'!$AG$2:$AG$1501,0),"")</f>
        <v/>
      </c>
    </row>
    <row r="229">
      <c r="A229" s="12" t="n"/>
      <c r="B229">
        <f>IF($W229="","",INDEX('Per Line'!$B$2:$B$1501,$W229)&amp;"")</f>
        <v/>
      </c>
      <c r="C229">
        <f>IF($W229="","",INDEX('Per Line'!$A$2:$A$1501,$W229))</f>
        <v/>
      </c>
      <c r="D229" s="11">
        <f>IF($W229="","",INDEX('Per Line'!$C$2:$C$1501,$W229))</f>
        <v/>
      </c>
      <c r="E229">
        <f>IF($W229="","",INDEX('Per Line'!$D$2:$D$1501,$W229)&amp;"")</f>
        <v/>
      </c>
      <c r="F229">
        <f>IF($W229="","",INDEX('Per Line'!$F$2:$F$1501,$W229)&amp;"")</f>
        <v/>
      </c>
      <c r="G229">
        <f>IF($W229="","",INDEX('Per Line'!$G$2:$G$1501,$W229)&amp;"")</f>
        <v/>
      </c>
      <c r="H229">
        <f>IF($W229="","",INDEX('Per Line'!$H$2:$H$1501,$W229)&amp;"")</f>
        <v/>
      </c>
      <c r="I229">
        <f>IF($W229="","",INDEX('Per Line'!$I$2:$I$1501,$W229))</f>
        <v/>
      </c>
      <c r="J229" s="7">
        <f>IF($W229="","",I229*U229/100)</f>
        <v/>
      </c>
      <c r="K229">
        <f>IF($W229="","",INDEX('Per Line'!$U$2:$U$1501,$W229)&amp;"")</f>
        <v/>
      </c>
      <c r="L229" s="7">
        <f>IF($W229="","",SUMIFS('Per Line'!$Q$2:$Q$1501,'Per Line'!$B$2:$B$1501,$B229,'Per Line'!$AI$2:$AI$1501,1))</f>
        <v/>
      </c>
      <c r="M229">
        <f>IF($W229="","",Settings!$C$7)</f>
        <v/>
      </c>
      <c r="N229" s="7">
        <f>IF($W229="","",SUMIFS('Per Line'!$Q$2:$Q$1501,'Per Line'!$B$2:$B$1501,$B229,'Per Line'!$AH$2:$AH$1501,0,'Per Line'!$AI$2:$AI$1501,0))</f>
        <v/>
      </c>
      <c r="O229" s="7">
        <f>IF($W229="","",N229*M229)</f>
        <v/>
      </c>
      <c r="P229">
        <f>IF($W229="","",Settings!$C$6)</f>
        <v/>
      </c>
      <c r="Q229" s="7">
        <f>IF($W229="","",SUMIFS('Per Line'!$Q$2:$Q$1501,'Per Line'!$B$2:$B$1501,$B229,'Per Line'!$AH$2:$AH$1501,1,'Per Line'!$AI$2:$AI$1501,0))</f>
        <v/>
      </c>
      <c r="R229" s="7">
        <f>IF($W229="","",Q229*P229)</f>
        <v/>
      </c>
      <c r="S229" s="7">
        <f>IF($W229="","",R229+O229)</f>
        <v/>
      </c>
      <c r="T229" s="7">
        <f>IF($W229="","",U229-S229)</f>
        <v/>
      </c>
      <c r="U229" s="7">
        <f>IF($W229="","",N229+Q229+L229)</f>
        <v/>
      </c>
      <c r="V229" s="7">
        <f>IF($W229="","",U229-S229-J229)</f>
        <v/>
      </c>
      <c r="W229" s="13">
        <f>IF(ROWS($W$2:$W229)&lt;=MAX('Per Line'!$AG$2:$AG$1501),MATCH(ROWS($W$2:$W229),'Per Line'!$AG$2:$AG$1501,0),"")</f>
        <v/>
      </c>
    </row>
    <row r="230">
      <c r="A230" s="12" t="n"/>
      <c r="B230">
        <f>IF($W230="","",INDEX('Per Line'!$B$2:$B$1501,$W230)&amp;"")</f>
        <v/>
      </c>
      <c r="C230">
        <f>IF($W230="","",INDEX('Per Line'!$A$2:$A$1501,$W230))</f>
        <v/>
      </c>
      <c r="D230" s="11">
        <f>IF($W230="","",INDEX('Per Line'!$C$2:$C$1501,$W230))</f>
        <v/>
      </c>
      <c r="E230">
        <f>IF($W230="","",INDEX('Per Line'!$D$2:$D$1501,$W230)&amp;"")</f>
        <v/>
      </c>
      <c r="F230">
        <f>IF($W230="","",INDEX('Per Line'!$F$2:$F$1501,$W230)&amp;"")</f>
        <v/>
      </c>
      <c r="G230">
        <f>IF($W230="","",INDEX('Per Line'!$G$2:$G$1501,$W230)&amp;"")</f>
        <v/>
      </c>
      <c r="H230">
        <f>IF($W230="","",INDEX('Per Line'!$H$2:$H$1501,$W230)&amp;"")</f>
        <v/>
      </c>
      <c r="I230">
        <f>IF($W230="","",INDEX('Per Line'!$I$2:$I$1501,$W230))</f>
        <v/>
      </c>
      <c r="J230" s="7">
        <f>IF($W230="","",I230*U230/100)</f>
        <v/>
      </c>
      <c r="K230">
        <f>IF($W230="","",INDEX('Per Line'!$U$2:$U$1501,$W230)&amp;"")</f>
        <v/>
      </c>
      <c r="L230" s="7">
        <f>IF($W230="","",SUMIFS('Per Line'!$Q$2:$Q$1501,'Per Line'!$B$2:$B$1501,$B230,'Per Line'!$AI$2:$AI$1501,1))</f>
        <v/>
      </c>
      <c r="M230">
        <f>IF($W230="","",Settings!$C$7)</f>
        <v/>
      </c>
      <c r="N230" s="7">
        <f>IF($W230="","",SUMIFS('Per Line'!$Q$2:$Q$1501,'Per Line'!$B$2:$B$1501,$B230,'Per Line'!$AH$2:$AH$1501,0,'Per Line'!$AI$2:$AI$1501,0))</f>
        <v/>
      </c>
      <c r="O230" s="7">
        <f>IF($W230="","",N230*M230)</f>
        <v/>
      </c>
      <c r="P230">
        <f>IF($W230="","",Settings!$C$6)</f>
        <v/>
      </c>
      <c r="Q230" s="7">
        <f>IF($W230="","",SUMIFS('Per Line'!$Q$2:$Q$1501,'Per Line'!$B$2:$B$1501,$B230,'Per Line'!$AH$2:$AH$1501,1,'Per Line'!$AI$2:$AI$1501,0))</f>
        <v/>
      </c>
      <c r="R230" s="7">
        <f>IF($W230="","",Q230*P230)</f>
        <v/>
      </c>
      <c r="S230" s="7">
        <f>IF($W230="","",R230+O230)</f>
        <v/>
      </c>
      <c r="T230" s="7">
        <f>IF($W230="","",U230-S230)</f>
        <v/>
      </c>
      <c r="U230" s="7">
        <f>IF($W230="","",N230+Q230+L230)</f>
        <v/>
      </c>
      <c r="V230" s="7">
        <f>IF($W230="","",U230-S230-J230)</f>
        <v/>
      </c>
      <c r="W230" s="13">
        <f>IF(ROWS($W$2:$W230)&lt;=MAX('Per Line'!$AG$2:$AG$1501),MATCH(ROWS($W$2:$W230),'Per Line'!$AG$2:$AG$1501,0),"")</f>
        <v/>
      </c>
    </row>
    <row r="231">
      <c r="A231" s="12" t="n"/>
      <c r="B231">
        <f>IF($W231="","",INDEX('Per Line'!$B$2:$B$1501,$W231)&amp;"")</f>
        <v/>
      </c>
      <c r="C231">
        <f>IF($W231="","",INDEX('Per Line'!$A$2:$A$1501,$W231))</f>
        <v/>
      </c>
      <c r="D231" s="11">
        <f>IF($W231="","",INDEX('Per Line'!$C$2:$C$1501,$W231))</f>
        <v/>
      </c>
      <c r="E231">
        <f>IF($W231="","",INDEX('Per Line'!$D$2:$D$1501,$W231)&amp;"")</f>
        <v/>
      </c>
      <c r="F231">
        <f>IF($W231="","",INDEX('Per Line'!$F$2:$F$1501,$W231)&amp;"")</f>
        <v/>
      </c>
      <c r="G231">
        <f>IF($W231="","",INDEX('Per Line'!$G$2:$G$1501,$W231)&amp;"")</f>
        <v/>
      </c>
      <c r="H231">
        <f>IF($W231="","",INDEX('Per Line'!$H$2:$H$1501,$W231)&amp;"")</f>
        <v/>
      </c>
      <c r="I231">
        <f>IF($W231="","",INDEX('Per Line'!$I$2:$I$1501,$W231))</f>
        <v/>
      </c>
      <c r="J231" s="7">
        <f>IF($W231="","",I231*U231/100)</f>
        <v/>
      </c>
      <c r="K231">
        <f>IF($W231="","",INDEX('Per Line'!$U$2:$U$1501,$W231)&amp;"")</f>
        <v/>
      </c>
      <c r="L231" s="7">
        <f>IF($W231="","",SUMIFS('Per Line'!$Q$2:$Q$1501,'Per Line'!$B$2:$B$1501,$B231,'Per Line'!$AI$2:$AI$1501,1))</f>
        <v/>
      </c>
      <c r="M231">
        <f>IF($W231="","",Settings!$C$7)</f>
        <v/>
      </c>
      <c r="N231" s="7">
        <f>IF($W231="","",SUMIFS('Per Line'!$Q$2:$Q$1501,'Per Line'!$B$2:$B$1501,$B231,'Per Line'!$AH$2:$AH$1501,0,'Per Line'!$AI$2:$AI$1501,0))</f>
        <v/>
      </c>
      <c r="O231" s="7">
        <f>IF($W231="","",N231*M231)</f>
        <v/>
      </c>
      <c r="P231">
        <f>IF($W231="","",Settings!$C$6)</f>
        <v/>
      </c>
      <c r="Q231" s="7">
        <f>IF($W231="","",SUMIFS('Per Line'!$Q$2:$Q$1501,'Per Line'!$B$2:$B$1501,$B231,'Per Line'!$AH$2:$AH$1501,1,'Per Line'!$AI$2:$AI$1501,0))</f>
        <v/>
      </c>
      <c r="R231" s="7">
        <f>IF($W231="","",Q231*P231)</f>
        <v/>
      </c>
      <c r="S231" s="7">
        <f>IF($W231="","",R231+O231)</f>
        <v/>
      </c>
      <c r="T231" s="7">
        <f>IF($W231="","",U231-S231)</f>
        <v/>
      </c>
      <c r="U231" s="7">
        <f>IF($W231="","",N231+Q231+L231)</f>
        <v/>
      </c>
      <c r="V231" s="7">
        <f>IF($W231="","",U231-S231-J231)</f>
        <v/>
      </c>
      <c r="W231" s="13">
        <f>IF(ROWS($W$2:$W231)&lt;=MAX('Per Line'!$AG$2:$AG$1501),MATCH(ROWS($W$2:$W231),'Per Line'!$AG$2:$AG$1501,0),"")</f>
        <v/>
      </c>
    </row>
    <row r="232">
      <c r="A232" s="12" t="n"/>
      <c r="B232">
        <f>IF($W232="","",INDEX('Per Line'!$B$2:$B$1501,$W232)&amp;"")</f>
        <v/>
      </c>
      <c r="C232">
        <f>IF($W232="","",INDEX('Per Line'!$A$2:$A$1501,$W232))</f>
        <v/>
      </c>
      <c r="D232" s="11">
        <f>IF($W232="","",INDEX('Per Line'!$C$2:$C$1501,$W232))</f>
        <v/>
      </c>
      <c r="E232">
        <f>IF($W232="","",INDEX('Per Line'!$D$2:$D$1501,$W232)&amp;"")</f>
        <v/>
      </c>
      <c r="F232">
        <f>IF($W232="","",INDEX('Per Line'!$F$2:$F$1501,$W232)&amp;"")</f>
        <v/>
      </c>
      <c r="G232">
        <f>IF($W232="","",INDEX('Per Line'!$G$2:$G$1501,$W232)&amp;"")</f>
        <v/>
      </c>
      <c r="H232">
        <f>IF($W232="","",INDEX('Per Line'!$H$2:$H$1501,$W232)&amp;"")</f>
        <v/>
      </c>
      <c r="I232">
        <f>IF($W232="","",INDEX('Per Line'!$I$2:$I$1501,$W232))</f>
        <v/>
      </c>
      <c r="J232" s="7">
        <f>IF($W232="","",I232*U232/100)</f>
        <v/>
      </c>
      <c r="K232">
        <f>IF($W232="","",INDEX('Per Line'!$U$2:$U$1501,$W232)&amp;"")</f>
        <v/>
      </c>
      <c r="L232" s="7">
        <f>IF($W232="","",SUMIFS('Per Line'!$Q$2:$Q$1501,'Per Line'!$B$2:$B$1501,$B232,'Per Line'!$AI$2:$AI$1501,1))</f>
        <v/>
      </c>
      <c r="M232">
        <f>IF($W232="","",Settings!$C$7)</f>
        <v/>
      </c>
      <c r="N232" s="7">
        <f>IF($W232="","",SUMIFS('Per Line'!$Q$2:$Q$1501,'Per Line'!$B$2:$B$1501,$B232,'Per Line'!$AH$2:$AH$1501,0,'Per Line'!$AI$2:$AI$1501,0))</f>
        <v/>
      </c>
      <c r="O232" s="7">
        <f>IF($W232="","",N232*M232)</f>
        <v/>
      </c>
      <c r="P232">
        <f>IF($W232="","",Settings!$C$6)</f>
        <v/>
      </c>
      <c r="Q232" s="7">
        <f>IF($W232="","",SUMIFS('Per Line'!$Q$2:$Q$1501,'Per Line'!$B$2:$B$1501,$B232,'Per Line'!$AH$2:$AH$1501,1,'Per Line'!$AI$2:$AI$1501,0))</f>
        <v/>
      </c>
      <c r="R232" s="7">
        <f>IF($W232="","",Q232*P232)</f>
        <v/>
      </c>
      <c r="S232" s="7">
        <f>IF($W232="","",R232+O232)</f>
        <v/>
      </c>
      <c r="T232" s="7">
        <f>IF($W232="","",U232-S232)</f>
        <v/>
      </c>
      <c r="U232" s="7">
        <f>IF($W232="","",N232+Q232+L232)</f>
        <v/>
      </c>
      <c r="V232" s="7">
        <f>IF($W232="","",U232-S232-J232)</f>
        <v/>
      </c>
      <c r="W232" s="13">
        <f>IF(ROWS($W$2:$W232)&lt;=MAX('Per Line'!$AG$2:$AG$1501),MATCH(ROWS($W$2:$W232),'Per Line'!$AG$2:$AG$1501,0),"")</f>
        <v/>
      </c>
    </row>
    <row r="233">
      <c r="A233" s="12" t="n"/>
      <c r="B233">
        <f>IF($W233="","",INDEX('Per Line'!$B$2:$B$1501,$W233)&amp;"")</f>
        <v/>
      </c>
      <c r="C233">
        <f>IF($W233="","",INDEX('Per Line'!$A$2:$A$1501,$W233))</f>
        <v/>
      </c>
      <c r="D233" s="11">
        <f>IF($W233="","",INDEX('Per Line'!$C$2:$C$1501,$W233))</f>
        <v/>
      </c>
      <c r="E233">
        <f>IF($W233="","",INDEX('Per Line'!$D$2:$D$1501,$W233)&amp;"")</f>
        <v/>
      </c>
      <c r="F233">
        <f>IF($W233="","",INDEX('Per Line'!$F$2:$F$1501,$W233)&amp;"")</f>
        <v/>
      </c>
      <c r="G233">
        <f>IF($W233="","",INDEX('Per Line'!$G$2:$G$1501,$W233)&amp;"")</f>
        <v/>
      </c>
      <c r="H233">
        <f>IF($W233="","",INDEX('Per Line'!$H$2:$H$1501,$W233)&amp;"")</f>
        <v/>
      </c>
      <c r="I233">
        <f>IF($W233="","",INDEX('Per Line'!$I$2:$I$1501,$W233))</f>
        <v/>
      </c>
      <c r="J233" s="7">
        <f>IF($W233="","",I233*U233/100)</f>
        <v/>
      </c>
      <c r="K233">
        <f>IF($W233="","",INDEX('Per Line'!$U$2:$U$1501,$W233)&amp;"")</f>
        <v/>
      </c>
      <c r="L233" s="7">
        <f>IF($W233="","",SUMIFS('Per Line'!$Q$2:$Q$1501,'Per Line'!$B$2:$B$1501,$B233,'Per Line'!$AI$2:$AI$1501,1))</f>
        <v/>
      </c>
      <c r="M233">
        <f>IF($W233="","",Settings!$C$7)</f>
        <v/>
      </c>
      <c r="N233" s="7">
        <f>IF($W233="","",SUMIFS('Per Line'!$Q$2:$Q$1501,'Per Line'!$B$2:$B$1501,$B233,'Per Line'!$AH$2:$AH$1501,0,'Per Line'!$AI$2:$AI$1501,0))</f>
        <v/>
      </c>
      <c r="O233" s="7">
        <f>IF($W233="","",N233*M233)</f>
        <v/>
      </c>
      <c r="P233">
        <f>IF($W233="","",Settings!$C$6)</f>
        <v/>
      </c>
      <c r="Q233" s="7">
        <f>IF($W233="","",SUMIFS('Per Line'!$Q$2:$Q$1501,'Per Line'!$B$2:$B$1501,$B233,'Per Line'!$AH$2:$AH$1501,1,'Per Line'!$AI$2:$AI$1501,0))</f>
        <v/>
      </c>
      <c r="R233" s="7">
        <f>IF($W233="","",Q233*P233)</f>
        <v/>
      </c>
      <c r="S233" s="7">
        <f>IF($W233="","",R233+O233)</f>
        <v/>
      </c>
      <c r="T233" s="7">
        <f>IF($W233="","",U233-S233)</f>
        <v/>
      </c>
      <c r="U233" s="7">
        <f>IF($W233="","",N233+Q233+L233)</f>
        <v/>
      </c>
      <c r="V233" s="7">
        <f>IF($W233="","",U233-S233-J233)</f>
        <v/>
      </c>
      <c r="W233" s="13">
        <f>IF(ROWS($W$2:$W233)&lt;=MAX('Per Line'!$AG$2:$AG$1501),MATCH(ROWS($W$2:$W233),'Per Line'!$AG$2:$AG$1501,0),"")</f>
        <v/>
      </c>
    </row>
    <row r="234">
      <c r="A234" s="12" t="n"/>
      <c r="B234">
        <f>IF($W234="","",INDEX('Per Line'!$B$2:$B$1501,$W234)&amp;"")</f>
        <v/>
      </c>
      <c r="C234">
        <f>IF($W234="","",INDEX('Per Line'!$A$2:$A$1501,$W234))</f>
        <v/>
      </c>
      <c r="D234" s="11">
        <f>IF($W234="","",INDEX('Per Line'!$C$2:$C$1501,$W234))</f>
        <v/>
      </c>
      <c r="E234">
        <f>IF($W234="","",INDEX('Per Line'!$D$2:$D$1501,$W234)&amp;"")</f>
        <v/>
      </c>
      <c r="F234">
        <f>IF($W234="","",INDEX('Per Line'!$F$2:$F$1501,$W234)&amp;"")</f>
        <v/>
      </c>
      <c r="G234">
        <f>IF($W234="","",INDEX('Per Line'!$G$2:$G$1501,$W234)&amp;"")</f>
        <v/>
      </c>
      <c r="H234">
        <f>IF($W234="","",INDEX('Per Line'!$H$2:$H$1501,$W234)&amp;"")</f>
        <v/>
      </c>
      <c r="I234">
        <f>IF($W234="","",INDEX('Per Line'!$I$2:$I$1501,$W234))</f>
        <v/>
      </c>
      <c r="J234" s="7">
        <f>IF($W234="","",I234*U234/100)</f>
        <v/>
      </c>
      <c r="K234">
        <f>IF($W234="","",INDEX('Per Line'!$U$2:$U$1501,$W234)&amp;"")</f>
        <v/>
      </c>
      <c r="L234" s="7">
        <f>IF($W234="","",SUMIFS('Per Line'!$Q$2:$Q$1501,'Per Line'!$B$2:$B$1501,$B234,'Per Line'!$AI$2:$AI$1501,1))</f>
        <v/>
      </c>
      <c r="M234">
        <f>IF($W234="","",Settings!$C$7)</f>
        <v/>
      </c>
      <c r="N234" s="7">
        <f>IF($W234="","",SUMIFS('Per Line'!$Q$2:$Q$1501,'Per Line'!$B$2:$B$1501,$B234,'Per Line'!$AH$2:$AH$1501,0,'Per Line'!$AI$2:$AI$1501,0))</f>
        <v/>
      </c>
      <c r="O234" s="7">
        <f>IF($W234="","",N234*M234)</f>
        <v/>
      </c>
      <c r="P234">
        <f>IF($W234="","",Settings!$C$6)</f>
        <v/>
      </c>
      <c r="Q234" s="7">
        <f>IF($W234="","",SUMIFS('Per Line'!$Q$2:$Q$1501,'Per Line'!$B$2:$B$1501,$B234,'Per Line'!$AH$2:$AH$1501,1,'Per Line'!$AI$2:$AI$1501,0))</f>
        <v/>
      </c>
      <c r="R234" s="7">
        <f>IF($W234="","",Q234*P234)</f>
        <v/>
      </c>
      <c r="S234" s="7">
        <f>IF($W234="","",R234+O234)</f>
        <v/>
      </c>
      <c r="T234" s="7">
        <f>IF($W234="","",U234-S234)</f>
        <v/>
      </c>
      <c r="U234" s="7">
        <f>IF($W234="","",N234+Q234+L234)</f>
        <v/>
      </c>
      <c r="V234" s="7">
        <f>IF($W234="","",U234-S234-J234)</f>
        <v/>
      </c>
      <c r="W234" s="13">
        <f>IF(ROWS($W$2:$W234)&lt;=MAX('Per Line'!$AG$2:$AG$1501),MATCH(ROWS($W$2:$W234),'Per Line'!$AG$2:$AG$1501,0),"")</f>
        <v/>
      </c>
    </row>
    <row r="235">
      <c r="A235" s="12" t="n"/>
      <c r="B235">
        <f>IF($W235="","",INDEX('Per Line'!$B$2:$B$1501,$W235)&amp;"")</f>
        <v/>
      </c>
      <c r="C235">
        <f>IF($W235="","",INDEX('Per Line'!$A$2:$A$1501,$W235))</f>
        <v/>
      </c>
      <c r="D235" s="11">
        <f>IF($W235="","",INDEX('Per Line'!$C$2:$C$1501,$W235))</f>
        <v/>
      </c>
      <c r="E235">
        <f>IF($W235="","",INDEX('Per Line'!$D$2:$D$1501,$W235)&amp;"")</f>
        <v/>
      </c>
      <c r="F235">
        <f>IF($W235="","",INDEX('Per Line'!$F$2:$F$1501,$W235)&amp;"")</f>
        <v/>
      </c>
      <c r="G235">
        <f>IF($W235="","",INDEX('Per Line'!$G$2:$G$1501,$W235)&amp;"")</f>
        <v/>
      </c>
      <c r="H235">
        <f>IF($W235="","",INDEX('Per Line'!$H$2:$H$1501,$W235)&amp;"")</f>
        <v/>
      </c>
      <c r="I235">
        <f>IF($W235="","",INDEX('Per Line'!$I$2:$I$1501,$W235))</f>
        <v/>
      </c>
      <c r="J235" s="7">
        <f>IF($W235="","",I235*U235/100)</f>
        <v/>
      </c>
      <c r="K235">
        <f>IF($W235="","",INDEX('Per Line'!$U$2:$U$1501,$W235)&amp;"")</f>
        <v/>
      </c>
      <c r="L235" s="7">
        <f>IF($W235="","",SUMIFS('Per Line'!$Q$2:$Q$1501,'Per Line'!$B$2:$B$1501,$B235,'Per Line'!$AI$2:$AI$1501,1))</f>
        <v/>
      </c>
      <c r="M235">
        <f>IF($W235="","",Settings!$C$7)</f>
        <v/>
      </c>
      <c r="N235" s="7">
        <f>IF($W235="","",SUMIFS('Per Line'!$Q$2:$Q$1501,'Per Line'!$B$2:$B$1501,$B235,'Per Line'!$AH$2:$AH$1501,0,'Per Line'!$AI$2:$AI$1501,0))</f>
        <v/>
      </c>
      <c r="O235" s="7">
        <f>IF($W235="","",N235*M235)</f>
        <v/>
      </c>
      <c r="P235">
        <f>IF($W235="","",Settings!$C$6)</f>
        <v/>
      </c>
      <c r="Q235" s="7">
        <f>IF($W235="","",SUMIFS('Per Line'!$Q$2:$Q$1501,'Per Line'!$B$2:$B$1501,$B235,'Per Line'!$AH$2:$AH$1501,1,'Per Line'!$AI$2:$AI$1501,0))</f>
        <v/>
      </c>
      <c r="R235" s="7">
        <f>IF($W235="","",Q235*P235)</f>
        <v/>
      </c>
      <c r="S235" s="7">
        <f>IF($W235="","",R235+O235)</f>
        <v/>
      </c>
      <c r="T235" s="7">
        <f>IF($W235="","",U235-S235)</f>
        <v/>
      </c>
      <c r="U235" s="7">
        <f>IF($W235="","",N235+Q235+L235)</f>
        <v/>
      </c>
      <c r="V235" s="7">
        <f>IF($W235="","",U235-S235-J235)</f>
        <v/>
      </c>
      <c r="W235" s="13">
        <f>IF(ROWS($W$2:$W235)&lt;=MAX('Per Line'!$AG$2:$AG$1501),MATCH(ROWS($W$2:$W235),'Per Line'!$AG$2:$AG$1501,0),"")</f>
        <v/>
      </c>
    </row>
    <row r="236">
      <c r="A236" s="12" t="n"/>
      <c r="B236">
        <f>IF($W236="","",INDEX('Per Line'!$B$2:$B$1501,$W236)&amp;"")</f>
        <v/>
      </c>
      <c r="C236">
        <f>IF($W236="","",INDEX('Per Line'!$A$2:$A$1501,$W236))</f>
        <v/>
      </c>
      <c r="D236" s="11">
        <f>IF($W236="","",INDEX('Per Line'!$C$2:$C$1501,$W236))</f>
        <v/>
      </c>
      <c r="E236">
        <f>IF($W236="","",INDEX('Per Line'!$D$2:$D$1501,$W236)&amp;"")</f>
        <v/>
      </c>
      <c r="F236">
        <f>IF($W236="","",INDEX('Per Line'!$F$2:$F$1501,$W236)&amp;"")</f>
        <v/>
      </c>
      <c r="G236">
        <f>IF($W236="","",INDEX('Per Line'!$G$2:$G$1501,$W236)&amp;"")</f>
        <v/>
      </c>
      <c r="H236">
        <f>IF($W236="","",INDEX('Per Line'!$H$2:$H$1501,$W236)&amp;"")</f>
        <v/>
      </c>
      <c r="I236">
        <f>IF($W236="","",INDEX('Per Line'!$I$2:$I$1501,$W236))</f>
        <v/>
      </c>
      <c r="J236" s="7">
        <f>IF($W236="","",I236*U236/100)</f>
        <v/>
      </c>
      <c r="K236">
        <f>IF($W236="","",INDEX('Per Line'!$U$2:$U$1501,$W236)&amp;"")</f>
        <v/>
      </c>
      <c r="L236" s="7">
        <f>IF($W236="","",SUMIFS('Per Line'!$Q$2:$Q$1501,'Per Line'!$B$2:$B$1501,$B236,'Per Line'!$AI$2:$AI$1501,1))</f>
        <v/>
      </c>
      <c r="M236">
        <f>IF($W236="","",Settings!$C$7)</f>
        <v/>
      </c>
      <c r="N236" s="7">
        <f>IF($W236="","",SUMIFS('Per Line'!$Q$2:$Q$1501,'Per Line'!$B$2:$B$1501,$B236,'Per Line'!$AH$2:$AH$1501,0,'Per Line'!$AI$2:$AI$1501,0))</f>
        <v/>
      </c>
      <c r="O236" s="7">
        <f>IF($W236="","",N236*M236)</f>
        <v/>
      </c>
      <c r="P236">
        <f>IF($W236="","",Settings!$C$6)</f>
        <v/>
      </c>
      <c r="Q236" s="7">
        <f>IF($W236="","",SUMIFS('Per Line'!$Q$2:$Q$1501,'Per Line'!$B$2:$B$1501,$B236,'Per Line'!$AH$2:$AH$1501,1,'Per Line'!$AI$2:$AI$1501,0))</f>
        <v/>
      </c>
      <c r="R236" s="7">
        <f>IF($W236="","",Q236*P236)</f>
        <v/>
      </c>
      <c r="S236" s="7">
        <f>IF($W236="","",R236+O236)</f>
        <v/>
      </c>
      <c r="T236" s="7">
        <f>IF($W236="","",U236-S236)</f>
        <v/>
      </c>
      <c r="U236" s="7">
        <f>IF($W236="","",N236+Q236+L236)</f>
        <v/>
      </c>
      <c r="V236" s="7">
        <f>IF($W236="","",U236-S236-J236)</f>
        <v/>
      </c>
      <c r="W236" s="13">
        <f>IF(ROWS($W$2:$W236)&lt;=MAX('Per Line'!$AG$2:$AG$1501),MATCH(ROWS($W$2:$W236),'Per Line'!$AG$2:$AG$1501,0),"")</f>
        <v/>
      </c>
    </row>
    <row r="237">
      <c r="A237" s="12" t="n"/>
      <c r="B237">
        <f>IF($W237="","",INDEX('Per Line'!$B$2:$B$1501,$W237)&amp;"")</f>
        <v/>
      </c>
      <c r="C237">
        <f>IF($W237="","",INDEX('Per Line'!$A$2:$A$1501,$W237))</f>
        <v/>
      </c>
      <c r="D237" s="11">
        <f>IF($W237="","",INDEX('Per Line'!$C$2:$C$1501,$W237))</f>
        <v/>
      </c>
      <c r="E237">
        <f>IF($W237="","",INDEX('Per Line'!$D$2:$D$1501,$W237)&amp;"")</f>
        <v/>
      </c>
      <c r="F237">
        <f>IF($W237="","",INDEX('Per Line'!$F$2:$F$1501,$W237)&amp;"")</f>
        <v/>
      </c>
      <c r="G237">
        <f>IF($W237="","",INDEX('Per Line'!$G$2:$G$1501,$W237)&amp;"")</f>
        <v/>
      </c>
      <c r="H237">
        <f>IF($W237="","",INDEX('Per Line'!$H$2:$H$1501,$W237)&amp;"")</f>
        <v/>
      </c>
      <c r="I237">
        <f>IF($W237="","",INDEX('Per Line'!$I$2:$I$1501,$W237))</f>
        <v/>
      </c>
      <c r="J237" s="7">
        <f>IF($W237="","",I237*U237/100)</f>
        <v/>
      </c>
      <c r="K237">
        <f>IF($W237="","",INDEX('Per Line'!$U$2:$U$1501,$W237)&amp;"")</f>
        <v/>
      </c>
      <c r="L237" s="7">
        <f>IF($W237="","",SUMIFS('Per Line'!$Q$2:$Q$1501,'Per Line'!$B$2:$B$1501,$B237,'Per Line'!$AI$2:$AI$1501,1))</f>
        <v/>
      </c>
      <c r="M237">
        <f>IF($W237="","",Settings!$C$7)</f>
        <v/>
      </c>
      <c r="N237" s="7">
        <f>IF($W237="","",SUMIFS('Per Line'!$Q$2:$Q$1501,'Per Line'!$B$2:$B$1501,$B237,'Per Line'!$AH$2:$AH$1501,0,'Per Line'!$AI$2:$AI$1501,0))</f>
        <v/>
      </c>
      <c r="O237" s="7">
        <f>IF($W237="","",N237*M237)</f>
        <v/>
      </c>
      <c r="P237">
        <f>IF($W237="","",Settings!$C$6)</f>
        <v/>
      </c>
      <c r="Q237" s="7">
        <f>IF($W237="","",SUMIFS('Per Line'!$Q$2:$Q$1501,'Per Line'!$B$2:$B$1501,$B237,'Per Line'!$AH$2:$AH$1501,1,'Per Line'!$AI$2:$AI$1501,0))</f>
        <v/>
      </c>
      <c r="R237" s="7">
        <f>IF($W237="","",Q237*P237)</f>
        <v/>
      </c>
      <c r="S237" s="7">
        <f>IF($W237="","",R237+O237)</f>
        <v/>
      </c>
      <c r="T237" s="7">
        <f>IF($W237="","",U237-S237)</f>
        <v/>
      </c>
      <c r="U237" s="7">
        <f>IF($W237="","",N237+Q237+L237)</f>
        <v/>
      </c>
      <c r="V237" s="7">
        <f>IF($W237="","",U237-S237-J237)</f>
        <v/>
      </c>
      <c r="W237" s="13">
        <f>IF(ROWS($W$2:$W237)&lt;=MAX('Per Line'!$AG$2:$AG$1501),MATCH(ROWS($W$2:$W237),'Per Line'!$AG$2:$AG$1501,0),"")</f>
        <v/>
      </c>
    </row>
    <row r="238">
      <c r="A238" s="12" t="n"/>
      <c r="B238">
        <f>IF($W238="","",INDEX('Per Line'!$B$2:$B$1501,$W238)&amp;"")</f>
        <v/>
      </c>
      <c r="C238">
        <f>IF($W238="","",INDEX('Per Line'!$A$2:$A$1501,$W238))</f>
        <v/>
      </c>
      <c r="D238" s="11">
        <f>IF($W238="","",INDEX('Per Line'!$C$2:$C$1501,$W238))</f>
        <v/>
      </c>
      <c r="E238">
        <f>IF($W238="","",INDEX('Per Line'!$D$2:$D$1501,$W238)&amp;"")</f>
        <v/>
      </c>
      <c r="F238">
        <f>IF($W238="","",INDEX('Per Line'!$F$2:$F$1501,$W238)&amp;"")</f>
        <v/>
      </c>
      <c r="G238">
        <f>IF($W238="","",INDEX('Per Line'!$G$2:$G$1501,$W238)&amp;"")</f>
        <v/>
      </c>
      <c r="H238">
        <f>IF($W238="","",INDEX('Per Line'!$H$2:$H$1501,$W238)&amp;"")</f>
        <v/>
      </c>
      <c r="I238">
        <f>IF($W238="","",INDEX('Per Line'!$I$2:$I$1501,$W238))</f>
        <v/>
      </c>
      <c r="J238" s="7">
        <f>IF($W238="","",I238*U238/100)</f>
        <v/>
      </c>
      <c r="K238">
        <f>IF($W238="","",INDEX('Per Line'!$U$2:$U$1501,$W238)&amp;"")</f>
        <v/>
      </c>
      <c r="L238" s="7">
        <f>IF($W238="","",SUMIFS('Per Line'!$Q$2:$Q$1501,'Per Line'!$B$2:$B$1501,$B238,'Per Line'!$AI$2:$AI$1501,1))</f>
        <v/>
      </c>
      <c r="M238">
        <f>IF($W238="","",Settings!$C$7)</f>
        <v/>
      </c>
      <c r="N238" s="7">
        <f>IF($W238="","",SUMIFS('Per Line'!$Q$2:$Q$1501,'Per Line'!$B$2:$B$1501,$B238,'Per Line'!$AH$2:$AH$1501,0,'Per Line'!$AI$2:$AI$1501,0))</f>
        <v/>
      </c>
      <c r="O238" s="7">
        <f>IF($W238="","",N238*M238)</f>
        <v/>
      </c>
      <c r="P238">
        <f>IF($W238="","",Settings!$C$6)</f>
        <v/>
      </c>
      <c r="Q238" s="7">
        <f>IF($W238="","",SUMIFS('Per Line'!$Q$2:$Q$1501,'Per Line'!$B$2:$B$1501,$B238,'Per Line'!$AH$2:$AH$1501,1,'Per Line'!$AI$2:$AI$1501,0))</f>
        <v/>
      </c>
      <c r="R238" s="7">
        <f>IF($W238="","",Q238*P238)</f>
        <v/>
      </c>
      <c r="S238" s="7">
        <f>IF($W238="","",R238+O238)</f>
        <v/>
      </c>
      <c r="T238" s="7">
        <f>IF($W238="","",U238-S238)</f>
        <v/>
      </c>
      <c r="U238" s="7">
        <f>IF($W238="","",N238+Q238+L238)</f>
        <v/>
      </c>
      <c r="V238" s="7">
        <f>IF($W238="","",U238-S238-J238)</f>
        <v/>
      </c>
      <c r="W238" s="13">
        <f>IF(ROWS($W$2:$W238)&lt;=MAX('Per Line'!$AG$2:$AG$1501),MATCH(ROWS($W$2:$W238),'Per Line'!$AG$2:$AG$1501,0),"")</f>
        <v/>
      </c>
    </row>
    <row r="239">
      <c r="A239" s="12" t="n"/>
      <c r="B239">
        <f>IF($W239="","",INDEX('Per Line'!$B$2:$B$1501,$W239)&amp;"")</f>
        <v/>
      </c>
      <c r="C239">
        <f>IF($W239="","",INDEX('Per Line'!$A$2:$A$1501,$W239))</f>
        <v/>
      </c>
      <c r="D239" s="11">
        <f>IF($W239="","",INDEX('Per Line'!$C$2:$C$1501,$W239))</f>
        <v/>
      </c>
      <c r="E239">
        <f>IF($W239="","",INDEX('Per Line'!$D$2:$D$1501,$W239)&amp;"")</f>
        <v/>
      </c>
      <c r="F239">
        <f>IF($W239="","",INDEX('Per Line'!$F$2:$F$1501,$W239)&amp;"")</f>
        <v/>
      </c>
      <c r="G239">
        <f>IF($W239="","",INDEX('Per Line'!$G$2:$G$1501,$W239)&amp;"")</f>
        <v/>
      </c>
      <c r="H239">
        <f>IF($W239="","",INDEX('Per Line'!$H$2:$H$1501,$W239)&amp;"")</f>
        <v/>
      </c>
      <c r="I239">
        <f>IF($W239="","",INDEX('Per Line'!$I$2:$I$1501,$W239))</f>
        <v/>
      </c>
      <c r="J239" s="7">
        <f>IF($W239="","",I239*U239/100)</f>
        <v/>
      </c>
      <c r="K239">
        <f>IF($W239="","",INDEX('Per Line'!$U$2:$U$1501,$W239)&amp;"")</f>
        <v/>
      </c>
      <c r="L239" s="7">
        <f>IF($W239="","",SUMIFS('Per Line'!$Q$2:$Q$1501,'Per Line'!$B$2:$B$1501,$B239,'Per Line'!$AI$2:$AI$1501,1))</f>
        <v/>
      </c>
      <c r="M239">
        <f>IF($W239="","",Settings!$C$7)</f>
        <v/>
      </c>
      <c r="N239" s="7">
        <f>IF($W239="","",SUMIFS('Per Line'!$Q$2:$Q$1501,'Per Line'!$B$2:$B$1501,$B239,'Per Line'!$AH$2:$AH$1501,0,'Per Line'!$AI$2:$AI$1501,0))</f>
        <v/>
      </c>
      <c r="O239" s="7">
        <f>IF($W239="","",N239*M239)</f>
        <v/>
      </c>
      <c r="P239">
        <f>IF($W239="","",Settings!$C$6)</f>
        <v/>
      </c>
      <c r="Q239" s="7">
        <f>IF($W239="","",SUMIFS('Per Line'!$Q$2:$Q$1501,'Per Line'!$B$2:$B$1501,$B239,'Per Line'!$AH$2:$AH$1501,1,'Per Line'!$AI$2:$AI$1501,0))</f>
        <v/>
      </c>
      <c r="R239" s="7">
        <f>IF($W239="","",Q239*P239)</f>
        <v/>
      </c>
      <c r="S239" s="7">
        <f>IF($W239="","",R239+O239)</f>
        <v/>
      </c>
      <c r="T239" s="7">
        <f>IF($W239="","",U239-S239)</f>
        <v/>
      </c>
      <c r="U239" s="7">
        <f>IF($W239="","",N239+Q239+L239)</f>
        <v/>
      </c>
      <c r="V239" s="7">
        <f>IF($W239="","",U239-S239-J239)</f>
        <v/>
      </c>
      <c r="W239" s="13">
        <f>IF(ROWS($W$2:$W239)&lt;=MAX('Per Line'!$AG$2:$AG$1501),MATCH(ROWS($W$2:$W239),'Per Line'!$AG$2:$AG$1501,0),"")</f>
        <v/>
      </c>
    </row>
    <row r="240">
      <c r="A240" s="12" t="n"/>
      <c r="B240">
        <f>IF($W240="","",INDEX('Per Line'!$B$2:$B$1501,$W240)&amp;"")</f>
        <v/>
      </c>
      <c r="C240">
        <f>IF($W240="","",INDEX('Per Line'!$A$2:$A$1501,$W240))</f>
        <v/>
      </c>
      <c r="D240" s="11">
        <f>IF($W240="","",INDEX('Per Line'!$C$2:$C$1501,$W240))</f>
        <v/>
      </c>
      <c r="E240">
        <f>IF($W240="","",INDEX('Per Line'!$D$2:$D$1501,$W240)&amp;"")</f>
        <v/>
      </c>
      <c r="F240">
        <f>IF($W240="","",INDEX('Per Line'!$F$2:$F$1501,$W240)&amp;"")</f>
        <v/>
      </c>
      <c r="G240">
        <f>IF($W240="","",INDEX('Per Line'!$G$2:$G$1501,$W240)&amp;"")</f>
        <v/>
      </c>
      <c r="H240">
        <f>IF($W240="","",INDEX('Per Line'!$H$2:$H$1501,$W240)&amp;"")</f>
        <v/>
      </c>
      <c r="I240">
        <f>IF($W240="","",INDEX('Per Line'!$I$2:$I$1501,$W240))</f>
        <v/>
      </c>
      <c r="J240" s="7">
        <f>IF($W240="","",I240*U240/100)</f>
        <v/>
      </c>
      <c r="K240">
        <f>IF($W240="","",INDEX('Per Line'!$U$2:$U$1501,$W240)&amp;"")</f>
        <v/>
      </c>
      <c r="L240" s="7">
        <f>IF($W240="","",SUMIFS('Per Line'!$Q$2:$Q$1501,'Per Line'!$B$2:$B$1501,$B240,'Per Line'!$AI$2:$AI$1501,1))</f>
        <v/>
      </c>
      <c r="M240">
        <f>IF($W240="","",Settings!$C$7)</f>
        <v/>
      </c>
      <c r="N240" s="7">
        <f>IF($W240="","",SUMIFS('Per Line'!$Q$2:$Q$1501,'Per Line'!$B$2:$B$1501,$B240,'Per Line'!$AH$2:$AH$1501,0,'Per Line'!$AI$2:$AI$1501,0))</f>
        <v/>
      </c>
      <c r="O240" s="7">
        <f>IF($W240="","",N240*M240)</f>
        <v/>
      </c>
      <c r="P240">
        <f>IF($W240="","",Settings!$C$6)</f>
        <v/>
      </c>
      <c r="Q240" s="7">
        <f>IF($W240="","",SUMIFS('Per Line'!$Q$2:$Q$1501,'Per Line'!$B$2:$B$1501,$B240,'Per Line'!$AH$2:$AH$1501,1,'Per Line'!$AI$2:$AI$1501,0))</f>
        <v/>
      </c>
      <c r="R240" s="7">
        <f>IF($W240="","",Q240*P240)</f>
        <v/>
      </c>
      <c r="S240" s="7">
        <f>IF($W240="","",R240+O240)</f>
        <v/>
      </c>
      <c r="T240" s="7">
        <f>IF($W240="","",U240-S240)</f>
        <v/>
      </c>
      <c r="U240" s="7">
        <f>IF($W240="","",N240+Q240+L240)</f>
        <v/>
      </c>
      <c r="V240" s="7">
        <f>IF($W240="","",U240-S240-J240)</f>
        <v/>
      </c>
      <c r="W240" s="13">
        <f>IF(ROWS($W$2:$W240)&lt;=MAX('Per Line'!$AG$2:$AG$1501),MATCH(ROWS($W$2:$W240),'Per Line'!$AG$2:$AG$1501,0),"")</f>
        <v/>
      </c>
    </row>
    <row r="241">
      <c r="A241" s="12" t="n"/>
      <c r="B241">
        <f>IF($W241="","",INDEX('Per Line'!$B$2:$B$1501,$W241)&amp;"")</f>
        <v/>
      </c>
      <c r="C241">
        <f>IF($W241="","",INDEX('Per Line'!$A$2:$A$1501,$W241))</f>
        <v/>
      </c>
      <c r="D241" s="11">
        <f>IF($W241="","",INDEX('Per Line'!$C$2:$C$1501,$W241))</f>
        <v/>
      </c>
      <c r="E241">
        <f>IF($W241="","",INDEX('Per Line'!$D$2:$D$1501,$W241)&amp;"")</f>
        <v/>
      </c>
      <c r="F241">
        <f>IF($W241="","",INDEX('Per Line'!$F$2:$F$1501,$W241)&amp;"")</f>
        <v/>
      </c>
      <c r="G241">
        <f>IF($W241="","",INDEX('Per Line'!$G$2:$G$1501,$W241)&amp;"")</f>
        <v/>
      </c>
      <c r="H241">
        <f>IF($W241="","",INDEX('Per Line'!$H$2:$H$1501,$W241)&amp;"")</f>
        <v/>
      </c>
      <c r="I241">
        <f>IF($W241="","",INDEX('Per Line'!$I$2:$I$1501,$W241))</f>
        <v/>
      </c>
      <c r="J241" s="7">
        <f>IF($W241="","",I241*U241/100)</f>
        <v/>
      </c>
      <c r="K241">
        <f>IF($W241="","",INDEX('Per Line'!$U$2:$U$1501,$W241)&amp;"")</f>
        <v/>
      </c>
      <c r="L241" s="7">
        <f>IF($W241="","",SUMIFS('Per Line'!$Q$2:$Q$1501,'Per Line'!$B$2:$B$1501,$B241,'Per Line'!$AI$2:$AI$1501,1))</f>
        <v/>
      </c>
      <c r="M241">
        <f>IF($W241="","",Settings!$C$7)</f>
        <v/>
      </c>
      <c r="N241" s="7">
        <f>IF($W241="","",SUMIFS('Per Line'!$Q$2:$Q$1501,'Per Line'!$B$2:$B$1501,$B241,'Per Line'!$AH$2:$AH$1501,0,'Per Line'!$AI$2:$AI$1501,0))</f>
        <v/>
      </c>
      <c r="O241" s="7">
        <f>IF($W241="","",N241*M241)</f>
        <v/>
      </c>
      <c r="P241">
        <f>IF($W241="","",Settings!$C$6)</f>
        <v/>
      </c>
      <c r="Q241" s="7">
        <f>IF($W241="","",SUMIFS('Per Line'!$Q$2:$Q$1501,'Per Line'!$B$2:$B$1501,$B241,'Per Line'!$AH$2:$AH$1501,1,'Per Line'!$AI$2:$AI$1501,0))</f>
        <v/>
      </c>
      <c r="R241" s="7">
        <f>IF($W241="","",Q241*P241)</f>
        <v/>
      </c>
      <c r="S241" s="7">
        <f>IF($W241="","",R241+O241)</f>
        <v/>
      </c>
      <c r="T241" s="7">
        <f>IF($W241="","",U241-S241)</f>
        <v/>
      </c>
      <c r="U241" s="7">
        <f>IF($W241="","",N241+Q241+L241)</f>
        <v/>
      </c>
      <c r="V241" s="7">
        <f>IF($W241="","",U241-S241-J241)</f>
        <v/>
      </c>
      <c r="W241" s="13">
        <f>IF(ROWS($W$2:$W241)&lt;=MAX('Per Line'!$AG$2:$AG$1501),MATCH(ROWS($W$2:$W241),'Per Line'!$AG$2:$AG$1501,0),"")</f>
        <v/>
      </c>
    </row>
    <row r="242">
      <c r="A242" s="12" t="n"/>
      <c r="B242">
        <f>IF($W242="","",INDEX('Per Line'!$B$2:$B$1501,$W242)&amp;"")</f>
        <v/>
      </c>
      <c r="C242">
        <f>IF($W242="","",INDEX('Per Line'!$A$2:$A$1501,$W242))</f>
        <v/>
      </c>
      <c r="D242" s="11">
        <f>IF($W242="","",INDEX('Per Line'!$C$2:$C$1501,$W242))</f>
        <v/>
      </c>
      <c r="E242">
        <f>IF($W242="","",INDEX('Per Line'!$D$2:$D$1501,$W242)&amp;"")</f>
        <v/>
      </c>
      <c r="F242">
        <f>IF($W242="","",INDEX('Per Line'!$F$2:$F$1501,$W242)&amp;"")</f>
        <v/>
      </c>
      <c r="G242">
        <f>IF($W242="","",INDEX('Per Line'!$G$2:$G$1501,$W242)&amp;"")</f>
        <v/>
      </c>
      <c r="H242">
        <f>IF($W242="","",INDEX('Per Line'!$H$2:$H$1501,$W242)&amp;"")</f>
        <v/>
      </c>
      <c r="I242">
        <f>IF($W242="","",INDEX('Per Line'!$I$2:$I$1501,$W242))</f>
        <v/>
      </c>
      <c r="J242" s="7">
        <f>IF($W242="","",I242*U242/100)</f>
        <v/>
      </c>
      <c r="K242">
        <f>IF($W242="","",INDEX('Per Line'!$U$2:$U$1501,$W242)&amp;"")</f>
        <v/>
      </c>
      <c r="L242" s="7">
        <f>IF($W242="","",SUMIFS('Per Line'!$Q$2:$Q$1501,'Per Line'!$B$2:$B$1501,$B242,'Per Line'!$AI$2:$AI$1501,1))</f>
        <v/>
      </c>
      <c r="M242">
        <f>IF($W242="","",Settings!$C$7)</f>
        <v/>
      </c>
      <c r="N242" s="7">
        <f>IF($W242="","",SUMIFS('Per Line'!$Q$2:$Q$1501,'Per Line'!$B$2:$B$1501,$B242,'Per Line'!$AH$2:$AH$1501,0,'Per Line'!$AI$2:$AI$1501,0))</f>
        <v/>
      </c>
      <c r="O242" s="7">
        <f>IF($W242="","",N242*M242)</f>
        <v/>
      </c>
      <c r="P242">
        <f>IF($W242="","",Settings!$C$6)</f>
        <v/>
      </c>
      <c r="Q242" s="7">
        <f>IF($W242="","",SUMIFS('Per Line'!$Q$2:$Q$1501,'Per Line'!$B$2:$B$1501,$B242,'Per Line'!$AH$2:$AH$1501,1,'Per Line'!$AI$2:$AI$1501,0))</f>
        <v/>
      </c>
      <c r="R242" s="7">
        <f>IF($W242="","",Q242*P242)</f>
        <v/>
      </c>
      <c r="S242" s="7">
        <f>IF($W242="","",R242+O242)</f>
        <v/>
      </c>
      <c r="T242" s="7">
        <f>IF($W242="","",U242-S242)</f>
        <v/>
      </c>
      <c r="U242" s="7">
        <f>IF($W242="","",N242+Q242+L242)</f>
        <v/>
      </c>
      <c r="V242" s="7">
        <f>IF($W242="","",U242-S242-J242)</f>
        <v/>
      </c>
      <c r="W242" s="13">
        <f>IF(ROWS($W$2:$W242)&lt;=MAX('Per Line'!$AG$2:$AG$1501),MATCH(ROWS($W$2:$W242),'Per Line'!$AG$2:$AG$1501,0),"")</f>
        <v/>
      </c>
    </row>
    <row r="243">
      <c r="A243" s="12" t="n"/>
      <c r="B243">
        <f>IF($W243="","",INDEX('Per Line'!$B$2:$B$1501,$W243)&amp;"")</f>
        <v/>
      </c>
      <c r="C243">
        <f>IF($W243="","",INDEX('Per Line'!$A$2:$A$1501,$W243))</f>
        <v/>
      </c>
      <c r="D243" s="11">
        <f>IF($W243="","",INDEX('Per Line'!$C$2:$C$1501,$W243))</f>
        <v/>
      </c>
      <c r="E243">
        <f>IF($W243="","",INDEX('Per Line'!$D$2:$D$1501,$W243)&amp;"")</f>
        <v/>
      </c>
      <c r="F243">
        <f>IF($W243="","",INDEX('Per Line'!$F$2:$F$1501,$W243)&amp;"")</f>
        <v/>
      </c>
      <c r="G243">
        <f>IF($W243="","",INDEX('Per Line'!$G$2:$G$1501,$W243)&amp;"")</f>
        <v/>
      </c>
      <c r="H243">
        <f>IF($W243="","",INDEX('Per Line'!$H$2:$H$1501,$W243)&amp;"")</f>
        <v/>
      </c>
      <c r="I243">
        <f>IF($W243="","",INDEX('Per Line'!$I$2:$I$1501,$W243))</f>
        <v/>
      </c>
      <c r="J243" s="7">
        <f>IF($W243="","",I243*U243/100)</f>
        <v/>
      </c>
      <c r="K243">
        <f>IF($W243="","",INDEX('Per Line'!$U$2:$U$1501,$W243)&amp;"")</f>
        <v/>
      </c>
      <c r="L243" s="7">
        <f>IF($W243="","",SUMIFS('Per Line'!$Q$2:$Q$1501,'Per Line'!$B$2:$B$1501,$B243,'Per Line'!$AI$2:$AI$1501,1))</f>
        <v/>
      </c>
      <c r="M243">
        <f>IF($W243="","",Settings!$C$7)</f>
        <v/>
      </c>
      <c r="N243" s="7">
        <f>IF($W243="","",SUMIFS('Per Line'!$Q$2:$Q$1501,'Per Line'!$B$2:$B$1501,$B243,'Per Line'!$AH$2:$AH$1501,0,'Per Line'!$AI$2:$AI$1501,0))</f>
        <v/>
      </c>
      <c r="O243" s="7">
        <f>IF($W243="","",N243*M243)</f>
        <v/>
      </c>
      <c r="P243">
        <f>IF($W243="","",Settings!$C$6)</f>
        <v/>
      </c>
      <c r="Q243" s="7">
        <f>IF($W243="","",SUMIFS('Per Line'!$Q$2:$Q$1501,'Per Line'!$B$2:$B$1501,$B243,'Per Line'!$AH$2:$AH$1501,1,'Per Line'!$AI$2:$AI$1501,0))</f>
        <v/>
      </c>
      <c r="R243" s="7">
        <f>IF($W243="","",Q243*P243)</f>
        <v/>
      </c>
      <c r="S243" s="7">
        <f>IF($W243="","",R243+O243)</f>
        <v/>
      </c>
      <c r="T243" s="7">
        <f>IF($W243="","",U243-S243)</f>
        <v/>
      </c>
      <c r="U243" s="7">
        <f>IF($W243="","",N243+Q243+L243)</f>
        <v/>
      </c>
      <c r="V243" s="7">
        <f>IF($W243="","",U243-S243-J243)</f>
        <v/>
      </c>
      <c r="W243" s="13">
        <f>IF(ROWS($W$2:$W243)&lt;=MAX('Per Line'!$AG$2:$AG$1501),MATCH(ROWS($W$2:$W243),'Per Line'!$AG$2:$AG$1501,0),"")</f>
        <v/>
      </c>
    </row>
    <row r="244">
      <c r="A244" s="12" t="n"/>
      <c r="B244">
        <f>IF($W244="","",INDEX('Per Line'!$B$2:$B$1501,$W244)&amp;"")</f>
        <v/>
      </c>
      <c r="C244">
        <f>IF($W244="","",INDEX('Per Line'!$A$2:$A$1501,$W244))</f>
        <v/>
      </c>
      <c r="D244" s="11">
        <f>IF($W244="","",INDEX('Per Line'!$C$2:$C$1501,$W244))</f>
        <v/>
      </c>
      <c r="E244">
        <f>IF($W244="","",INDEX('Per Line'!$D$2:$D$1501,$W244)&amp;"")</f>
        <v/>
      </c>
      <c r="F244">
        <f>IF($W244="","",INDEX('Per Line'!$F$2:$F$1501,$W244)&amp;"")</f>
        <v/>
      </c>
      <c r="G244">
        <f>IF($W244="","",INDEX('Per Line'!$G$2:$G$1501,$W244)&amp;"")</f>
        <v/>
      </c>
      <c r="H244">
        <f>IF($W244="","",INDEX('Per Line'!$H$2:$H$1501,$W244)&amp;"")</f>
        <v/>
      </c>
      <c r="I244">
        <f>IF($W244="","",INDEX('Per Line'!$I$2:$I$1501,$W244))</f>
        <v/>
      </c>
      <c r="J244" s="7">
        <f>IF($W244="","",I244*U244/100)</f>
        <v/>
      </c>
      <c r="K244">
        <f>IF($W244="","",INDEX('Per Line'!$U$2:$U$1501,$W244)&amp;"")</f>
        <v/>
      </c>
      <c r="L244" s="7">
        <f>IF($W244="","",SUMIFS('Per Line'!$Q$2:$Q$1501,'Per Line'!$B$2:$B$1501,$B244,'Per Line'!$AI$2:$AI$1501,1))</f>
        <v/>
      </c>
      <c r="M244">
        <f>IF($W244="","",Settings!$C$7)</f>
        <v/>
      </c>
      <c r="N244" s="7">
        <f>IF($W244="","",SUMIFS('Per Line'!$Q$2:$Q$1501,'Per Line'!$B$2:$B$1501,$B244,'Per Line'!$AH$2:$AH$1501,0,'Per Line'!$AI$2:$AI$1501,0))</f>
        <v/>
      </c>
      <c r="O244" s="7">
        <f>IF($W244="","",N244*M244)</f>
        <v/>
      </c>
      <c r="P244">
        <f>IF($W244="","",Settings!$C$6)</f>
        <v/>
      </c>
      <c r="Q244" s="7">
        <f>IF($W244="","",SUMIFS('Per Line'!$Q$2:$Q$1501,'Per Line'!$B$2:$B$1501,$B244,'Per Line'!$AH$2:$AH$1501,1,'Per Line'!$AI$2:$AI$1501,0))</f>
        <v/>
      </c>
      <c r="R244" s="7">
        <f>IF($W244="","",Q244*P244)</f>
        <v/>
      </c>
      <c r="S244" s="7">
        <f>IF($W244="","",R244+O244)</f>
        <v/>
      </c>
      <c r="T244" s="7">
        <f>IF($W244="","",U244-S244)</f>
        <v/>
      </c>
      <c r="U244" s="7">
        <f>IF($W244="","",N244+Q244+L244)</f>
        <v/>
      </c>
      <c r="V244" s="7">
        <f>IF($W244="","",U244-S244-J244)</f>
        <v/>
      </c>
      <c r="W244" s="13">
        <f>IF(ROWS($W$2:$W244)&lt;=MAX('Per Line'!$AG$2:$AG$1501),MATCH(ROWS($W$2:$W244),'Per Line'!$AG$2:$AG$1501,0),"")</f>
        <v/>
      </c>
    </row>
    <row r="245">
      <c r="A245" s="12" t="n"/>
      <c r="B245">
        <f>IF($W245="","",INDEX('Per Line'!$B$2:$B$1501,$W245)&amp;"")</f>
        <v/>
      </c>
      <c r="C245">
        <f>IF($W245="","",INDEX('Per Line'!$A$2:$A$1501,$W245))</f>
        <v/>
      </c>
      <c r="D245" s="11">
        <f>IF($W245="","",INDEX('Per Line'!$C$2:$C$1501,$W245))</f>
        <v/>
      </c>
      <c r="E245">
        <f>IF($W245="","",INDEX('Per Line'!$D$2:$D$1501,$W245)&amp;"")</f>
        <v/>
      </c>
      <c r="F245">
        <f>IF($W245="","",INDEX('Per Line'!$F$2:$F$1501,$W245)&amp;"")</f>
        <v/>
      </c>
      <c r="G245">
        <f>IF($W245="","",INDEX('Per Line'!$G$2:$G$1501,$W245)&amp;"")</f>
        <v/>
      </c>
      <c r="H245">
        <f>IF($W245="","",INDEX('Per Line'!$H$2:$H$1501,$W245)&amp;"")</f>
        <v/>
      </c>
      <c r="I245">
        <f>IF($W245="","",INDEX('Per Line'!$I$2:$I$1501,$W245))</f>
        <v/>
      </c>
      <c r="J245" s="7">
        <f>IF($W245="","",I245*U245/100)</f>
        <v/>
      </c>
      <c r="K245">
        <f>IF($W245="","",INDEX('Per Line'!$U$2:$U$1501,$W245)&amp;"")</f>
        <v/>
      </c>
      <c r="L245" s="7">
        <f>IF($W245="","",SUMIFS('Per Line'!$Q$2:$Q$1501,'Per Line'!$B$2:$B$1501,$B245,'Per Line'!$AI$2:$AI$1501,1))</f>
        <v/>
      </c>
      <c r="M245">
        <f>IF($W245="","",Settings!$C$7)</f>
        <v/>
      </c>
      <c r="N245" s="7">
        <f>IF($W245="","",SUMIFS('Per Line'!$Q$2:$Q$1501,'Per Line'!$B$2:$B$1501,$B245,'Per Line'!$AH$2:$AH$1501,0,'Per Line'!$AI$2:$AI$1501,0))</f>
        <v/>
      </c>
      <c r="O245" s="7">
        <f>IF($W245="","",N245*M245)</f>
        <v/>
      </c>
      <c r="P245">
        <f>IF($W245="","",Settings!$C$6)</f>
        <v/>
      </c>
      <c r="Q245" s="7">
        <f>IF($W245="","",SUMIFS('Per Line'!$Q$2:$Q$1501,'Per Line'!$B$2:$B$1501,$B245,'Per Line'!$AH$2:$AH$1501,1,'Per Line'!$AI$2:$AI$1501,0))</f>
        <v/>
      </c>
      <c r="R245" s="7">
        <f>IF($W245="","",Q245*P245)</f>
        <v/>
      </c>
      <c r="S245" s="7">
        <f>IF($W245="","",R245+O245)</f>
        <v/>
      </c>
      <c r="T245" s="7">
        <f>IF($W245="","",U245-S245)</f>
        <v/>
      </c>
      <c r="U245" s="7">
        <f>IF($W245="","",N245+Q245+L245)</f>
        <v/>
      </c>
      <c r="V245" s="7">
        <f>IF($W245="","",U245-S245-J245)</f>
        <v/>
      </c>
      <c r="W245" s="13">
        <f>IF(ROWS($W$2:$W245)&lt;=MAX('Per Line'!$AG$2:$AG$1501),MATCH(ROWS($W$2:$W245),'Per Line'!$AG$2:$AG$1501,0),"")</f>
        <v/>
      </c>
    </row>
    <row r="246">
      <c r="A246" s="12" t="n"/>
      <c r="B246">
        <f>IF($W246="","",INDEX('Per Line'!$B$2:$B$1501,$W246)&amp;"")</f>
        <v/>
      </c>
      <c r="C246">
        <f>IF($W246="","",INDEX('Per Line'!$A$2:$A$1501,$W246))</f>
        <v/>
      </c>
      <c r="D246" s="11">
        <f>IF($W246="","",INDEX('Per Line'!$C$2:$C$1501,$W246))</f>
        <v/>
      </c>
      <c r="E246">
        <f>IF($W246="","",INDEX('Per Line'!$D$2:$D$1501,$W246)&amp;"")</f>
        <v/>
      </c>
      <c r="F246">
        <f>IF($W246="","",INDEX('Per Line'!$F$2:$F$1501,$W246)&amp;"")</f>
        <v/>
      </c>
      <c r="G246">
        <f>IF($W246="","",INDEX('Per Line'!$G$2:$G$1501,$W246)&amp;"")</f>
        <v/>
      </c>
      <c r="H246">
        <f>IF($W246="","",INDEX('Per Line'!$H$2:$H$1501,$W246)&amp;"")</f>
        <v/>
      </c>
      <c r="I246">
        <f>IF($W246="","",INDEX('Per Line'!$I$2:$I$1501,$W246))</f>
        <v/>
      </c>
      <c r="J246" s="7">
        <f>IF($W246="","",I246*U246/100)</f>
        <v/>
      </c>
      <c r="K246">
        <f>IF($W246="","",INDEX('Per Line'!$U$2:$U$1501,$W246)&amp;"")</f>
        <v/>
      </c>
      <c r="L246" s="7">
        <f>IF($W246="","",SUMIFS('Per Line'!$Q$2:$Q$1501,'Per Line'!$B$2:$B$1501,$B246,'Per Line'!$AI$2:$AI$1501,1))</f>
        <v/>
      </c>
      <c r="M246">
        <f>IF($W246="","",Settings!$C$7)</f>
        <v/>
      </c>
      <c r="N246" s="7">
        <f>IF($W246="","",SUMIFS('Per Line'!$Q$2:$Q$1501,'Per Line'!$B$2:$B$1501,$B246,'Per Line'!$AH$2:$AH$1501,0,'Per Line'!$AI$2:$AI$1501,0))</f>
        <v/>
      </c>
      <c r="O246" s="7">
        <f>IF($W246="","",N246*M246)</f>
        <v/>
      </c>
      <c r="P246">
        <f>IF($W246="","",Settings!$C$6)</f>
        <v/>
      </c>
      <c r="Q246" s="7">
        <f>IF($W246="","",SUMIFS('Per Line'!$Q$2:$Q$1501,'Per Line'!$B$2:$B$1501,$B246,'Per Line'!$AH$2:$AH$1501,1,'Per Line'!$AI$2:$AI$1501,0))</f>
        <v/>
      </c>
      <c r="R246" s="7">
        <f>IF($W246="","",Q246*P246)</f>
        <v/>
      </c>
      <c r="S246" s="7">
        <f>IF($W246="","",R246+O246)</f>
        <v/>
      </c>
      <c r="T246" s="7">
        <f>IF($W246="","",U246-S246)</f>
        <v/>
      </c>
      <c r="U246" s="7">
        <f>IF($W246="","",N246+Q246+L246)</f>
        <v/>
      </c>
      <c r="V246" s="7">
        <f>IF($W246="","",U246-S246-J246)</f>
        <v/>
      </c>
      <c r="W246" s="13">
        <f>IF(ROWS($W$2:$W246)&lt;=MAX('Per Line'!$AG$2:$AG$1501),MATCH(ROWS($W$2:$W246),'Per Line'!$AG$2:$AG$1501,0),"")</f>
        <v/>
      </c>
    </row>
    <row r="247">
      <c r="A247" s="12" t="n"/>
      <c r="B247">
        <f>IF($W247="","",INDEX('Per Line'!$B$2:$B$1501,$W247)&amp;"")</f>
        <v/>
      </c>
      <c r="C247">
        <f>IF($W247="","",INDEX('Per Line'!$A$2:$A$1501,$W247))</f>
        <v/>
      </c>
      <c r="D247" s="11">
        <f>IF($W247="","",INDEX('Per Line'!$C$2:$C$1501,$W247))</f>
        <v/>
      </c>
      <c r="E247">
        <f>IF($W247="","",INDEX('Per Line'!$D$2:$D$1501,$W247)&amp;"")</f>
        <v/>
      </c>
      <c r="F247">
        <f>IF($W247="","",INDEX('Per Line'!$F$2:$F$1501,$W247)&amp;"")</f>
        <v/>
      </c>
      <c r="G247">
        <f>IF($W247="","",INDEX('Per Line'!$G$2:$G$1501,$W247)&amp;"")</f>
        <v/>
      </c>
      <c r="H247">
        <f>IF($W247="","",INDEX('Per Line'!$H$2:$H$1501,$W247)&amp;"")</f>
        <v/>
      </c>
      <c r="I247">
        <f>IF($W247="","",INDEX('Per Line'!$I$2:$I$1501,$W247))</f>
        <v/>
      </c>
      <c r="J247" s="7">
        <f>IF($W247="","",I247*U247/100)</f>
        <v/>
      </c>
      <c r="K247">
        <f>IF($W247="","",INDEX('Per Line'!$U$2:$U$1501,$W247)&amp;"")</f>
        <v/>
      </c>
      <c r="L247" s="7">
        <f>IF($W247="","",SUMIFS('Per Line'!$Q$2:$Q$1501,'Per Line'!$B$2:$B$1501,$B247,'Per Line'!$AI$2:$AI$1501,1))</f>
        <v/>
      </c>
      <c r="M247">
        <f>IF($W247="","",Settings!$C$7)</f>
        <v/>
      </c>
      <c r="N247" s="7">
        <f>IF($W247="","",SUMIFS('Per Line'!$Q$2:$Q$1501,'Per Line'!$B$2:$B$1501,$B247,'Per Line'!$AH$2:$AH$1501,0,'Per Line'!$AI$2:$AI$1501,0))</f>
        <v/>
      </c>
      <c r="O247" s="7">
        <f>IF($W247="","",N247*M247)</f>
        <v/>
      </c>
      <c r="P247">
        <f>IF($W247="","",Settings!$C$6)</f>
        <v/>
      </c>
      <c r="Q247" s="7">
        <f>IF($W247="","",SUMIFS('Per Line'!$Q$2:$Q$1501,'Per Line'!$B$2:$B$1501,$B247,'Per Line'!$AH$2:$AH$1501,1,'Per Line'!$AI$2:$AI$1501,0))</f>
        <v/>
      </c>
      <c r="R247" s="7">
        <f>IF($W247="","",Q247*P247)</f>
        <v/>
      </c>
      <c r="S247" s="7">
        <f>IF($W247="","",R247+O247)</f>
        <v/>
      </c>
      <c r="T247" s="7">
        <f>IF($W247="","",U247-S247)</f>
        <v/>
      </c>
      <c r="U247" s="7">
        <f>IF($W247="","",N247+Q247+L247)</f>
        <v/>
      </c>
      <c r="V247" s="7">
        <f>IF($W247="","",U247-S247-J247)</f>
        <v/>
      </c>
      <c r="W247" s="13">
        <f>IF(ROWS($W$2:$W247)&lt;=MAX('Per Line'!$AG$2:$AG$1501),MATCH(ROWS($W$2:$W247),'Per Line'!$AG$2:$AG$1501,0),"")</f>
        <v/>
      </c>
    </row>
    <row r="248">
      <c r="A248" s="12" t="n"/>
      <c r="B248">
        <f>IF($W248="","",INDEX('Per Line'!$B$2:$B$1501,$W248)&amp;"")</f>
        <v/>
      </c>
      <c r="C248">
        <f>IF($W248="","",INDEX('Per Line'!$A$2:$A$1501,$W248))</f>
        <v/>
      </c>
      <c r="D248" s="11">
        <f>IF($W248="","",INDEX('Per Line'!$C$2:$C$1501,$W248))</f>
        <v/>
      </c>
      <c r="E248">
        <f>IF($W248="","",INDEX('Per Line'!$D$2:$D$1501,$W248)&amp;"")</f>
        <v/>
      </c>
      <c r="F248">
        <f>IF($W248="","",INDEX('Per Line'!$F$2:$F$1501,$W248)&amp;"")</f>
        <v/>
      </c>
      <c r="G248">
        <f>IF($W248="","",INDEX('Per Line'!$G$2:$G$1501,$W248)&amp;"")</f>
        <v/>
      </c>
      <c r="H248">
        <f>IF($W248="","",INDEX('Per Line'!$H$2:$H$1501,$W248)&amp;"")</f>
        <v/>
      </c>
      <c r="I248">
        <f>IF($W248="","",INDEX('Per Line'!$I$2:$I$1501,$W248))</f>
        <v/>
      </c>
      <c r="J248" s="7">
        <f>IF($W248="","",I248*U248/100)</f>
        <v/>
      </c>
      <c r="K248">
        <f>IF($W248="","",INDEX('Per Line'!$U$2:$U$1501,$W248)&amp;"")</f>
        <v/>
      </c>
      <c r="L248" s="7">
        <f>IF($W248="","",SUMIFS('Per Line'!$Q$2:$Q$1501,'Per Line'!$B$2:$B$1501,$B248,'Per Line'!$AI$2:$AI$1501,1))</f>
        <v/>
      </c>
      <c r="M248">
        <f>IF($W248="","",Settings!$C$7)</f>
        <v/>
      </c>
      <c r="N248" s="7">
        <f>IF($W248="","",SUMIFS('Per Line'!$Q$2:$Q$1501,'Per Line'!$B$2:$B$1501,$B248,'Per Line'!$AH$2:$AH$1501,0,'Per Line'!$AI$2:$AI$1501,0))</f>
        <v/>
      </c>
      <c r="O248" s="7">
        <f>IF($W248="","",N248*M248)</f>
        <v/>
      </c>
      <c r="P248">
        <f>IF($W248="","",Settings!$C$6)</f>
        <v/>
      </c>
      <c r="Q248" s="7">
        <f>IF($W248="","",SUMIFS('Per Line'!$Q$2:$Q$1501,'Per Line'!$B$2:$B$1501,$B248,'Per Line'!$AH$2:$AH$1501,1,'Per Line'!$AI$2:$AI$1501,0))</f>
        <v/>
      </c>
      <c r="R248" s="7">
        <f>IF($W248="","",Q248*P248)</f>
        <v/>
      </c>
      <c r="S248" s="7">
        <f>IF($W248="","",R248+O248)</f>
        <v/>
      </c>
      <c r="T248" s="7">
        <f>IF($W248="","",U248-S248)</f>
        <v/>
      </c>
      <c r="U248" s="7">
        <f>IF($W248="","",N248+Q248+L248)</f>
        <v/>
      </c>
      <c r="V248" s="7">
        <f>IF($W248="","",U248-S248-J248)</f>
        <v/>
      </c>
      <c r="W248" s="13">
        <f>IF(ROWS($W$2:$W248)&lt;=MAX('Per Line'!$AG$2:$AG$1501),MATCH(ROWS($W$2:$W248),'Per Line'!$AG$2:$AG$1501,0),"")</f>
        <v/>
      </c>
    </row>
    <row r="249">
      <c r="A249" s="12" t="n"/>
      <c r="B249">
        <f>IF($W249="","",INDEX('Per Line'!$B$2:$B$1501,$W249)&amp;"")</f>
        <v/>
      </c>
      <c r="C249">
        <f>IF($W249="","",INDEX('Per Line'!$A$2:$A$1501,$W249))</f>
        <v/>
      </c>
      <c r="D249" s="11">
        <f>IF($W249="","",INDEX('Per Line'!$C$2:$C$1501,$W249))</f>
        <v/>
      </c>
      <c r="E249">
        <f>IF($W249="","",INDEX('Per Line'!$D$2:$D$1501,$W249)&amp;"")</f>
        <v/>
      </c>
      <c r="F249">
        <f>IF($W249="","",INDEX('Per Line'!$F$2:$F$1501,$W249)&amp;"")</f>
        <v/>
      </c>
      <c r="G249">
        <f>IF($W249="","",INDEX('Per Line'!$G$2:$G$1501,$W249)&amp;"")</f>
        <v/>
      </c>
      <c r="H249">
        <f>IF($W249="","",INDEX('Per Line'!$H$2:$H$1501,$W249)&amp;"")</f>
        <v/>
      </c>
      <c r="I249">
        <f>IF($W249="","",INDEX('Per Line'!$I$2:$I$1501,$W249))</f>
        <v/>
      </c>
      <c r="J249" s="7">
        <f>IF($W249="","",I249*U249/100)</f>
        <v/>
      </c>
      <c r="K249">
        <f>IF($W249="","",INDEX('Per Line'!$U$2:$U$1501,$W249)&amp;"")</f>
        <v/>
      </c>
      <c r="L249" s="7">
        <f>IF($W249="","",SUMIFS('Per Line'!$Q$2:$Q$1501,'Per Line'!$B$2:$B$1501,$B249,'Per Line'!$AI$2:$AI$1501,1))</f>
        <v/>
      </c>
      <c r="M249">
        <f>IF($W249="","",Settings!$C$7)</f>
        <v/>
      </c>
      <c r="N249" s="7">
        <f>IF($W249="","",SUMIFS('Per Line'!$Q$2:$Q$1501,'Per Line'!$B$2:$B$1501,$B249,'Per Line'!$AH$2:$AH$1501,0,'Per Line'!$AI$2:$AI$1501,0))</f>
        <v/>
      </c>
      <c r="O249" s="7">
        <f>IF($W249="","",N249*M249)</f>
        <v/>
      </c>
      <c r="P249">
        <f>IF($W249="","",Settings!$C$6)</f>
        <v/>
      </c>
      <c r="Q249" s="7">
        <f>IF($W249="","",SUMIFS('Per Line'!$Q$2:$Q$1501,'Per Line'!$B$2:$B$1501,$B249,'Per Line'!$AH$2:$AH$1501,1,'Per Line'!$AI$2:$AI$1501,0))</f>
        <v/>
      </c>
      <c r="R249" s="7">
        <f>IF($W249="","",Q249*P249)</f>
        <v/>
      </c>
      <c r="S249" s="7">
        <f>IF($W249="","",R249+O249)</f>
        <v/>
      </c>
      <c r="T249" s="7">
        <f>IF($W249="","",U249-S249)</f>
        <v/>
      </c>
      <c r="U249" s="7">
        <f>IF($W249="","",N249+Q249+L249)</f>
        <v/>
      </c>
      <c r="V249" s="7">
        <f>IF($W249="","",U249-S249-J249)</f>
        <v/>
      </c>
      <c r="W249" s="13">
        <f>IF(ROWS($W$2:$W249)&lt;=MAX('Per Line'!$AG$2:$AG$1501),MATCH(ROWS($W$2:$W249),'Per Line'!$AG$2:$AG$1501,0),"")</f>
        <v/>
      </c>
    </row>
    <row r="250">
      <c r="A250" s="12" t="n"/>
      <c r="B250">
        <f>IF($W250="","",INDEX('Per Line'!$B$2:$B$1501,$W250)&amp;"")</f>
        <v/>
      </c>
      <c r="C250">
        <f>IF($W250="","",INDEX('Per Line'!$A$2:$A$1501,$W250))</f>
        <v/>
      </c>
      <c r="D250" s="11">
        <f>IF($W250="","",INDEX('Per Line'!$C$2:$C$1501,$W250))</f>
        <v/>
      </c>
      <c r="E250">
        <f>IF($W250="","",INDEX('Per Line'!$D$2:$D$1501,$W250)&amp;"")</f>
        <v/>
      </c>
      <c r="F250">
        <f>IF($W250="","",INDEX('Per Line'!$F$2:$F$1501,$W250)&amp;"")</f>
        <v/>
      </c>
      <c r="G250">
        <f>IF($W250="","",INDEX('Per Line'!$G$2:$G$1501,$W250)&amp;"")</f>
        <v/>
      </c>
      <c r="H250">
        <f>IF($W250="","",INDEX('Per Line'!$H$2:$H$1501,$W250)&amp;"")</f>
        <v/>
      </c>
      <c r="I250">
        <f>IF($W250="","",INDEX('Per Line'!$I$2:$I$1501,$W250))</f>
        <v/>
      </c>
      <c r="J250" s="7">
        <f>IF($W250="","",I250*U250/100)</f>
        <v/>
      </c>
      <c r="K250">
        <f>IF($W250="","",INDEX('Per Line'!$U$2:$U$1501,$W250)&amp;"")</f>
        <v/>
      </c>
      <c r="L250" s="7">
        <f>IF($W250="","",SUMIFS('Per Line'!$Q$2:$Q$1501,'Per Line'!$B$2:$B$1501,$B250,'Per Line'!$AI$2:$AI$1501,1))</f>
        <v/>
      </c>
      <c r="M250">
        <f>IF($W250="","",Settings!$C$7)</f>
        <v/>
      </c>
      <c r="N250" s="7">
        <f>IF($W250="","",SUMIFS('Per Line'!$Q$2:$Q$1501,'Per Line'!$B$2:$B$1501,$B250,'Per Line'!$AH$2:$AH$1501,0,'Per Line'!$AI$2:$AI$1501,0))</f>
        <v/>
      </c>
      <c r="O250" s="7">
        <f>IF($W250="","",N250*M250)</f>
        <v/>
      </c>
      <c r="P250">
        <f>IF($W250="","",Settings!$C$6)</f>
        <v/>
      </c>
      <c r="Q250" s="7">
        <f>IF($W250="","",SUMIFS('Per Line'!$Q$2:$Q$1501,'Per Line'!$B$2:$B$1501,$B250,'Per Line'!$AH$2:$AH$1501,1,'Per Line'!$AI$2:$AI$1501,0))</f>
        <v/>
      </c>
      <c r="R250" s="7">
        <f>IF($W250="","",Q250*P250)</f>
        <v/>
      </c>
      <c r="S250" s="7">
        <f>IF($W250="","",R250+O250)</f>
        <v/>
      </c>
      <c r="T250" s="7">
        <f>IF($W250="","",U250-S250)</f>
        <v/>
      </c>
      <c r="U250" s="7">
        <f>IF($W250="","",N250+Q250+L250)</f>
        <v/>
      </c>
      <c r="V250" s="7">
        <f>IF($W250="","",U250-S250-J250)</f>
        <v/>
      </c>
      <c r="W250" s="13">
        <f>IF(ROWS($W$2:$W250)&lt;=MAX('Per Line'!$AG$2:$AG$1501),MATCH(ROWS($W$2:$W250),'Per Line'!$AG$2:$AG$1501,0),"")</f>
        <v/>
      </c>
    </row>
    <row r="251">
      <c r="A251" s="12" t="n"/>
      <c r="B251">
        <f>IF($W251="","",INDEX('Per Line'!$B$2:$B$1501,$W251)&amp;"")</f>
        <v/>
      </c>
      <c r="C251">
        <f>IF($W251="","",INDEX('Per Line'!$A$2:$A$1501,$W251))</f>
        <v/>
      </c>
      <c r="D251" s="11">
        <f>IF($W251="","",INDEX('Per Line'!$C$2:$C$1501,$W251))</f>
        <v/>
      </c>
      <c r="E251">
        <f>IF($W251="","",INDEX('Per Line'!$D$2:$D$1501,$W251)&amp;"")</f>
        <v/>
      </c>
      <c r="F251">
        <f>IF($W251="","",INDEX('Per Line'!$F$2:$F$1501,$W251)&amp;"")</f>
        <v/>
      </c>
      <c r="G251">
        <f>IF($W251="","",INDEX('Per Line'!$G$2:$G$1501,$W251)&amp;"")</f>
        <v/>
      </c>
      <c r="H251">
        <f>IF($W251="","",INDEX('Per Line'!$H$2:$H$1501,$W251)&amp;"")</f>
        <v/>
      </c>
      <c r="I251">
        <f>IF($W251="","",INDEX('Per Line'!$I$2:$I$1501,$W251))</f>
        <v/>
      </c>
      <c r="J251" s="7">
        <f>IF($W251="","",I251*U251/100)</f>
        <v/>
      </c>
      <c r="K251">
        <f>IF($W251="","",INDEX('Per Line'!$U$2:$U$1501,$W251)&amp;"")</f>
        <v/>
      </c>
      <c r="L251" s="7">
        <f>IF($W251="","",SUMIFS('Per Line'!$Q$2:$Q$1501,'Per Line'!$B$2:$B$1501,$B251,'Per Line'!$AI$2:$AI$1501,1))</f>
        <v/>
      </c>
      <c r="M251">
        <f>IF($W251="","",Settings!$C$7)</f>
        <v/>
      </c>
      <c r="N251" s="7">
        <f>IF($W251="","",SUMIFS('Per Line'!$Q$2:$Q$1501,'Per Line'!$B$2:$B$1501,$B251,'Per Line'!$AH$2:$AH$1501,0,'Per Line'!$AI$2:$AI$1501,0))</f>
        <v/>
      </c>
      <c r="O251" s="7">
        <f>IF($W251="","",N251*M251)</f>
        <v/>
      </c>
      <c r="P251">
        <f>IF($W251="","",Settings!$C$6)</f>
        <v/>
      </c>
      <c r="Q251" s="7">
        <f>IF($W251="","",SUMIFS('Per Line'!$Q$2:$Q$1501,'Per Line'!$B$2:$B$1501,$B251,'Per Line'!$AH$2:$AH$1501,1,'Per Line'!$AI$2:$AI$1501,0))</f>
        <v/>
      </c>
      <c r="R251" s="7">
        <f>IF($W251="","",Q251*P251)</f>
        <v/>
      </c>
      <c r="S251" s="7">
        <f>IF($W251="","",R251+O251)</f>
        <v/>
      </c>
      <c r="T251" s="7">
        <f>IF($W251="","",U251-S251)</f>
        <v/>
      </c>
      <c r="U251" s="7">
        <f>IF($W251="","",N251+Q251+L251)</f>
        <v/>
      </c>
      <c r="V251" s="7">
        <f>IF($W251="","",U251-S251-J251)</f>
        <v/>
      </c>
      <c r="W251" s="13">
        <f>IF(ROWS($W$2:$W251)&lt;=MAX('Per Line'!$AG$2:$AG$1501),MATCH(ROWS($W$2:$W251),'Per Line'!$AG$2:$AG$1501,0),"")</f>
        <v/>
      </c>
    </row>
    <row r="252">
      <c r="A252" s="12" t="n"/>
      <c r="B252">
        <f>IF($W252="","",INDEX('Per Line'!$B$2:$B$1501,$W252)&amp;"")</f>
        <v/>
      </c>
      <c r="C252">
        <f>IF($W252="","",INDEX('Per Line'!$A$2:$A$1501,$W252))</f>
        <v/>
      </c>
      <c r="D252" s="11">
        <f>IF($W252="","",INDEX('Per Line'!$C$2:$C$1501,$W252))</f>
        <v/>
      </c>
      <c r="E252">
        <f>IF($W252="","",INDEX('Per Line'!$D$2:$D$1501,$W252)&amp;"")</f>
        <v/>
      </c>
      <c r="F252">
        <f>IF($W252="","",INDEX('Per Line'!$F$2:$F$1501,$W252)&amp;"")</f>
        <v/>
      </c>
      <c r="G252">
        <f>IF($W252="","",INDEX('Per Line'!$G$2:$G$1501,$W252)&amp;"")</f>
        <v/>
      </c>
      <c r="H252">
        <f>IF($W252="","",INDEX('Per Line'!$H$2:$H$1501,$W252)&amp;"")</f>
        <v/>
      </c>
      <c r="I252">
        <f>IF($W252="","",INDEX('Per Line'!$I$2:$I$1501,$W252))</f>
        <v/>
      </c>
      <c r="J252" s="7">
        <f>IF($W252="","",I252*U252/100)</f>
        <v/>
      </c>
      <c r="K252">
        <f>IF($W252="","",INDEX('Per Line'!$U$2:$U$1501,$W252)&amp;"")</f>
        <v/>
      </c>
      <c r="L252" s="7">
        <f>IF($W252="","",SUMIFS('Per Line'!$Q$2:$Q$1501,'Per Line'!$B$2:$B$1501,$B252,'Per Line'!$AI$2:$AI$1501,1))</f>
        <v/>
      </c>
      <c r="M252">
        <f>IF($W252="","",Settings!$C$7)</f>
        <v/>
      </c>
      <c r="N252" s="7">
        <f>IF($W252="","",SUMIFS('Per Line'!$Q$2:$Q$1501,'Per Line'!$B$2:$B$1501,$B252,'Per Line'!$AH$2:$AH$1501,0,'Per Line'!$AI$2:$AI$1501,0))</f>
        <v/>
      </c>
      <c r="O252" s="7">
        <f>IF($W252="","",N252*M252)</f>
        <v/>
      </c>
      <c r="P252">
        <f>IF($W252="","",Settings!$C$6)</f>
        <v/>
      </c>
      <c r="Q252" s="7">
        <f>IF($W252="","",SUMIFS('Per Line'!$Q$2:$Q$1501,'Per Line'!$B$2:$B$1501,$B252,'Per Line'!$AH$2:$AH$1501,1,'Per Line'!$AI$2:$AI$1501,0))</f>
        <v/>
      </c>
      <c r="R252" s="7">
        <f>IF($W252="","",Q252*P252)</f>
        <v/>
      </c>
      <c r="S252" s="7">
        <f>IF($W252="","",R252+O252)</f>
        <v/>
      </c>
      <c r="T252" s="7">
        <f>IF($W252="","",U252-S252)</f>
        <v/>
      </c>
      <c r="U252" s="7">
        <f>IF($W252="","",N252+Q252+L252)</f>
        <v/>
      </c>
      <c r="V252" s="7">
        <f>IF($W252="","",U252-S252-J252)</f>
        <v/>
      </c>
      <c r="W252" s="13">
        <f>IF(ROWS($W$2:$W252)&lt;=MAX('Per Line'!$AG$2:$AG$1501),MATCH(ROWS($W$2:$W252),'Per Line'!$AG$2:$AG$1501,0),"")</f>
        <v/>
      </c>
    </row>
    <row r="253">
      <c r="A253" s="12" t="n"/>
      <c r="B253">
        <f>IF($W253="","",INDEX('Per Line'!$B$2:$B$1501,$W253)&amp;"")</f>
        <v/>
      </c>
      <c r="C253">
        <f>IF($W253="","",INDEX('Per Line'!$A$2:$A$1501,$W253))</f>
        <v/>
      </c>
      <c r="D253" s="11">
        <f>IF($W253="","",INDEX('Per Line'!$C$2:$C$1501,$W253))</f>
        <v/>
      </c>
      <c r="E253">
        <f>IF($W253="","",INDEX('Per Line'!$D$2:$D$1501,$W253)&amp;"")</f>
        <v/>
      </c>
      <c r="F253">
        <f>IF($W253="","",INDEX('Per Line'!$F$2:$F$1501,$W253)&amp;"")</f>
        <v/>
      </c>
      <c r="G253">
        <f>IF($W253="","",INDEX('Per Line'!$G$2:$G$1501,$W253)&amp;"")</f>
        <v/>
      </c>
      <c r="H253">
        <f>IF($W253="","",INDEX('Per Line'!$H$2:$H$1501,$W253)&amp;"")</f>
        <v/>
      </c>
      <c r="I253">
        <f>IF($W253="","",INDEX('Per Line'!$I$2:$I$1501,$W253))</f>
        <v/>
      </c>
      <c r="J253" s="7">
        <f>IF($W253="","",I253*U253/100)</f>
        <v/>
      </c>
      <c r="K253">
        <f>IF($W253="","",INDEX('Per Line'!$U$2:$U$1501,$W253)&amp;"")</f>
        <v/>
      </c>
      <c r="L253" s="7">
        <f>IF($W253="","",SUMIFS('Per Line'!$Q$2:$Q$1501,'Per Line'!$B$2:$B$1501,$B253,'Per Line'!$AI$2:$AI$1501,1))</f>
        <v/>
      </c>
      <c r="M253">
        <f>IF($W253="","",Settings!$C$7)</f>
        <v/>
      </c>
      <c r="N253" s="7">
        <f>IF($W253="","",SUMIFS('Per Line'!$Q$2:$Q$1501,'Per Line'!$B$2:$B$1501,$B253,'Per Line'!$AH$2:$AH$1501,0,'Per Line'!$AI$2:$AI$1501,0))</f>
        <v/>
      </c>
      <c r="O253" s="7">
        <f>IF($W253="","",N253*M253)</f>
        <v/>
      </c>
      <c r="P253">
        <f>IF($W253="","",Settings!$C$6)</f>
        <v/>
      </c>
      <c r="Q253" s="7">
        <f>IF($W253="","",SUMIFS('Per Line'!$Q$2:$Q$1501,'Per Line'!$B$2:$B$1501,$B253,'Per Line'!$AH$2:$AH$1501,1,'Per Line'!$AI$2:$AI$1501,0))</f>
        <v/>
      </c>
      <c r="R253" s="7">
        <f>IF($W253="","",Q253*P253)</f>
        <v/>
      </c>
      <c r="S253" s="7">
        <f>IF($W253="","",R253+O253)</f>
        <v/>
      </c>
      <c r="T253" s="7">
        <f>IF($W253="","",U253-S253)</f>
        <v/>
      </c>
      <c r="U253" s="7">
        <f>IF($W253="","",N253+Q253+L253)</f>
        <v/>
      </c>
      <c r="V253" s="7">
        <f>IF($W253="","",U253-S253-J253)</f>
        <v/>
      </c>
      <c r="W253" s="13">
        <f>IF(ROWS($W$2:$W253)&lt;=MAX('Per Line'!$AG$2:$AG$1501),MATCH(ROWS($W$2:$W253),'Per Line'!$AG$2:$AG$1501,0),"")</f>
        <v/>
      </c>
    </row>
    <row r="254">
      <c r="A254" s="12" t="n"/>
      <c r="B254">
        <f>IF($W254="","",INDEX('Per Line'!$B$2:$B$1501,$W254)&amp;"")</f>
        <v/>
      </c>
      <c r="C254">
        <f>IF($W254="","",INDEX('Per Line'!$A$2:$A$1501,$W254))</f>
        <v/>
      </c>
      <c r="D254" s="11">
        <f>IF($W254="","",INDEX('Per Line'!$C$2:$C$1501,$W254))</f>
        <v/>
      </c>
      <c r="E254">
        <f>IF($W254="","",INDEX('Per Line'!$D$2:$D$1501,$W254)&amp;"")</f>
        <v/>
      </c>
      <c r="F254">
        <f>IF($W254="","",INDEX('Per Line'!$F$2:$F$1501,$W254)&amp;"")</f>
        <v/>
      </c>
      <c r="G254">
        <f>IF($W254="","",INDEX('Per Line'!$G$2:$G$1501,$W254)&amp;"")</f>
        <v/>
      </c>
      <c r="H254">
        <f>IF($W254="","",INDEX('Per Line'!$H$2:$H$1501,$W254)&amp;"")</f>
        <v/>
      </c>
      <c r="I254">
        <f>IF($W254="","",INDEX('Per Line'!$I$2:$I$1501,$W254))</f>
        <v/>
      </c>
      <c r="J254" s="7">
        <f>IF($W254="","",I254*U254/100)</f>
        <v/>
      </c>
      <c r="K254">
        <f>IF($W254="","",INDEX('Per Line'!$U$2:$U$1501,$W254)&amp;"")</f>
        <v/>
      </c>
      <c r="L254" s="7">
        <f>IF($W254="","",SUMIFS('Per Line'!$Q$2:$Q$1501,'Per Line'!$B$2:$B$1501,$B254,'Per Line'!$AI$2:$AI$1501,1))</f>
        <v/>
      </c>
      <c r="M254">
        <f>IF($W254="","",Settings!$C$7)</f>
        <v/>
      </c>
      <c r="N254" s="7">
        <f>IF($W254="","",SUMIFS('Per Line'!$Q$2:$Q$1501,'Per Line'!$B$2:$B$1501,$B254,'Per Line'!$AH$2:$AH$1501,0,'Per Line'!$AI$2:$AI$1501,0))</f>
        <v/>
      </c>
      <c r="O254" s="7">
        <f>IF($W254="","",N254*M254)</f>
        <v/>
      </c>
      <c r="P254">
        <f>IF($W254="","",Settings!$C$6)</f>
        <v/>
      </c>
      <c r="Q254" s="7">
        <f>IF($W254="","",SUMIFS('Per Line'!$Q$2:$Q$1501,'Per Line'!$B$2:$B$1501,$B254,'Per Line'!$AH$2:$AH$1501,1,'Per Line'!$AI$2:$AI$1501,0))</f>
        <v/>
      </c>
      <c r="R254" s="7">
        <f>IF($W254="","",Q254*P254)</f>
        <v/>
      </c>
      <c r="S254" s="7">
        <f>IF($W254="","",R254+O254)</f>
        <v/>
      </c>
      <c r="T254" s="7">
        <f>IF($W254="","",U254-S254)</f>
        <v/>
      </c>
      <c r="U254" s="7">
        <f>IF($W254="","",N254+Q254+L254)</f>
        <v/>
      </c>
      <c r="V254" s="7">
        <f>IF($W254="","",U254-S254-J254)</f>
        <v/>
      </c>
      <c r="W254" s="13">
        <f>IF(ROWS($W$2:$W254)&lt;=MAX('Per Line'!$AG$2:$AG$1501),MATCH(ROWS($W$2:$W254),'Per Line'!$AG$2:$AG$1501,0),"")</f>
        <v/>
      </c>
    </row>
    <row r="255">
      <c r="A255" s="12" t="n"/>
      <c r="B255">
        <f>IF($W255="","",INDEX('Per Line'!$B$2:$B$1501,$W255)&amp;"")</f>
        <v/>
      </c>
      <c r="C255">
        <f>IF($W255="","",INDEX('Per Line'!$A$2:$A$1501,$W255))</f>
        <v/>
      </c>
      <c r="D255" s="11">
        <f>IF($W255="","",INDEX('Per Line'!$C$2:$C$1501,$W255))</f>
        <v/>
      </c>
      <c r="E255">
        <f>IF($W255="","",INDEX('Per Line'!$D$2:$D$1501,$W255)&amp;"")</f>
        <v/>
      </c>
      <c r="F255">
        <f>IF($W255="","",INDEX('Per Line'!$F$2:$F$1501,$W255)&amp;"")</f>
        <v/>
      </c>
      <c r="G255">
        <f>IF($W255="","",INDEX('Per Line'!$G$2:$G$1501,$W255)&amp;"")</f>
        <v/>
      </c>
      <c r="H255">
        <f>IF($W255="","",INDEX('Per Line'!$H$2:$H$1501,$W255)&amp;"")</f>
        <v/>
      </c>
      <c r="I255">
        <f>IF($W255="","",INDEX('Per Line'!$I$2:$I$1501,$W255))</f>
        <v/>
      </c>
      <c r="J255" s="7">
        <f>IF($W255="","",I255*U255/100)</f>
        <v/>
      </c>
      <c r="K255">
        <f>IF($W255="","",INDEX('Per Line'!$U$2:$U$1501,$W255)&amp;"")</f>
        <v/>
      </c>
      <c r="L255" s="7">
        <f>IF($W255="","",SUMIFS('Per Line'!$Q$2:$Q$1501,'Per Line'!$B$2:$B$1501,$B255,'Per Line'!$AI$2:$AI$1501,1))</f>
        <v/>
      </c>
      <c r="M255">
        <f>IF($W255="","",Settings!$C$7)</f>
        <v/>
      </c>
      <c r="N255" s="7">
        <f>IF($W255="","",SUMIFS('Per Line'!$Q$2:$Q$1501,'Per Line'!$B$2:$B$1501,$B255,'Per Line'!$AH$2:$AH$1501,0,'Per Line'!$AI$2:$AI$1501,0))</f>
        <v/>
      </c>
      <c r="O255" s="7">
        <f>IF($W255="","",N255*M255)</f>
        <v/>
      </c>
      <c r="P255">
        <f>IF($W255="","",Settings!$C$6)</f>
        <v/>
      </c>
      <c r="Q255" s="7">
        <f>IF($W255="","",SUMIFS('Per Line'!$Q$2:$Q$1501,'Per Line'!$B$2:$B$1501,$B255,'Per Line'!$AH$2:$AH$1501,1,'Per Line'!$AI$2:$AI$1501,0))</f>
        <v/>
      </c>
      <c r="R255" s="7">
        <f>IF($W255="","",Q255*P255)</f>
        <v/>
      </c>
      <c r="S255" s="7">
        <f>IF($W255="","",R255+O255)</f>
        <v/>
      </c>
      <c r="T255" s="7">
        <f>IF($W255="","",U255-S255)</f>
        <v/>
      </c>
      <c r="U255" s="7">
        <f>IF($W255="","",N255+Q255+L255)</f>
        <v/>
      </c>
      <c r="V255" s="7">
        <f>IF($W255="","",U255-S255-J255)</f>
        <v/>
      </c>
      <c r="W255" s="13">
        <f>IF(ROWS($W$2:$W255)&lt;=MAX('Per Line'!$AG$2:$AG$1501),MATCH(ROWS($W$2:$W255),'Per Line'!$AG$2:$AG$1501,0),"")</f>
        <v/>
      </c>
    </row>
    <row r="256">
      <c r="A256" s="12" t="n"/>
      <c r="B256">
        <f>IF($W256="","",INDEX('Per Line'!$B$2:$B$1501,$W256)&amp;"")</f>
        <v/>
      </c>
      <c r="C256">
        <f>IF($W256="","",INDEX('Per Line'!$A$2:$A$1501,$W256))</f>
        <v/>
      </c>
      <c r="D256" s="11">
        <f>IF($W256="","",INDEX('Per Line'!$C$2:$C$1501,$W256))</f>
        <v/>
      </c>
      <c r="E256">
        <f>IF($W256="","",INDEX('Per Line'!$D$2:$D$1501,$W256)&amp;"")</f>
        <v/>
      </c>
      <c r="F256">
        <f>IF($W256="","",INDEX('Per Line'!$F$2:$F$1501,$W256)&amp;"")</f>
        <v/>
      </c>
      <c r="G256">
        <f>IF($W256="","",INDEX('Per Line'!$G$2:$G$1501,$W256)&amp;"")</f>
        <v/>
      </c>
      <c r="H256">
        <f>IF($W256="","",INDEX('Per Line'!$H$2:$H$1501,$W256)&amp;"")</f>
        <v/>
      </c>
      <c r="I256">
        <f>IF($W256="","",INDEX('Per Line'!$I$2:$I$1501,$W256))</f>
        <v/>
      </c>
      <c r="J256" s="7">
        <f>IF($W256="","",I256*U256/100)</f>
        <v/>
      </c>
      <c r="K256">
        <f>IF($W256="","",INDEX('Per Line'!$U$2:$U$1501,$W256)&amp;"")</f>
        <v/>
      </c>
      <c r="L256" s="7">
        <f>IF($W256="","",SUMIFS('Per Line'!$Q$2:$Q$1501,'Per Line'!$B$2:$B$1501,$B256,'Per Line'!$AI$2:$AI$1501,1))</f>
        <v/>
      </c>
      <c r="M256">
        <f>IF($W256="","",Settings!$C$7)</f>
        <v/>
      </c>
      <c r="N256" s="7">
        <f>IF($W256="","",SUMIFS('Per Line'!$Q$2:$Q$1501,'Per Line'!$B$2:$B$1501,$B256,'Per Line'!$AH$2:$AH$1501,0,'Per Line'!$AI$2:$AI$1501,0))</f>
        <v/>
      </c>
      <c r="O256" s="7">
        <f>IF($W256="","",N256*M256)</f>
        <v/>
      </c>
      <c r="P256">
        <f>IF($W256="","",Settings!$C$6)</f>
        <v/>
      </c>
      <c r="Q256" s="7">
        <f>IF($W256="","",SUMIFS('Per Line'!$Q$2:$Q$1501,'Per Line'!$B$2:$B$1501,$B256,'Per Line'!$AH$2:$AH$1501,1,'Per Line'!$AI$2:$AI$1501,0))</f>
        <v/>
      </c>
      <c r="R256" s="7">
        <f>IF($W256="","",Q256*P256)</f>
        <v/>
      </c>
      <c r="S256" s="7">
        <f>IF($W256="","",R256+O256)</f>
        <v/>
      </c>
      <c r="T256" s="7">
        <f>IF($W256="","",U256-S256)</f>
        <v/>
      </c>
      <c r="U256" s="7">
        <f>IF($W256="","",N256+Q256+L256)</f>
        <v/>
      </c>
      <c r="V256" s="7">
        <f>IF($W256="","",U256-S256-J256)</f>
        <v/>
      </c>
      <c r="W256" s="13">
        <f>IF(ROWS($W$2:$W256)&lt;=MAX('Per Line'!$AG$2:$AG$1501),MATCH(ROWS($W$2:$W256),'Per Line'!$AG$2:$AG$1501,0),"")</f>
        <v/>
      </c>
    </row>
    <row r="257">
      <c r="A257" s="12" t="n"/>
      <c r="B257">
        <f>IF($W257="","",INDEX('Per Line'!$B$2:$B$1501,$W257)&amp;"")</f>
        <v/>
      </c>
      <c r="C257">
        <f>IF($W257="","",INDEX('Per Line'!$A$2:$A$1501,$W257))</f>
        <v/>
      </c>
      <c r="D257" s="11">
        <f>IF($W257="","",INDEX('Per Line'!$C$2:$C$1501,$W257))</f>
        <v/>
      </c>
      <c r="E257">
        <f>IF($W257="","",INDEX('Per Line'!$D$2:$D$1501,$W257)&amp;"")</f>
        <v/>
      </c>
      <c r="F257">
        <f>IF($W257="","",INDEX('Per Line'!$F$2:$F$1501,$W257)&amp;"")</f>
        <v/>
      </c>
      <c r="G257">
        <f>IF($W257="","",INDEX('Per Line'!$G$2:$G$1501,$W257)&amp;"")</f>
        <v/>
      </c>
      <c r="H257">
        <f>IF($W257="","",INDEX('Per Line'!$H$2:$H$1501,$W257)&amp;"")</f>
        <v/>
      </c>
      <c r="I257">
        <f>IF($W257="","",INDEX('Per Line'!$I$2:$I$1501,$W257))</f>
        <v/>
      </c>
      <c r="J257" s="7">
        <f>IF($W257="","",I257*U257/100)</f>
        <v/>
      </c>
      <c r="K257">
        <f>IF($W257="","",INDEX('Per Line'!$U$2:$U$1501,$W257)&amp;"")</f>
        <v/>
      </c>
      <c r="L257" s="7">
        <f>IF($W257="","",SUMIFS('Per Line'!$Q$2:$Q$1501,'Per Line'!$B$2:$B$1501,$B257,'Per Line'!$AI$2:$AI$1501,1))</f>
        <v/>
      </c>
      <c r="M257">
        <f>IF($W257="","",Settings!$C$7)</f>
        <v/>
      </c>
      <c r="N257" s="7">
        <f>IF($W257="","",SUMIFS('Per Line'!$Q$2:$Q$1501,'Per Line'!$B$2:$B$1501,$B257,'Per Line'!$AH$2:$AH$1501,0,'Per Line'!$AI$2:$AI$1501,0))</f>
        <v/>
      </c>
      <c r="O257" s="7">
        <f>IF($W257="","",N257*M257)</f>
        <v/>
      </c>
      <c r="P257">
        <f>IF($W257="","",Settings!$C$6)</f>
        <v/>
      </c>
      <c r="Q257" s="7">
        <f>IF($W257="","",SUMIFS('Per Line'!$Q$2:$Q$1501,'Per Line'!$B$2:$B$1501,$B257,'Per Line'!$AH$2:$AH$1501,1,'Per Line'!$AI$2:$AI$1501,0))</f>
        <v/>
      </c>
      <c r="R257" s="7">
        <f>IF($W257="","",Q257*P257)</f>
        <v/>
      </c>
      <c r="S257" s="7">
        <f>IF($W257="","",R257+O257)</f>
        <v/>
      </c>
      <c r="T257" s="7">
        <f>IF($W257="","",U257-S257)</f>
        <v/>
      </c>
      <c r="U257" s="7">
        <f>IF($W257="","",N257+Q257+L257)</f>
        <v/>
      </c>
      <c r="V257" s="7">
        <f>IF($W257="","",U257-S257-J257)</f>
        <v/>
      </c>
      <c r="W257" s="13">
        <f>IF(ROWS($W$2:$W257)&lt;=MAX('Per Line'!$AG$2:$AG$1501),MATCH(ROWS($W$2:$W257),'Per Line'!$AG$2:$AG$1501,0),"")</f>
        <v/>
      </c>
    </row>
    <row r="258">
      <c r="A258" s="12" t="n"/>
      <c r="B258">
        <f>IF($W258="","",INDEX('Per Line'!$B$2:$B$1501,$W258)&amp;"")</f>
        <v/>
      </c>
      <c r="C258">
        <f>IF($W258="","",INDEX('Per Line'!$A$2:$A$1501,$W258))</f>
        <v/>
      </c>
      <c r="D258" s="11">
        <f>IF($W258="","",INDEX('Per Line'!$C$2:$C$1501,$W258))</f>
        <v/>
      </c>
      <c r="E258">
        <f>IF($W258="","",INDEX('Per Line'!$D$2:$D$1501,$W258)&amp;"")</f>
        <v/>
      </c>
      <c r="F258">
        <f>IF($W258="","",INDEX('Per Line'!$F$2:$F$1501,$W258)&amp;"")</f>
        <v/>
      </c>
      <c r="G258">
        <f>IF($W258="","",INDEX('Per Line'!$G$2:$G$1501,$W258)&amp;"")</f>
        <v/>
      </c>
      <c r="H258">
        <f>IF($W258="","",INDEX('Per Line'!$H$2:$H$1501,$W258)&amp;"")</f>
        <v/>
      </c>
      <c r="I258">
        <f>IF($W258="","",INDEX('Per Line'!$I$2:$I$1501,$W258))</f>
        <v/>
      </c>
      <c r="J258" s="7">
        <f>IF($W258="","",I258*U258/100)</f>
        <v/>
      </c>
      <c r="K258">
        <f>IF($W258="","",INDEX('Per Line'!$U$2:$U$1501,$W258)&amp;"")</f>
        <v/>
      </c>
      <c r="L258" s="7">
        <f>IF($W258="","",SUMIFS('Per Line'!$Q$2:$Q$1501,'Per Line'!$B$2:$B$1501,$B258,'Per Line'!$AI$2:$AI$1501,1))</f>
        <v/>
      </c>
      <c r="M258">
        <f>IF($W258="","",Settings!$C$7)</f>
        <v/>
      </c>
      <c r="N258" s="7">
        <f>IF($W258="","",SUMIFS('Per Line'!$Q$2:$Q$1501,'Per Line'!$B$2:$B$1501,$B258,'Per Line'!$AH$2:$AH$1501,0,'Per Line'!$AI$2:$AI$1501,0))</f>
        <v/>
      </c>
      <c r="O258" s="7">
        <f>IF($W258="","",N258*M258)</f>
        <v/>
      </c>
      <c r="P258">
        <f>IF($W258="","",Settings!$C$6)</f>
        <v/>
      </c>
      <c r="Q258" s="7">
        <f>IF($W258="","",SUMIFS('Per Line'!$Q$2:$Q$1501,'Per Line'!$B$2:$B$1501,$B258,'Per Line'!$AH$2:$AH$1501,1,'Per Line'!$AI$2:$AI$1501,0))</f>
        <v/>
      </c>
      <c r="R258" s="7">
        <f>IF($W258="","",Q258*P258)</f>
        <v/>
      </c>
      <c r="S258" s="7">
        <f>IF($W258="","",R258+O258)</f>
        <v/>
      </c>
      <c r="T258" s="7">
        <f>IF($W258="","",U258-S258)</f>
        <v/>
      </c>
      <c r="U258" s="7">
        <f>IF($W258="","",N258+Q258+L258)</f>
        <v/>
      </c>
      <c r="V258" s="7">
        <f>IF($W258="","",U258-S258-J258)</f>
        <v/>
      </c>
      <c r="W258" s="13">
        <f>IF(ROWS($W$2:$W258)&lt;=MAX('Per Line'!$AG$2:$AG$1501),MATCH(ROWS($W$2:$W258),'Per Line'!$AG$2:$AG$1501,0),"")</f>
        <v/>
      </c>
    </row>
    <row r="259">
      <c r="A259" s="12" t="n"/>
      <c r="B259">
        <f>IF($W259="","",INDEX('Per Line'!$B$2:$B$1501,$W259)&amp;"")</f>
        <v/>
      </c>
      <c r="C259">
        <f>IF($W259="","",INDEX('Per Line'!$A$2:$A$1501,$W259))</f>
        <v/>
      </c>
      <c r="D259" s="11">
        <f>IF($W259="","",INDEX('Per Line'!$C$2:$C$1501,$W259))</f>
        <v/>
      </c>
      <c r="E259">
        <f>IF($W259="","",INDEX('Per Line'!$D$2:$D$1501,$W259)&amp;"")</f>
        <v/>
      </c>
      <c r="F259">
        <f>IF($W259="","",INDEX('Per Line'!$F$2:$F$1501,$W259)&amp;"")</f>
        <v/>
      </c>
      <c r="G259">
        <f>IF($W259="","",INDEX('Per Line'!$G$2:$G$1501,$W259)&amp;"")</f>
        <v/>
      </c>
      <c r="H259">
        <f>IF($W259="","",INDEX('Per Line'!$H$2:$H$1501,$W259)&amp;"")</f>
        <v/>
      </c>
      <c r="I259">
        <f>IF($W259="","",INDEX('Per Line'!$I$2:$I$1501,$W259))</f>
        <v/>
      </c>
      <c r="J259" s="7">
        <f>IF($W259="","",I259*U259/100)</f>
        <v/>
      </c>
      <c r="K259">
        <f>IF($W259="","",INDEX('Per Line'!$U$2:$U$1501,$W259)&amp;"")</f>
        <v/>
      </c>
      <c r="L259" s="7">
        <f>IF($W259="","",SUMIFS('Per Line'!$Q$2:$Q$1501,'Per Line'!$B$2:$B$1501,$B259,'Per Line'!$AI$2:$AI$1501,1))</f>
        <v/>
      </c>
      <c r="M259">
        <f>IF($W259="","",Settings!$C$7)</f>
        <v/>
      </c>
      <c r="N259" s="7">
        <f>IF($W259="","",SUMIFS('Per Line'!$Q$2:$Q$1501,'Per Line'!$B$2:$B$1501,$B259,'Per Line'!$AH$2:$AH$1501,0,'Per Line'!$AI$2:$AI$1501,0))</f>
        <v/>
      </c>
      <c r="O259" s="7">
        <f>IF($W259="","",N259*M259)</f>
        <v/>
      </c>
      <c r="P259">
        <f>IF($W259="","",Settings!$C$6)</f>
        <v/>
      </c>
      <c r="Q259" s="7">
        <f>IF($W259="","",SUMIFS('Per Line'!$Q$2:$Q$1501,'Per Line'!$B$2:$B$1501,$B259,'Per Line'!$AH$2:$AH$1501,1,'Per Line'!$AI$2:$AI$1501,0))</f>
        <v/>
      </c>
      <c r="R259" s="7">
        <f>IF($W259="","",Q259*P259)</f>
        <v/>
      </c>
      <c r="S259" s="7">
        <f>IF($W259="","",R259+O259)</f>
        <v/>
      </c>
      <c r="T259" s="7">
        <f>IF($W259="","",U259-S259)</f>
        <v/>
      </c>
      <c r="U259" s="7">
        <f>IF($W259="","",N259+Q259+L259)</f>
        <v/>
      </c>
      <c r="V259" s="7">
        <f>IF($W259="","",U259-S259-J259)</f>
        <v/>
      </c>
      <c r="W259" s="13">
        <f>IF(ROWS($W$2:$W259)&lt;=MAX('Per Line'!$AG$2:$AG$1501),MATCH(ROWS($W$2:$W259),'Per Line'!$AG$2:$AG$1501,0),"")</f>
        <v/>
      </c>
    </row>
    <row r="260">
      <c r="A260" s="12" t="n"/>
      <c r="B260">
        <f>IF($W260="","",INDEX('Per Line'!$B$2:$B$1501,$W260)&amp;"")</f>
        <v/>
      </c>
      <c r="C260">
        <f>IF($W260="","",INDEX('Per Line'!$A$2:$A$1501,$W260))</f>
        <v/>
      </c>
      <c r="D260" s="11">
        <f>IF($W260="","",INDEX('Per Line'!$C$2:$C$1501,$W260))</f>
        <v/>
      </c>
      <c r="E260">
        <f>IF($W260="","",INDEX('Per Line'!$D$2:$D$1501,$W260)&amp;"")</f>
        <v/>
      </c>
      <c r="F260">
        <f>IF($W260="","",INDEX('Per Line'!$F$2:$F$1501,$W260)&amp;"")</f>
        <v/>
      </c>
      <c r="G260">
        <f>IF($W260="","",INDEX('Per Line'!$G$2:$G$1501,$W260)&amp;"")</f>
        <v/>
      </c>
      <c r="H260">
        <f>IF($W260="","",INDEX('Per Line'!$H$2:$H$1501,$W260)&amp;"")</f>
        <v/>
      </c>
      <c r="I260">
        <f>IF($W260="","",INDEX('Per Line'!$I$2:$I$1501,$W260))</f>
        <v/>
      </c>
      <c r="J260" s="7">
        <f>IF($W260="","",I260*U260/100)</f>
        <v/>
      </c>
      <c r="K260">
        <f>IF($W260="","",INDEX('Per Line'!$U$2:$U$1501,$W260)&amp;"")</f>
        <v/>
      </c>
      <c r="L260" s="7">
        <f>IF($W260="","",SUMIFS('Per Line'!$Q$2:$Q$1501,'Per Line'!$B$2:$B$1501,$B260,'Per Line'!$AI$2:$AI$1501,1))</f>
        <v/>
      </c>
      <c r="M260">
        <f>IF($W260="","",Settings!$C$7)</f>
        <v/>
      </c>
      <c r="N260" s="7">
        <f>IF($W260="","",SUMIFS('Per Line'!$Q$2:$Q$1501,'Per Line'!$B$2:$B$1501,$B260,'Per Line'!$AH$2:$AH$1501,0,'Per Line'!$AI$2:$AI$1501,0))</f>
        <v/>
      </c>
      <c r="O260" s="7">
        <f>IF($W260="","",N260*M260)</f>
        <v/>
      </c>
      <c r="P260">
        <f>IF($W260="","",Settings!$C$6)</f>
        <v/>
      </c>
      <c r="Q260" s="7">
        <f>IF($W260="","",SUMIFS('Per Line'!$Q$2:$Q$1501,'Per Line'!$B$2:$B$1501,$B260,'Per Line'!$AH$2:$AH$1501,1,'Per Line'!$AI$2:$AI$1501,0))</f>
        <v/>
      </c>
      <c r="R260" s="7">
        <f>IF($W260="","",Q260*P260)</f>
        <v/>
      </c>
      <c r="S260" s="7">
        <f>IF($W260="","",R260+O260)</f>
        <v/>
      </c>
      <c r="T260" s="7">
        <f>IF($W260="","",U260-S260)</f>
        <v/>
      </c>
      <c r="U260" s="7">
        <f>IF($W260="","",N260+Q260+L260)</f>
        <v/>
      </c>
      <c r="V260" s="7">
        <f>IF($W260="","",U260-S260-J260)</f>
        <v/>
      </c>
      <c r="W260" s="13">
        <f>IF(ROWS($W$2:$W260)&lt;=MAX('Per Line'!$AG$2:$AG$1501),MATCH(ROWS($W$2:$W260),'Per Line'!$AG$2:$AG$1501,0),"")</f>
        <v/>
      </c>
    </row>
    <row r="261">
      <c r="A261" s="12" t="n"/>
      <c r="B261">
        <f>IF($W261="","",INDEX('Per Line'!$B$2:$B$1501,$W261)&amp;"")</f>
        <v/>
      </c>
      <c r="C261">
        <f>IF($W261="","",INDEX('Per Line'!$A$2:$A$1501,$W261))</f>
        <v/>
      </c>
      <c r="D261" s="11">
        <f>IF($W261="","",INDEX('Per Line'!$C$2:$C$1501,$W261))</f>
        <v/>
      </c>
      <c r="E261">
        <f>IF($W261="","",INDEX('Per Line'!$D$2:$D$1501,$W261)&amp;"")</f>
        <v/>
      </c>
      <c r="F261">
        <f>IF($W261="","",INDEX('Per Line'!$F$2:$F$1501,$W261)&amp;"")</f>
        <v/>
      </c>
      <c r="G261">
        <f>IF($W261="","",INDEX('Per Line'!$G$2:$G$1501,$W261)&amp;"")</f>
        <v/>
      </c>
      <c r="H261">
        <f>IF($W261="","",INDEX('Per Line'!$H$2:$H$1501,$W261)&amp;"")</f>
        <v/>
      </c>
      <c r="I261">
        <f>IF($W261="","",INDEX('Per Line'!$I$2:$I$1501,$W261))</f>
        <v/>
      </c>
      <c r="J261" s="7">
        <f>IF($W261="","",I261*U261/100)</f>
        <v/>
      </c>
      <c r="K261">
        <f>IF($W261="","",INDEX('Per Line'!$U$2:$U$1501,$W261)&amp;"")</f>
        <v/>
      </c>
      <c r="L261" s="7">
        <f>IF($W261="","",SUMIFS('Per Line'!$Q$2:$Q$1501,'Per Line'!$B$2:$B$1501,$B261,'Per Line'!$AI$2:$AI$1501,1))</f>
        <v/>
      </c>
      <c r="M261">
        <f>IF($W261="","",Settings!$C$7)</f>
        <v/>
      </c>
      <c r="N261" s="7">
        <f>IF($W261="","",SUMIFS('Per Line'!$Q$2:$Q$1501,'Per Line'!$B$2:$B$1501,$B261,'Per Line'!$AH$2:$AH$1501,0,'Per Line'!$AI$2:$AI$1501,0))</f>
        <v/>
      </c>
      <c r="O261" s="7">
        <f>IF($W261="","",N261*M261)</f>
        <v/>
      </c>
      <c r="P261">
        <f>IF($W261="","",Settings!$C$6)</f>
        <v/>
      </c>
      <c r="Q261" s="7">
        <f>IF($W261="","",SUMIFS('Per Line'!$Q$2:$Q$1501,'Per Line'!$B$2:$B$1501,$B261,'Per Line'!$AH$2:$AH$1501,1,'Per Line'!$AI$2:$AI$1501,0))</f>
        <v/>
      </c>
      <c r="R261" s="7">
        <f>IF($W261="","",Q261*P261)</f>
        <v/>
      </c>
      <c r="S261" s="7">
        <f>IF($W261="","",R261+O261)</f>
        <v/>
      </c>
      <c r="T261" s="7">
        <f>IF($W261="","",U261-S261)</f>
        <v/>
      </c>
      <c r="U261" s="7">
        <f>IF($W261="","",N261+Q261+L261)</f>
        <v/>
      </c>
      <c r="V261" s="7">
        <f>IF($W261="","",U261-S261-J261)</f>
        <v/>
      </c>
      <c r="W261" s="13">
        <f>IF(ROWS($W$2:$W261)&lt;=MAX('Per Line'!$AG$2:$AG$1501),MATCH(ROWS($W$2:$W261),'Per Line'!$AG$2:$AG$1501,0),"")</f>
        <v/>
      </c>
    </row>
    <row r="262">
      <c r="A262" s="12" t="n"/>
      <c r="B262">
        <f>IF($W262="","",INDEX('Per Line'!$B$2:$B$1501,$W262)&amp;"")</f>
        <v/>
      </c>
      <c r="C262">
        <f>IF($W262="","",INDEX('Per Line'!$A$2:$A$1501,$W262))</f>
        <v/>
      </c>
      <c r="D262" s="11">
        <f>IF($W262="","",INDEX('Per Line'!$C$2:$C$1501,$W262))</f>
        <v/>
      </c>
      <c r="E262">
        <f>IF($W262="","",INDEX('Per Line'!$D$2:$D$1501,$W262)&amp;"")</f>
        <v/>
      </c>
      <c r="F262">
        <f>IF($W262="","",INDEX('Per Line'!$F$2:$F$1501,$W262)&amp;"")</f>
        <v/>
      </c>
      <c r="G262">
        <f>IF($W262="","",INDEX('Per Line'!$G$2:$G$1501,$W262)&amp;"")</f>
        <v/>
      </c>
      <c r="H262">
        <f>IF($W262="","",INDEX('Per Line'!$H$2:$H$1501,$W262)&amp;"")</f>
        <v/>
      </c>
      <c r="I262">
        <f>IF($W262="","",INDEX('Per Line'!$I$2:$I$1501,$W262))</f>
        <v/>
      </c>
      <c r="J262" s="7">
        <f>IF($W262="","",I262*U262/100)</f>
        <v/>
      </c>
      <c r="K262">
        <f>IF($W262="","",INDEX('Per Line'!$U$2:$U$1501,$W262)&amp;"")</f>
        <v/>
      </c>
      <c r="L262" s="7">
        <f>IF($W262="","",SUMIFS('Per Line'!$Q$2:$Q$1501,'Per Line'!$B$2:$B$1501,$B262,'Per Line'!$AI$2:$AI$1501,1))</f>
        <v/>
      </c>
      <c r="M262">
        <f>IF($W262="","",Settings!$C$7)</f>
        <v/>
      </c>
      <c r="N262" s="7">
        <f>IF($W262="","",SUMIFS('Per Line'!$Q$2:$Q$1501,'Per Line'!$B$2:$B$1501,$B262,'Per Line'!$AH$2:$AH$1501,0,'Per Line'!$AI$2:$AI$1501,0))</f>
        <v/>
      </c>
      <c r="O262" s="7">
        <f>IF($W262="","",N262*M262)</f>
        <v/>
      </c>
      <c r="P262">
        <f>IF($W262="","",Settings!$C$6)</f>
        <v/>
      </c>
      <c r="Q262" s="7">
        <f>IF($W262="","",SUMIFS('Per Line'!$Q$2:$Q$1501,'Per Line'!$B$2:$B$1501,$B262,'Per Line'!$AH$2:$AH$1501,1,'Per Line'!$AI$2:$AI$1501,0))</f>
        <v/>
      </c>
      <c r="R262" s="7">
        <f>IF($W262="","",Q262*P262)</f>
        <v/>
      </c>
      <c r="S262" s="7">
        <f>IF($W262="","",R262+O262)</f>
        <v/>
      </c>
      <c r="T262" s="7">
        <f>IF($W262="","",U262-S262)</f>
        <v/>
      </c>
      <c r="U262" s="7">
        <f>IF($W262="","",N262+Q262+L262)</f>
        <v/>
      </c>
      <c r="V262" s="7">
        <f>IF($W262="","",U262-S262-J262)</f>
        <v/>
      </c>
      <c r="W262" s="13">
        <f>IF(ROWS($W$2:$W262)&lt;=MAX('Per Line'!$AG$2:$AG$1501),MATCH(ROWS($W$2:$W262),'Per Line'!$AG$2:$AG$1501,0),"")</f>
        <v/>
      </c>
    </row>
    <row r="263">
      <c r="A263" s="12" t="n"/>
      <c r="B263">
        <f>IF($W263="","",INDEX('Per Line'!$B$2:$B$1501,$W263)&amp;"")</f>
        <v/>
      </c>
      <c r="C263">
        <f>IF($W263="","",INDEX('Per Line'!$A$2:$A$1501,$W263))</f>
        <v/>
      </c>
      <c r="D263" s="11">
        <f>IF($W263="","",INDEX('Per Line'!$C$2:$C$1501,$W263))</f>
        <v/>
      </c>
      <c r="E263">
        <f>IF($W263="","",INDEX('Per Line'!$D$2:$D$1501,$W263)&amp;"")</f>
        <v/>
      </c>
      <c r="F263">
        <f>IF($W263="","",INDEX('Per Line'!$F$2:$F$1501,$W263)&amp;"")</f>
        <v/>
      </c>
      <c r="G263">
        <f>IF($W263="","",INDEX('Per Line'!$G$2:$G$1501,$W263)&amp;"")</f>
        <v/>
      </c>
      <c r="H263">
        <f>IF($W263="","",INDEX('Per Line'!$H$2:$H$1501,$W263)&amp;"")</f>
        <v/>
      </c>
      <c r="I263">
        <f>IF($W263="","",INDEX('Per Line'!$I$2:$I$1501,$W263))</f>
        <v/>
      </c>
      <c r="J263" s="7">
        <f>IF($W263="","",I263*U263/100)</f>
        <v/>
      </c>
      <c r="K263">
        <f>IF($W263="","",INDEX('Per Line'!$U$2:$U$1501,$W263)&amp;"")</f>
        <v/>
      </c>
      <c r="L263" s="7">
        <f>IF($W263="","",SUMIFS('Per Line'!$Q$2:$Q$1501,'Per Line'!$B$2:$B$1501,$B263,'Per Line'!$AI$2:$AI$1501,1))</f>
        <v/>
      </c>
      <c r="M263">
        <f>IF($W263="","",Settings!$C$7)</f>
        <v/>
      </c>
      <c r="N263" s="7">
        <f>IF($W263="","",SUMIFS('Per Line'!$Q$2:$Q$1501,'Per Line'!$B$2:$B$1501,$B263,'Per Line'!$AH$2:$AH$1501,0,'Per Line'!$AI$2:$AI$1501,0))</f>
        <v/>
      </c>
      <c r="O263" s="7">
        <f>IF($W263="","",N263*M263)</f>
        <v/>
      </c>
      <c r="P263">
        <f>IF($W263="","",Settings!$C$6)</f>
        <v/>
      </c>
      <c r="Q263" s="7">
        <f>IF($W263="","",SUMIFS('Per Line'!$Q$2:$Q$1501,'Per Line'!$B$2:$B$1501,$B263,'Per Line'!$AH$2:$AH$1501,1,'Per Line'!$AI$2:$AI$1501,0))</f>
        <v/>
      </c>
      <c r="R263" s="7">
        <f>IF($W263="","",Q263*P263)</f>
        <v/>
      </c>
      <c r="S263" s="7">
        <f>IF($W263="","",R263+O263)</f>
        <v/>
      </c>
      <c r="T263" s="7">
        <f>IF($W263="","",U263-S263)</f>
        <v/>
      </c>
      <c r="U263" s="7">
        <f>IF($W263="","",N263+Q263+L263)</f>
        <v/>
      </c>
      <c r="V263" s="7">
        <f>IF($W263="","",U263-S263-J263)</f>
        <v/>
      </c>
      <c r="W263" s="13">
        <f>IF(ROWS($W$2:$W263)&lt;=MAX('Per Line'!$AG$2:$AG$1501),MATCH(ROWS($W$2:$W263),'Per Line'!$AG$2:$AG$1501,0),"")</f>
        <v/>
      </c>
    </row>
    <row r="264">
      <c r="A264" s="12" t="n"/>
      <c r="B264">
        <f>IF($W264="","",INDEX('Per Line'!$B$2:$B$1501,$W264)&amp;"")</f>
        <v/>
      </c>
      <c r="C264">
        <f>IF($W264="","",INDEX('Per Line'!$A$2:$A$1501,$W264))</f>
        <v/>
      </c>
      <c r="D264" s="11">
        <f>IF($W264="","",INDEX('Per Line'!$C$2:$C$1501,$W264))</f>
        <v/>
      </c>
      <c r="E264">
        <f>IF($W264="","",INDEX('Per Line'!$D$2:$D$1501,$W264)&amp;"")</f>
        <v/>
      </c>
      <c r="F264">
        <f>IF($W264="","",INDEX('Per Line'!$F$2:$F$1501,$W264)&amp;"")</f>
        <v/>
      </c>
      <c r="G264">
        <f>IF($W264="","",INDEX('Per Line'!$G$2:$G$1501,$W264)&amp;"")</f>
        <v/>
      </c>
      <c r="H264">
        <f>IF($W264="","",INDEX('Per Line'!$H$2:$H$1501,$W264)&amp;"")</f>
        <v/>
      </c>
      <c r="I264">
        <f>IF($W264="","",INDEX('Per Line'!$I$2:$I$1501,$W264))</f>
        <v/>
      </c>
      <c r="J264" s="7">
        <f>IF($W264="","",I264*U264/100)</f>
        <v/>
      </c>
      <c r="K264">
        <f>IF($W264="","",INDEX('Per Line'!$U$2:$U$1501,$W264)&amp;"")</f>
        <v/>
      </c>
      <c r="L264" s="7">
        <f>IF($W264="","",SUMIFS('Per Line'!$Q$2:$Q$1501,'Per Line'!$B$2:$B$1501,$B264,'Per Line'!$AI$2:$AI$1501,1))</f>
        <v/>
      </c>
      <c r="M264">
        <f>IF($W264="","",Settings!$C$7)</f>
        <v/>
      </c>
      <c r="N264" s="7">
        <f>IF($W264="","",SUMIFS('Per Line'!$Q$2:$Q$1501,'Per Line'!$B$2:$B$1501,$B264,'Per Line'!$AH$2:$AH$1501,0,'Per Line'!$AI$2:$AI$1501,0))</f>
        <v/>
      </c>
      <c r="O264" s="7">
        <f>IF($W264="","",N264*M264)</f>
        <v/>
      </c>
      <c r="P264">
        <f>IF($W264="","",Settings!$C$6)</f>
        <v/>
      </c>
      <c r="Q264" s="7">
        <f>IF($W264="","",SUMIFS('Per Line'!$Q$2:$Q$1501,'Per Line'!$B$2:$B$1501,$B264,'Per Line'!$AH$2:$AH$1501,1,'Per Line'!$AI$2:$AI$1501,0))</f>
        <v/>
      </c>
      <c r="R264" s="7">
        <f>IF($W264="","",Q264*P264)</f>
        <v/>
      </c>
      <c r="S264" s="7">
        <f>IF($W264="","",R264+O264)</f>
        <v/>
      </c>
      <c r="T264" s="7">
        <f>IF($W264="","",U264-S264)</f>
        <v/>
      </c>
      <c r="U264" s="7">
        <f>IF($W264="","",N264+Q264+L264)</f>
        <v/>
      </c>
      <c r="V264" s="7">
        <f>IF($W264="","",U264-S264-J264)</f>
        <v/>
      </c>
      <c r="W264" s="13">
        <f>IF(ROWS($W$2:$W264)&lt;=MAX('Per Line'!$AG$2:$AG$1501),MATCH(ROWS($W$2:$W264),'Per Line'!$AG$2:$AG$1501,0),"")</f>
        <v/>
      </c>
    </row>
    <row r="265">
      <c r="A265" s="12" t="n"/>
      <c r="B265">
        <f>IF($W265="","",INDEX('Per Line'!$B$2:$B$1501,$W265)&amp;"")</f>
        <v/>
      </c>
      <c r="C265">
        <f>IF($W265="","",INDEX('Per Line'!$A$2:$A$1501,$W265))</f>
        <v/>
      </c>
      <c r="D265" s="11">
        <f>IF($W265="","",INDEX('Per Line'!$C$2:$C$1501,$W265))</f>
        <v/>
      </c>
      <c r="E265">
        <f>IF($W265="","",INDEX('Per Line'!$D$2:$D$1501,$W265)&amp;"")</f>
        <v/>
      </c>
      <c r="F265">
        <f>IF($W265="","",INDEX('Per Line'!$F$2:$F$1501,$W265)&amp;"")</f>
        <v/>
      </c>
      <c r="G265">
        <f>IF($W265="","",INDEX('Per Line'!$G$2:$G$1501,$W265)&amp;"")</f>
        <v/>
      </c>
      <c r="H265">
        <f>IF($W265="","",INDEX('Per Line'!$H$2:$H$1501,$W265)&amp;"")</f>
        <v/>
      </c>
      <c r="I265">
        <f>IF($W265="","",INDEX('Per Line'!$I$2:$I$1501,$W265))</f>
        <v/>
      </c>
      <c r="J265" s="7">
        <f>IF($W265="","",I265*U265/100)</f>
        <v/>
      </c>
      <c r="K265">
        <f>IF($W265="","",INDEX('Per Line'!$U$2:$U$1501,$W265)&amp;"")</f>
        <v/>
      </c>
      <c r="L265" s="7">
        <f>IF($W265="","",SUMIFS('Per Line'!$Q$2:$Q$1501,'Per Line'!$B$2:$B$1501,$B265,'Per Line'!$AI$2:$AI$1501,1))</f>
        <v/>
      </c>
      <c r="M265">
        <f>IF($W265="","",Settings!$C$7)</f>
        <v/>
      </c>
      <c r="N265" s="7">
        <f>IF($W265="","",SUMIFS('Per Line'!$Q$2:$Q$1501,'Per Line'!$B$2:$B$1501,$B265,'Per Line'!$AH$2:$AH$1501,0,'Per Line'!$AI$2:$AI$1501,0))</f>
        <v/>
      </c>
      <c r="O265" s="7">
        <f>IF($W265="","",N265*M265)</f>
        <v/>
      </c>
      <c r="P265">
        <f>IF($W265="","",Settings!$C$6)</f>
        <v/>
      </c>
      <c r="Q265" s="7">
        <f>IF($W265="","",SUMIFS('Per Line'!$Q$2:$Q$1501,'Per Line'!$B$2:$B$1501,$B265,'Per Line'!$AH$2:$AH$1501,1,'Per Line'!$AI$2:$AI$1501,0))</f>
        <v/>
      </c>
      <c r="R265" s="7">
        <f>IF($W265="","",Q265*P265)</f>
        <v/>
      </c>
      <c r="S265" s="7">
        <f>IF($W265="","",R265+O265)</f>
        <v/>
      </c>
      <c r="T265" s="7">
        <f>IF($W265="","",U265-S265)</f>
        <v/>
      </c>
      <c r="U265" s="7">
        <f>IF($W265="","",N265+Q265+L265)</f>
        <v/>
      </c>
      <c r="V265" s="7">
        <f>IF($W265="","",U265-S265-J265)</f>
        <v/>
      </c>
      <c r="W265" s="13">
        <f>IF(ROWS($W$2:$W265)&lt;=MAX('Per Line'!$AG$2:$AG$1501),MATCH(ROWS($W$2:$W265),'Per Line'!$AG$2:$AG$1501,0),"")</f>
        <v/>
      </c>
    </row>
    <row r="266">
      <c r="A266" s="12" t="n"/>
      <c r="B266">
        <f>IF($W266="","",INDEX('Per Line'!$B$2:$B$1501,$W266)&amp;"")</f>
        <v/>
      </c>
      <c r="C266">
        <f>IF($W266="","",INDEX('Per Line'!$A$2:$A$1501,$W266))</f>
        <v/>
      </c>
      <c r="D266" s="11">
        <f>IF($W266="","",INDEX('Per Line'!$C$2:$C$1501,$W266))</f>
        <v/>
      </c>
      <c r="E266">
        <f>IF($W266="","",INDEX('Per Line'!$D$2:$D$1501,$W266)&amp;"")</f>
        <v/>
      </c>
      <c r="F266">
        <f>IF($W266="","",INDEX('Per Line'!$F$2:$F$1501,$W266)&amp;"")</f>
        <v/>
      </c>
      <c r="G266">
        <f>IF($W266="","",INDEX('Per Line'!$G$2:$G$1501,$W266)&amp;"")</f>
        <v/>
      </c>
      <c r="H266">
        <f>IF($W266="","",INDEX('Per Line'!$H$2:$H$1501,$W266)&amp;"")</f>
        <v/>
      </c>
      <c r="I266">
        <f>IF($W266="","",INDEX('Per Line'!$I$2:$I$1501,$W266))</f>
        <v/>
      </c>
      <c r="J266" s="7">
        <f>IF($W266="","",I266*U266/100)</f>
        <v/>
      </c>
      <c r="K266">
        <f>IF($W266="","",INDEX('Per Line'!$U$2:$U$1501,$W266)&amp;"")</f>
        <v/>
      </c>
      <c r="L266" s="7">
        <f>IF($W266="","",SUMIFS('Per Line'!$Q$2:$Q$1501,'Per Line'!$B$2:$B$1501,$B266,'Per Line'!$AI$2:$AI$1501,1))</f>
        <v/>
      </c>
      <c r="M266">
        <f>IF($W266="","",Settings!$C$7)</f>
        <v/>
      </c>
      <c r="N266" s="7">
        <f>IF($W266="","",SUMIFS('Per Line'!$Q$2:$Q$1501,'Per Line'!$B$2:$B$1501,$B266,'Per Line'!$AH$2:$AH$1501,0,'Per Line'!$AI$2:$AI$1501,0))</f>
        <v/>
      </c>
      <c r="O266" s="7">
        <f>IF($W266="","",N266*M266)</f>
        <v/>
      </c>
      <c r="P266">
        <f>IF($W266="","",Settings!$C$6)</f>
        <v/>
      </c>
      <c r="Q266" s="7">
        <f>IF($W266="","",SUMIFS('Per Line'!$Q$2:$Q$1501,'Per Line'!$B$2:$B$1501,$B266,'Per Line'!$AH$2:$AH$1501,1,'Per Line'!$AI$2:$AI$1501,0))</f>
        <v/>
      </c>
      <c r="R266" s="7">
        <f>IF($W266="","",Q266*P266)</f>
        <v/>
      </c>
      <c r="S266" s="7">
        <f>IF($W266="","",R266+O266)</f>
        <v/>
      </c>
      <c r="T266" s="7">
        <f>IF($W266="","",U266-S266)</f>
        <v/>
      </c>
      <c r="U266" s="7">
        <f>IF($W266="","",N266+Q266+L266)</f>
        <v/>
      </c>
      <c r="V266" s="7">
        <f>IF($W266="","",U266-S266-J266)</f>
        <v/>
      </c>
      <c r="W266" s="13">
        <f>IF(ROWS($W$2:$W266)&lt;=MAX('Per Line'!$AG$2:$AG$1501),MATCH(ROWS($W$2:$W266),'Per Line'!$AG$2:$AG$1501,0),"")</f>
        <v/>
      </c>
    </row>
    <row r="267">
      <c r="A267" s="12" t="n"/>
      <c r="B267">
        <f>IF($W267="","",INDEX('Per Line'!$B$2:$B$1501,$W267)&amp;"")</f>
        <v/>
      </c>
      <c r="C267">
        <f>IF($W267="","",INDEX('Per Line'!$A$2:$A$1501,$W267))</f>
        <v/>
      </c>
      <c r="D267" s="11">
        <f>IF($W267="","",INDEX('Per Line'!$C$2:$C$1501,$W267))</f>
        <v/>
      </c>
      <c r="E267">
        <f>IF($W267="","",INDEX('Per Line'!$D$2:$D$1501,$W267)&amp;"")</f>
        <v/>
      </c>
      <c r="F267">
        <f>IF($W267="","",INDEX('Per Line'!$F$2:$F$1501,$W267)&amp;"")</f>
        <v/>
      </c>
      <c r="G267">
        <f>IF($W267="","",INDEX('Per Line'!$G$2:$G$1501,$W267)&amp;"")</f>
        <v/>
      </c>
      <c r="H267">
        <f>IF($W267="","",INDEX('Per Line'!$H$2:$H$1501,$W267)&amp;"")</f>
        <v/>
      </c>
      <c r="I267">
        <f>IF($W267="","",INDEX('Per Line'!$I$2:$I$1501,$W267))</f>
        <v/>
      </c>
      <c r="J267" s="7">
        <f>IF($W267="","",I267*U267/100)</f>
        <v/>
      </c>
      <c r="K267">
        <f>IF($W267="","",INDEX('Per Line'!$U$2:$U$1501,$W267)&amp;"")</f>
        <v/>
      </c>
      <c r="L267" s="7">
        <f>IF($W267="","",SUMIFS('Per Line'!$Q$2:$Q$1501,'Per Line'!$B$2:$B$1501,$B267,'Per Line'!$AI$2:$AI$1501,1))</f>
        <v/>
      </c>
      <c r="M267">
        <f>IF($W267="","",Settings!$C$7)</f>
        <v/>
      </c>
      <c r="N267" s="7">
        <f>IF($W267="","",SUMIFS('Per Line'!$Q$2:$Q$1501,'Per Line'!$B$2:$B$1501,$B267,'Per Line'!$AH$2:$AH$1501,0,'Per Line'!$AI$2:$AI$1501,0))</f>
        <v/>
      </c>
      <c r="O267" s="7">
        <f>IF($W267="","",N267*M267)</f>
        <v/>
      </c>
      <c r="P267">
        <f>IF($W267="","",Settings!$C$6)</f>
        <v/>
      </c>
      <c r="Q267" s="7">
        <f>IF($W267="","",SUMIFS('Per Line'!$Q$2:$Q$1501,'Per Line'!$B$2:$B$1501,$B267,'Per Line'!$AH$2:$AH$1501,1,'Per Line'!$AI$2:$AI$1501,0))</f>
        <v/>
      </c>
      <c r="R267" s="7">
        <f>IF($W267="","",Q267*P267)</f>
        <v/>
      </c>
      <c r="S267" s="7">
        <f>IF($W267="","",R267+O267)</f>
        <v/>
      </c>
      <c r="T267" s="7">
        <f>IF($W267="","",U267-S267)</f>
        <v/>
      </c>
      <c r="U267" s="7">
        <f>IF($W267="","",N267+Q267+L267)</f>
        <v/>
      </c>
      <c r="V267" s="7">
        <f>IF($W267="","",U267-S267-J267)</f>
        <v/>
      </c>
      <c r="W267" s="13">
        <f>IF(ROWS($W$2:$W267)&lt;=MAX('Per Line'!$AG$2:$AG$1501),MATCH(ROWS($W$2:$W267),'Per Line'!$AG$2:$AG$1501,0),"")</f>
        <v/>
      </c>
    </row>
    <row r="268">
      <c r="A268" s="12" t="n"/>
      <c r="B268">
        <f>IF($W268="","",INDEX('Per Line'!$B$2:$B$1501,$W268)&amp;"")</f>
        <v/>
      </c>
      <c r="C268">
        <f>IF($W268="","",INDEX('Per Line'!$A$2:$A$1501,$W268))</f>
        <v/>
      </c>
      <c r="D268" s="11">
        <f>IF($W268="","",INDEX('Per Line'!$C$2:$C$1501,$W268))</f>
        <v/>
      </c>
      <c r="E268">
        <f>IF($W268="","",INDEX('Per Line'!$D$2:$D$1501,$W268)&amp;"")</f>
        <v/>
      </c>
      <c r="F268">
        <f>IF($W268="","",INDEX('Per Line'!$F$2:$F$1501,$W268)&amp;"")</f>
        <v/>
      </c>
      <c r="G268">
        <f>IF($W268="","",INDEX('Per Line'!$G$2:$G$1501,$W268)&amp;"")</f>
        <v/>
      </c>
      <c r="H268">
        <f>IF($W268="","",INDEX('Per Line'!$H$2:$H$1501,$W268)&amp;"")</f>
        <v/>
      </c>
      <c r="I268">
        <f>IF($W268="","",INDEX('Per Line'!$I$2:$I$1501,$W268))</f>
        <v/>
      </c>
      <c r="J268" s="7">
        <f>IF($W268="","",I268*U268/100)</f>
        <v/>
      </c>
      <c r="K268">
        <f>IF($W268="","",INDEX('Per Line'!$U$2:$U$1501,$W268)&amp;"")</f>
        <v/>
      </c>
      <c r="L268" s="7">
        <f>IF($W268="","",SUMIFS('Per Line'!$Q$2:$Q$1501,'Per Line'!$B$2:$B$1501,$B268,'Per Line'!$AI$2:$AI$1501,1))</f>
        <v/>
      </c>
      <c r="M268">
        <f>IF($W268="","",Settings!$C$7)</f>
        <v/>
      </c>
      <c r="N268" s="7">
        <f>IF($W268="","",SUMIFS('Per Line'!$Q$2:$Q$1501,'Per Line'!$B$2:$B$1501,$B268,'Per Line'!$AH$2:$AH$1501,0,'Per Line'!$AI$2:$AI$1501,0))</f>
        <v/>
      </c>
      <c r="O268" s="7">
        <f>IF($W268="","",N268*M268)</f>
        <v/>
      </c>
      <c r="P268">
        <f>IF($W268="","",Settings!$C$6)</f>
        <v/>
      </c>
      <c r="Q268" s="7">
        <f>IF($W268="","",SUMIFS('Per Line'!$Q$2:$Q$1501,'Per Line'!$B$2:$B$1501,$B268,'Per Line'!$AH$2:$AH$1501,1,'Per Line'!$AI$2:$AI$1501,0))</f>
        <v/>
      </c>
      <c r="R268" s="7">
        <f>IF($W268="","",Q268*P268)</f>
        <v/>
      </c>
      <c r="S268" s="7">
        <f>IF($W268="","",R268+O268)</f>
        <v/>
      </c>
      <c r="T268" s="7">
        <f>IF($W268="","",U268-S268)</f>
        <v/>
      </c>
      <c r="U268" s="7">
        <f>IF($W268="","",N268+Q268+L268)</f>
        <v/>
      </c>
      <c r="V268" s="7">
        <f>IF($W268="","",U268-S268-J268)</f>
        <v/>
      </c>
      <c r="W268" s="13">
        <f>IF(ROWS($W$2:$W268)&lt;=MAX('Per Line'!$AG$2:$AG$1501),MATCH(ROWS($W$2:$W268),'Per Line'!$AG$2:$AG$1501,0),"")</f>
        <v/>
      </c>
    </row>
    <row r="269">
      <c r="A269" s="12" t="n"/>
      <c r="B269">
        <f>IF($W269="","",INDEX('Per Line'!$B$2:$B$1501,$W269)&amp;"")</f>
        <v/>
      </c>
      <c r="C269">
        <f>IF($W269="","",INDEX('Per Line'!$A$2:$A$1501,$W269))</f>
        <v/>
      </c>
      <c r="D269" s="11">
        <f>IF($W269="","",INDEX('Per Line'!$C$2:$C$1501,$W269))</f>
        <v/>
      </c>
      <c r="E269">
        <f>IF($W269="","",INDEX('Per Line'!$D$2:$D$1501,$W269)&amp;"")</f>
        <v/>
      </c>
      <c r="F269">
        <f>IF($W269="","",INDEX('Per Line'!$F$2:$F$1501,$W269)&amp;"")</f>
        <v/>
      </c>
      <c r="G269">
        <f>IF($W269="","",INDEX('Per Line'!$G$2:$G$1501,$W269)&amp;"")</f>
        <v/>
      </c>
      <c r="H269">
        <f>IF($W269="","",INDEX('Per Line'!$H$2:$H$1501,$W269)&amp;"")</f>
        <v/>
      </c>
      <c r="I269">
        <f>IF($W269="","",INDEX('Per Line'!$I$2:$I$1501,$W269))</f>
        <v/>
      </c>
      <c r="J269" s="7">
        <f>IF($W269="","",I269*U269/100)</f>
        <v/>
      </c>
      <c r="K269">
        <f>IF($W269="","",INDEX('Per Line'!$U$2:$U$1501,$W269)&amp;"")</f>
        <v/>
      </c>
      <c r="L269" s="7">
        <f>IF($W269="","",SUMIFS('Per Line'!$Q$2:$Q$1501,'Per Line'!$B$2:$B$1501,$B269,'Per Line'!$AI$2:$AI$1501,1))</f>
        <v/>
      </c>
      <c r="M269">
        <f>IF($W269="","",Settings!$C$7)</f>
        <v/>
      </c>
      <c r="N269" s="7">
        <f>IF($W269="","",SUMIFS('Per Line'!$Q$2:$Q$1501,'Per Line'!$B$2:$B$1501,$B269,'Per Line'!$AH$2:$AH$1501,0,'Per Line'!$AI$2:$AI$1501,0))</f>
        <v/>
      </c>
      <c r="O269" s="7">
        <f>IF($W269="","",N269*M269)</f>
        <v/>
      </c>
      <c r="P269">
        <f>IF($W269="","",Settings!$C$6)</f>
        <v/>
      </c>
      <c r="Q269" s="7">
        <f>IF($W269="","",SUMIFS('Per Line'!$Q$2:$Q$1501,'Per Line'!$B$2:$B$1501,$B269,'Per Line'!$AH$2:$AH$1501,1,'Per Line'!$AI$2:$AI$1501,0))</f>
        <v/>
      </c>
      <c r="R269" s="7">
        <f>IF($W269="","",Q269*P269)</f>
        <v/>
      </c>
      <c r="S269" s="7">
        <f>IF($W269="","",R269+O269)</f>
        <v/>
      </c>
      <c r="T269" s="7">
        <f>IF($W269="","",U269-S269)</f>
        <v/>
      </c>
      <c r="U269" s="7">
        <f>IF($W269="","",N269+Q269+L269)</f>
        <v/>
      </c>
      <c r="V269" s="7">
        <f>IF($W269="","",U269-S269-J269)</f>
        <v/>
      </c>
      <c r="W269" s="13">
        <f>IF(ROWS($W$2:$W269)&lt;=MAX('Per Line'!$AG$2:$AG$1501),MATCH(ROWS($W$2:$W269),'Per Line'!$AG$2:$AG$1501,0),"")</f>
        <v/>
      </c>
    </row>
    <row r="270">
      <c r="A270" s="12" t="n"/>
      <c r="B270">
        <f>IF($W270="","",INDEX('Per Line'!$B$2:$B$1501,$W270)&amp;"")</f>
        <v/>
      </c>
      <c r="C270">
        <f>IF($W270="","",INDEX('Per Line'!$A$2:$A$1501,$W270))</f>
        <v/>
      </c>
      <c r="D270" s="11">
        <f>IF($W270="","",INDEX('Per Line'!$C$2:$C$1501,$W270))</f>
        <v/>
      </c>
      <c r="E270">
        <f>IF($W270="","",INDEX('Per Line'!$D$2:$D$1501,$W270)&amp;"")</f>
        <v/>
      </c>
      <c r="F270">
        <f>IF($W270="","",INDEX('Per Line'!$F$2:$F$1501,$W270)&amp;"")</f>
        <v/>
      </c>
      <c r="G270">
        <f>IF($W270="","",INDEX('Per Line'!$G$2:$G$1501,$W270)&amp;"")</f>
        <v/>
      </c>
      <c r="H270">
        <f>IF($W270="","",INDEX('Per Line'!$H$2:$H$1501,$W270)&amp;"")</f>
        <v/>
      </c>
      <c r="I270">
        <f>IF($W270="","",INDEX('Per Line'!$I$2:$I$1501,$W270))</f>
        <v/>
      </c>
      <c r="J270" s="7">
        <f>IF($W270="","",I270*U270/100)</f>
        <v/>
      </c>
      <c r="K270">
        <f>IF($W270="","",INDEX('Per Line'!$U$2:$U$1501,$W270)&amp;"")</f>
        <v/>
      </c>
      <c r="L270" s="7">
        <f>IF($W270="","",SUMIFS('Per Line'!$Q$2:$Q$1501,'Per Line'!$B$2:$B$1501,$B270,'Per Line'!$AI$2:$AI$1501,1))</f>
        <v/>
      </c>
      <c r="M270">
        <f>IF($W270="","",Settings!$C$7)</f>
        <v/>
      </c>
      <c r="N270" s="7">
        <f>IF($W270="","",SUMIFS('Per Line'!$Q$2:$Q$1501,'Per Line'!$B$2:$B$1501,$B270,'Per Line'!$AH$2:$AH$1501,0,'Per Line'!$AI$2:$AI$1501,0))</f>
        <v/>
      </c>
      <c r="O270" s="7">
        <f>IF($W270="","",N270*M270)</f>
        <v/>
      </c>
      <c r="P270">
        <f>IF($W270="","",Settings!$C$6)</f>
        <v/>
      </c>
      <c r="Q270" s="7">
        <f>IF($W270="","",SUMIFS('Per Line'!$Q$2:$Q$1501,'Per Line'!$B$2:$B$1501,$B270,'Per Line'!$AH$2:$AH$1501,1,'Per Line'!$AI$2:$AI$1501,0))</f>
        <v/>
      </c>
      <c r="R270" s="7">
        <f>IF($W270="","",Q270*P270)</f>
        <v/>
      </c>
      <c r="S270" s="7">
        <f>IF($W270="","",R270+O270)</f>
        <v/>
      </c>
      <c r="T270" s="7">
        <f>IF($W270="","",U270-S270)</f>
        <v/>
      </c>
      <c r="U270" s="7">
        <f>IF($W270="","",N270+Q270+L270)</f>
        <v/>
      </c>
      <c r="V270" s="7">
        <f>IF($W270="","",U270-S270-J270)</f>
        <v/>
      </c>
      <c r="W270" s="13">
        <f>IF(ROWS($W$2:$W270)&lt;=MAX('Per Line'!$AG$2:$AG$1501),MATCH(ROWS($W$2:$W270),'Per Line'!$AG$2:$AG$1501,0),"")</f>
        <v/>
      </c>
    </row>
    <row r="271">
      <c r="A271" s="12" t="n"/>
      <c r="B271">
        <f>IF($W271="","",INDEX('Per Line'!$B$2:$B$1501,$W271)&amp;"")</f>
        <v/>
      </c>
      <c r="C271">
        <f>IF($W271="","",INDEX('Per Line'!$A$2:$A$1501,$W271))</f>
        <v/>
      </c>
      <c r="D271" s="11">
        <f>IF($W271="","",INDEX('Per Line'!$C$2:$C$1501,$W271))</f>
        <v/>
      </c>
      <c r="E271">
        <f>IF($W271="","",INDEX('Per Line'!$D$2:$D$1501,$W271)&amp;"")</f>
        <v/>
      </c>
      <c r="F271">
        <f>IF($W271="","",INDEX('Per Line'!$F$2:$F$1501,$W271)&amp;"")</f>
        <v/>
      </c>
      <c r="G271">
        <f>IF($W271="","",INDEX('Per Line'!$G$2:$G$1501,$W271)&amp;"")</f>
        <v/>
      </c>
      <c r="H271">
        <f>IF($W271="","",INDEX('Per Line'!$H$2:$H$1501,$W271)&amp;"")</f>
        <v/>
      </c>
      <c r="I271">
        <f>IF($W271="","",INDEX('Per Line'!$I$2:$I$1501,$W271))</f>
        <v/>
      </c>
      <c r="J271" s="7">
        <f>IF($W271="","",I271*U271/100)</f>
        <v/>
      </c>
      <c r="K271">
        <f>IF($W271="","",INDEX('Per Line'!$U$2:$U$1501,$W271)&amp;"")</f>
        <v/>
      </c>
      <c r="L271" s="7">
        <f>IF($W271="","",SUMIFS('Per Line'!$Q$2:$Q$1501,'Per Line'!$B$2:$B$1501,$B271,'Per Line'!$AI$2:$AI$1501,1))</f>
        <v/>
      </c>
      <c r="M271">
        <f>IF($W271="","",Settings!$C$7)</f>
        <v/>
      </c>
      <c r="N271" s="7">
        <f>IF($W271="","",SUMIFS('Per Line'!$Q$2:$Q$1501,'Per Line'!$B$2:$B$1501,$B271,'Per Line'!$AH$2:$AH$1501,0,'Per Line'!$AI$2:$AI$1501,0))</f>
        <v/>
      </c>
      <c r="O271" s="7">
        <f>IF($W271="","",N271*M271)</f>
        <v/>
      </c>
      <c r="P271">
        <f>IF($W271="","",Settings!$C$6)</f>
        <v/>
      </c>
      <c r="Q271" s="7">
        <f>IF($W271="","",SUMIFS('Per Line'!$Q$2:$Q$1501,'Per Line'!$B$2:$B$1501,$B271,'Per Line'!$AH$2:$AH$1501,1,'Per Line'!$AI$2:$AI$1501,0))</f>
        <v/>
      </c>
      <c r="R271" s="7">
        <f>IF($W271="","",Q271*P271)</f>
        <v/>
      </c>
      <c r="S271" s="7">
        <f>IF($W271="","",R271+O271)</f>
        <v/>
      </c>
      <c r="T271" s="7">
        <f>IF($W271="","",U271-S271)</f>
        <v/>
      </c>
      <c r="U271" s="7">
        <f>IF($W271="","",N271+Q271+L271)</f>
        <v/>
      </c>
      <c r="V271" s="7">
        <f>IF($W271="","",U271-S271-J271)</f>
        <v/>
      </c>
      <c r="W271" s="13">
        <f>IF(ROWS($W$2:$W271)&lt;=MAX('Per Line'!$AG$2:$AG$1501),MATCH(ROWS($W$2:$W271),'Per Line'!$AG$2:$AG$1501,0),"")</f>
        <v/>
      </c>
    </row>
    <row r="272">
      <c r="A272" s="12" t="n"/>
      <c r="B272">
        <f>IF($W272="","",INDEX('Per Line'!$B$2:$B$1501,$W272)&amp;"")</f>
        <v/>
      </c>
      <c r="C272">
        <f>IF($W272="","",INDEX('Per Line'!$A$2:$A$1501,$W272))</f>
        <v/>
      </c>
      <c r="D272" s="11">
        <f>IF($W272="","",INDEX('Per Line'!$C$2:$C$1501,$W272))</f>
        <v/>
      </c>
      <c r="E272">
        <f>IF($W272="","",INDEX('Per Line'!$D$2:$D$1501,$W272)&amp;"")</f>
        <v/>
      </c>
      <c r="F272">
        <f>IF($W272="","",INDEX('Per Line'!$F$2:$F$1501,$W272)&amp;"")</f>
        <v/>
      </c>
      <c r="G272">
        <f>IF($W272="","",INDEX('Per Line'!$G$2:$G$1501,$W272)&amp;"")</f>
        <v/>
      </c>
      <c r="H272">
        <f>IF($W272="","",INDEX('Per Line'!$H$2:$H$1501,$W272)&amp;"")</f>
        <v/>
      </c>
      <c r="I272">
        <f>IF($W272="","",INDEX('Per Line'!$I$2:$I$1501,$W272))</f>
        <v/>
      </c>
      <c r="J272" s="7">
        <f>IF($W272="","",I272*U272/100)</f>
        <v/>
      </c>
      <c r="K272">
        <f>IF($W272="","",INDEX('Per Line'!$U$2:$U$1501,$W272)&amp;"")</f>
        <v/>
      </c>
      <c r="L272" s="7">
        <f>IF($W272="","",SUMIFS('Per Line'!$Q$2:$Q$1501,'Per Line'!$B$2:$B$1501,$B272,'Per Line'!$AI$2:$AI$1501,1))</f>
        <v/>
      </c>
      <c r="M272">
        <f>IF($W272="","",Settings!$C$7)</f>
        <v/>
      </c>
      <c r="N272" s="7">
        <f>IF($W272="","",SUMIFS('Per Line'!$Q$2:$Q$1501,'Per Line'!$B$2:$B$1501,$B272,'Per Line'!$AH$2:$AH$1501,0,'Per Line'!$AI$2:$AI$1501,0))</f>
        <v/>
      </c>
      <c r="O272" s="7">
        <f>IF($W272="","",N272*M272)</f>
        <v/>
      </c>
      <c r="P272">
        <f>IF($W272="","",Settings!$C$6)</f>
        <v/>
      </c>
      <c r="Q272" s="7">
        <f>IF($W272="","",SUMIFS('Per Line'!$Q$2:$Q$1501,'Per Line'!$B$2:$B$1501,$B272,'Per Line'!$AH$2:$AH$1501,1,'Per Line'!$AI$2:$AI$1501,0))</f>
        <v/>
      </c>
      <c r="R272" s="7">
        <f>IF($W272="","",Q272*P272)</f>
        <v/>
      </c>
      <c r="S272" s="7">
        <f>IF($W272="","",R272+O272)</f>
        <v/>
      </c>
      <c r="T272" s="7">
        <f>IF($W272="","",U272-S272)</f>
        <v/>
      </c>
      <c r="U272" s="7">
        <f>IF($W272="","",N272+Q272+L272)</f>
        <v/>
      </c>
      <c r="V272" s="7">
        <f>IF($W272="","",U272-S272-J272)</f>
        <v/>
      </c>
      <c r="W272" s="13">
        <f>IF(ROWS($W$2:$W272)&lt;=MAX('Per Line'!$AG$2:$AG$1501),MATCH(ROWS($W$2:$W272),'Per Line'!$AG$2:$AG$1501,0),"")</f>
        <v/>
      </c>
    </row>
    <row r="273">
      <c r="A273" s="12" t="n"/>
      <c r="B273">
        <f>IF($W273="","",INDEX('Per Line'!$B$2:$B$1501,$W273)&amp;"")</f>
        <v/>
      </c>
      <c r="C273">
        <f>IF($W273="","",INDEX('Per Line'!$A$2:$A$1501,$W273))</f>
        <v/>
      </c>
      <c r="D273" s="11">
        <f>IF($W273="","",INDEX('Per Line'!$C$2:$C$1501,$W273))</f>
        <v/>
      </c>
      <c r="E273">
        <f>IF($W273="","",INDEX('Per Line'!$D$2:$D$1501,$W273)&amp;"")</f>
        <v/>
      </c>
      <c r="F273">
        <f>IF($W273="","",INDEX('Per Line'!$F$2:$F$1501,$W273)&amp;"")</f>
        <v/>
      </c>
      <c r="G273">
        <f>IF($W273="","",INDEX('Per Line'!$G$2:$G$1501,$W273)&amp;"")</f>
        <v/>
      </c>
      <c r="H273">
        <f>IF($W273="","",INDEX('Per Line'!$H$2:$H$1501,$W273)&amp;"")</f>
        <v/>
      </c>
      <c r="I273">
        <f>IF($W273="","",INDEX('Per Line'!$I$2:$I$1501,$W273))</f>
        <v/>
      </c>
      <c r="J273" s="7">
        <f>IF($W273="","",I273*U273/100)</f>
        <v/>
      </c>
      <c r="K273">
        <f>IF($W273="","",INDEX('Per Line'!$U$2:$U$1501,$W273)&amp;"")</f>
        <v/>
      </c>
      <c r="L273" s="7">
        <f>IF($W273="","",SUMIFS('Per Line'!$Q$2:$Q$1501,'Per Line'!$B$2:$B$1501,$B273,'Per Line'!$AI$2:$AI$1501,1))</f>
        <v/>
      </c>
      <c r="M273">
        <f>IF($W273="","",Settings!$C$7)</f>
        <v/>
      </c>
      <c r="N273" s="7">
        <f>IF($W273="","",SUMIFS('Per Line'!$Q$2:$Q$1501,'Per Line'!$B$2:$B$1501,$B273,'Per Line'!$AH$2:$AH$1501,0,'Per Line'!$AI$2:$AI$1501,0))</f>
        <v/>
      </c>
      <c r="O273" s="7">
        <f>IF($W273="","",N273*M273)</f>
        <v/>
      </c>
      <c r="P273">
        <f>IF($W273="","",Settings!$C$6)</f>
        <v/>
      </c>
      <c r="Q273" s="7">
        <f>IF($W273="","",SUMIFS('Per Line'!$Q$2:$Q$1501,'Per Line'!$B$2:$B$1501,$B273,'Per Line'!$AH$2:$AH$1501,1,'Per Line'!$AI$2:$AI$1501,0))</f>
        <v/>
      </c>
      <c r="R273" s="7">
        <f>IF($W273="","",Q273*P273)</f>
        <v/>
      </c>
      <c r="S273" s="7">
        <f>IF($W273="","",R273+O273)</f>
        <v/>
      </c>
      <c r="T273" s="7">
        <f>IF($W273="","",U273-S273)</f>
        <v/>
      </c>
      <c r="U273" s="7">
        <f>IF($W273="","",N273+Q273+L273)</f>
        <v/>
      </c>
      <c r="V273" s="7">
        <f>IF($W273="","",U273-S273-J273)</f>
        <v/>
      </c>
      <c r="W273" s="13">
        <f>IF(ROWS($W$2:$W273)&lt;=MAX('Per Line'!$AG$2:$AG$1501),MATCH(ROWS($W$2:$W273),'Per Line'!$AG$2:$AG$1501,0),"")</f>
        <v/>
      </c>
    </row>
    <row r="274">
      <c r="A274" s="12" t="n"/>
      <c r="B274">
        <f>IF($W274="","",INDEX('Per Line'!$B$2:$B$1501,$W274)&amp;"")</f>
        <v/>
      </c>
      <c r="C274">
        <f>IF($W274="","",INDEX('Per Line'!$A$2:$A$1501,$W274))</f>
        <v/>
      </c>
      <c r="D274" s="11">
        <f>IF($W274="","",INDEX('Per Line'!$C$2:$C$1501,$W274))</f>
        <v/>
      </c>
      <c r="E274">
        <f>IF($W274="","",INDEX('Per Line'!$D$2:$D$1501,$W274)&amp;"")</f>
        <v/>
      </c>
      <c r="F274">
        <f>IF($W274="","",INDEX('Per Line'!$F$2:$F$1501,$W274)&amp;"")</f>
        <v/>
      </c>
      <c r="G274">
        <f>IF($W274="","",INDEX('Per Line'!$G$2:$G$1501,$W274)&amp;"")</f>
        <v/>
      </c>
      <c r="H274">
        <f>IF($W274="","",INDEX('Per Line'!$H$2:$H$1501,$W274)&amp;"")</f>
        <v/>
      </c>
      <c r="I274">
        <f>IF($W274="","",INDEX('Per Line'!$I$2:$I$1501,$W274))</f>
        <v/>
      </c>
      <c r="J274" s="7">
        <f>IF($W274="","",I274*U274/100)</f>
        <v/>
      </c>
      <c r="K274">
        <f>IF($W274="","",INDEX('Per Line'!$U$2:$U$1501,$W274)&amp;"")</f>
        <v/>
      </c>
      <c r="L274" s="7">
        <f>IF($W274="","",SUMIFS('Per Line'!$Q$2:$Q$1501,'Per Line'!$B$2:$B$1501,$B274,'Per Line'!$AI$2:$AI$1501,1))</f>
        <v/>
      </c>
      <c r="M274">
        <f>IF($W274="","",Settings!$C$7)</f>
        <v/>
      </c>
      <c r="N274" s="7">
        <f>IF($W274="","",SUMIFS('Per Line'!$Q$2:$Q$1501,'Per Line'!$B$2:$B$1501,$B274,'Per Line'!$AH$2:$AH$1501,0,'Per Line'!$AI$2:$AI$1501,0))</f>
        <v/>
      </c>
      <c r="O274" s="7">
        <f>IF($W274="","",N274*M274)</f>
        <v/>
      </c>
      <c r="P274">
        <f>IF($W274="","",Settings!$C$6)</f>
        <v/>
      </c>
      <c r="Q274" s="7">
        <f>IF($W274="","",SUMIFS('Per Line'!$Q$2:$Q$1501,'Per Line'!$B$2:$B$1501,$B274,'Per Line'!$AH$2:$AH$1501,1,'Per Line'!$AI$2:$AI$1501,0))</f>
        <v/>
      </c>
      <c r="R274" s="7">
        <f>IF($W274="","",Q274*P274)</f>
        <v/>
      </c>
      <c r="S274" s="7">
        <f>IF($W274="","",R274+O274)</f>
        <v/>
      </c>
      <c r="T274" s="7">
        <f>IF($W274="","",U274-S274)</f>
        <v/>
      </c>
      <c r="U274" s="7">
        <f>IF($W274="","",N274+Q274+L274)</f>
        <v/>
      </c>
      <c r="V274" s="7">
        <f>IF($W274="","",U274-S274-J274)</f>
        <v/>
      </c>
      <c r="W274" s="13">
        <f>IF(ROWS($W$2:$W274)&lt;=MAX('Per Line'!$AG$2:$AG$1501),MATCH(ROWS($W$2:$W274),'Per Line'!$AG$2:$AG$1501,0),"")</f>
        <v/>
      </c>
    </row>
    <row r="275">
      <c r="A275" s="12" t="n"/>
      <c r="B275">
        <f>IF($W275="","",INDEX('Per Line'!$B$2:$B$1501,$W275)&amp;"")</f>
        <v/>
      </c>
      <c r="C275">
        <f>IF($W275="","",INDEX('Per Line'!$A$2:$A$1501,$W275))</f>
        <v/>
      </c>
      <c r="D275" s="11">
        <f>IF($W275="","",INDEX('Per Line'!$C$2:$C$1501,$W275))</f>
        <v/>
      </c>
      <c r="E275">
        <f>IF($W275="","",INDEX('Per Line'!$D$2:$D$1501,$W275)&amp;"")</f>
        <v/>
      </c>
      <c r="F275">
        <f>IF($W275="","",INDEX('Per Line'!$F$2:$F$1501,$W275)&amp;"")</f>
        <v/>
      </c>
      <c r="G275">
        <f>IF($W275="","",INDEX('Per Line'!$G$2:$G$1501,$W275)&amp;"")</f>
        <v/>
      </c>
      <c r="H275">
        <f>IF($W275="","",INDEX('Per Line'!$H$2:$H$1501,$W275)&amp;"")</f>
        <v/>
      </c>
      <c r="I275">
        <f>IF($W275="","",INDEX('Per Line'!$I$2:$I$1501,$W275))</f>
        <v/>
      </c>
      <c r="J275" s="7">
        <f>IF($W275="","",I275*U275/100)</f>
        <v/>
      </c>
      <c r="K275">
        <f>IF($W275="","",INDEX('Per Line'!$U$2:$U$1501,$W275)&amp;"")</f>
        <v/>
      </c>
      <c r="L275" s="7">
        <f>IF($W275="","",SUMIFS('Per Line'!$Q$2:$Q$1501,'Per Line'!$B$2:$B$1501,$B275,'Per Line'!$AI$2:$AI$1501,1))</f>
        <v/>
      </c>
      <c r="M275">
        <f>IF($W275="","",Settings!$C$7)</f>
        <v/>
      </c>
      <c r="N275" s="7">
        <f>IF($W275="","",SUMIFS('Per Line'!$Q$2:$Q$1501,'Per Line'!$B$2:$B$1501,$B275,'Per Line'!$AH$2:$AH$1501,0,'Per Line'!$AI$2:$AI$1501,0))</f>
        <v/>
      </c>
      <c r="O275" s="7">
        <f>IF($W275="","",N275*M275)</f>
        <v/>
      </c>
      <c r="P275">
        <f>IF($W275="","",Settings!$C$6)</f>
        <v/>
      </c>
      <c r="Q275" s="7">
        <f>IF($W275="","",SUMIFS('Per Line'!$Q$2:$Q$1501,'Per Line'!$B$2:$B$1501,$B275,'Per Line'!$AH$2:$AH$1501,1,'Per Line'!$AI$2:$AI$1501,0))</f>
        <v/>
      </c>
      <c r="R275" s="7">
        <f>IF($W275="","",Q275*P275)</f>
        <v/>
      </c>
      <c r="S275" s="7">
        <f>IF($W275="","",R275+O275)</f>
        <v/>
      </c>
      <c r="T275" s="7">
        <f>IF($W275="","",U275-S275)</f>
        <v/>
      </c>
      <c r="U275" s="7">
        <f>IF($W275="","",N275+Q275+L275)</f>
        <v/>
      </c>
      <c r="V275" s="7">
        <f>IF($W275="","",U275-S275-J275)</f>
        <v/>
      </c>
      <c r="W275" s="13">
        <f>IF(ROWS($W$2:$W275)&lt;=MAX('Per Line'!$AG$2:$AG$1501),MATCH(ROWS($W$2:$W275),'Per Line'!$AG$2:$AG$1501,0),"")</f>
        <v/>
      </c>
    </row>
    <row r="276">
      <c r="A276" s="12" t="n"/>
      <c r="B276">
        <f>IF($W276="","",INDEX('Per Line'!$B$2:$B$1501,$W276)&amp;"")</f>
        <v/>
      </c>
      <c r="C276">
        <f>IF($W276="","",INDEX('Per Line'!$A$2:$A$1501,$W276))</f>
        <v/>
      </c>
      <c r="D276" s="11">
        <f>IF($W276="","",INDEX('Per Line'!$C$2:$C$1501,$W276))</f>
        <v/>
      </c>
      <c r="E276">
        <f>IF($W276="","",INDEX('Per Line'!$D$2:$D$1501,$W276)&amp;"")</f>
        <v/>
      </c>
      <c r="F276">
        <f>IF($W276="","",INDEX('Per Line'!$F$2:$F$1501,$W276)&amp;"")</f>
        <v/>
      </c>
      <c r="G276">
        <f>IF($W276="","",INDEX('Per Line'!$G$2:$G$1501,$W276)&amp;"")</f>
        <v/>
      </c>
      <c r="H276">
        <f>IF($W276="","",INDEX('Per Line'!$H$2:$H$1501,$W276)&amp;"")</f>
        <v/>
      </c>
      <c r="I276">
        <f>IF($W276="","",INDEX('Per Line'!$I$2:$I$1501,$W276))</f>
        <v/>
      </c>
      <c r="J276" s="7">
        <f>IF($W276="","",I276*U276/100)</f>
        <v/>
      </c>
      <c r="K276">
        <f>IF($W276="","",INDEX('Per Line'!$U$2:$U$1501,$W276)&amp;"")</f>
        <v/>
      </c>
      <c r="L276" s="7">
        <f>IF($W276="","",SUMIFS('Per Line'!$Q$2:$Q$1501,'Per Line'!$B$2:$B$1501,$B276,'Per Line'!$AI$2:$AI$1501,1))</f>
        <v/>
      </c>
      <c r="M276">
        <f>IF($W276="","",Settings!$C$7)</f>
        <v/>
      </c>
      <c r="N276" s="7">
        <f>IF($W276="","",SUMIFS('Per Line'!$Q$2:$Q$1501,'Per Line'!$B$2:$B$1501,$B276,'Per Line'!$AH$2:$AH$1501,0,'Per Line'!$AI$2:$AI$1501,0))</f>
        <v/>
      </c>
      <c r="O276" s="7">
        <f>IF($W276="","",N276*M276)</f>
        <v/>
      </c>
      <c r="P276">
        <f>IF($W276="","",Settings!$C$6)</f>
        <v/>
      </c>
      <c r="Q276" s="7">
        <f>IF($W276="","",SUMIFS('Per Line'!$Q$2:$Q$1501,'Per Line'!$B$2:$B$1501,$B276,'Per Line'!$AH$2:$AH$1501,1,'Per Line'!$AI$2:$AI$1501,0))</f>
        <v/>
      </c>
      <c r="R276" s="7">
        <f>IF($W276="","",Q276*P276)</f>
        <v/>
      </c>
      <c r="S276" s="7">
        <f>IF($W276="","",R276+O276)</f>
        <v/>
      </c>
      <c r="T276" s="7">
        <f>IF($W276="","",U276-S276)</f>
        <v/>
      </c>
      <c r="U276" s="7">
        <f>IF($W276="","",N276+Q276+L276)</f>
        <v/>
      </c>
      <c r="V276" s="7">
        <f>IF($W276="","",U276-S276-J276)</f>
        <v/>
      </c>
      <c r="W276" s="13">
        <f>IF(ROWS($W$2:$W276)&lt;=MAX('Per Line'!$AG$2:$AG$1501),MATCH(ROWS($W$2:$W276),'Per Line'!$AG$2:$AG$1501,0),"")</f>
        <v/>
      </c>
    </row>
    <row r="277">
      <c r="A277" s="12" t="n"/>
      <c r="B277">
        <f>IF($W277="","",INDEX('Per Line'!$B$2:$B$1501,$W277)&amp;"")</f>
        <v/>
      </c>
      <c r="C277">
        <f>IF($W277="","",INDEX('Per Line'!$A$2:$A$1501,$W277))</f>
        <v/>
      </c>
      <c r="D277" s="11">
        <f>IF($W277="","",INDEX('Per Line'!$C$2:$C$1501,$W277))</f>
        <v/>
      </c>
      <c r="E277">
        <f>IF($W277="","",INDEX('Per Line'!$D$2:$D$1501,$W277)&amp;"")</f>
        <v/>
      </c>
      <c r="F277">
        <f>IF($W277="","",INDEX('Per Line'!$F$2:$F$1501,$W277)&amp;"")</f>
        <v/>
      </c>
      <c r="G277">
        <f>IF($W277="","",INDEX('Per Line'!$G$2:$G$1501,$W277)&amp;"")</f>
        <v/>
      </c>
      <c r="H277">
        <f>IF($W277="","",INDEX('Per Line'!$H$2:$H$1501,$W277)&amp;"")</f>
        <v/>
      </c>
      <c r="I277">
        <f>IF($W277="","",INDEX('Per Line'!$I$2:$I$1501,$W277))</f>
        <v/>
      </c>
      <c r="J277" s="7">
        <f>IF($W277="","",I277*U277/100)</f>
        <v/>
      </c>
      <c r="K277">
        <f>IF($W277="","",INDEX('Per Line'!$U$2:$U$1501,$W277)&amp;"")</f>
        <v/>
      </c>
      <c r="L277" s="7">
        <f>IF($W277="","",SUMIFS('Per Line'!$Q$2:$Q$1501,'Per Line'!$B$2:$B$1501,$B277,'Per Line'!$AI$2:$AI$1501,1))</f>
        <v/>
      </c>
      <c r="M277">
        <f>IF($W277="","",Settings!$C$7)</f>
        <v/>
      </c>
      <c r="N277" s="7">
        <f>IF($W277="","",SUMIFS('Per Line'!$Q$2:$Q$1501,'Per Line'!$B$2:$B$1501,$B277,'Per Line'!$AH$2:$AH$1501,0,'Per Line'!$AI$2:$AI$1501,0))</f>
        <v/>
      </c>
      <c r="O277" s="7">
        <f>IF($W277="","",N277*M277)</f>
        <v/>
      </c>
      <c r="P277">
        <f>IF($W277="","",Settings!$C$6)</f>
        <v/>
      </c>
      <c r="Q277" s="7">
        <f>IF($W277="","",SUMIFS('Per Line'!$Q$2:$Q$1501,'Per Line'!$B$2:$B$1501,$B277,'Per Line'!$AH$2:$AH$1501,1,'Per Line'!$AI$2:$AI$1501,0))</f>
        <v/>
      </c>
      <c r="R277" s="7">
        <f>IF($W277="","",Q277*P277)</f>
        <v/>
      </c>
      <c r="S277" s="7">
        <f>IF($W277="","",R277+O277)</f>
        <v/>
      </c>
      <c r="T277" s="7">
        <f>IF($W277="","",U277-S277)</f>
        <v/>
      </c>
      <c r="U277" s="7">
        <f>IF($W277="","",N277+Q277+L277)</f>
        <v/>
      </c>
      <c r="V277" s="7">
        <f>IF($W277="","",U277-S277-J277)</f>
        <v/>
      </c>
      <c r="W277" s="13">
        <f>IF(ROWS($W$2:$W277)&lt;=MAX('Per Line'!$AG$2:$AG$1501),MATCH(ROWS($W$2:$W277),'Per Line'!$AG$2:$AG$1501,0),"")</f>
        <v/>
      </c>
    </row>
    <row r="278">
      <c r="A278" s="12" t="n"/>
      <c r="B278">
        <f>IF($W278="","",INDEX('Per Line'!$B$2:$B$1501,$W278)&amp;"")</f>
        <v/>
      </c>
      <c r="C278">
        <f>IF($W278="","",INDEX('Per Line'!$A$2:$A$1501,$W278))</f>
        <v/>
      </c>
      <c r="D278" s="11">
        <f>IF($W278="","",INDEX('Per Line'!$C$2:$C$1501,$W278))</f>
        <v/>
      </c>
      <c r="E278">
        <f>IF($W278="","",INDEX('Per Line'!$D$2:$D$1501,$W278)&amp;"")</f>
        <v/>
      </c>
      <c r="F278">
        <f>IF($W278="","",INDEX('Per Line'!$F$2:$F$1501,$W278)&amp;"")</f>
        <v/>
      </c>
      <c r="G278">
        <f>IF($W278="","",INDEX('Per Line'!$G$2:$G$1501,$W278)&amp;"")</f>
        <v/>
      </c>
      <c r="H278">
        <f>IF($W278="","",INDEX('Per Line'!$H$2:$H$1501,$W278)&amp;"")</f>
        <v/>
      </c>
      <c r="I278">
        <f>IF($W278="","",INDEX('Per Line'!$I$2:$I$1501,$W278))</f>
        <v/>
      </c>
      <c r="J278" s="7">
        <f>IF($W278="","",I278*U278/100)</f>
        <v/>
      </c>
      <c r="K278">
        <f>IF($W278="","",INDEX('Per Line'!$U$2:$U$1501,$W278)&amp;"")</f>
        <v/>
      </c>
      <c r="L278" s="7">
        <f>IF($W278="","",SUMIFS('Per Line'!$Q$2:$Q$1501,'Per Line'!$B$2:$B$1501,$B278,'Per Line'!$AI$2:$AI$1501,1))</f>
        <v/>
      </c>
      <c r="M278">
        <f>IF($W278="","",Settings!$C$7)</f>
        <v/>
      </c>
      <c r="N278" s="7">
        <f>IF($W278="","",SUMIFS('Per Line'!$Q$2:$Q$1501,'Per Line'!$B$2:$B$1501,$B278,'Per Line'!$AH$2:$AH$1501,0,'Per Line'!$AI$2:$AI$1501,0))</f>
        <v/>
      </c>
      <c r="O278" s="7">
        <f>IF($W278="","",N278*M278)</f>
        <v/>
      </c>
      <c r="P278">
        <f>IF($W278="","",Settings!$C$6)</f>
        <v/>
      </c>
      <c r="Q278" s="7">
        <f>IF($W278="","",SUMIFS('Per Line'!$Q$2:$Q$1501,'Per Line'!$B$2:$B$1501,$B278,'Per Line'!$AH$2:$AH$1501,1,'Per Line'!$AI$2:$AI$1501,0))</f>
        <v/>
      </c>
      <c r="R278" s="7">
        <f>IF($W278="","",Q278*P278)</f>
        <v/>
      </c>
      <c r="S278" s="7">
        <f>IF($W278="","",R278+O278)</f>
        <v/>
      </c>
      <c r="T278" s="7">
        <f>IF($W278="","",U278-S278)</f>
        <v/>
      </c>
      <c r="U278" s="7">
        <f>IF($W278="","",N278+Q278+L278)</f>
        <v/>
      </c>
      <c r="V278" s="7">
        <f>IF($W278="","",U278-S278-J278)</f>
        <v/>
      </c>
      <c r="W278" s="13">
        <f>IF(ROWS($W$2:$W278)&lt;=MAX('Per Line'!$AG$2:$AG$1501),MATCH(ROWS($W$2:$W278),'Per Line'!$AG$2:$AG$1501,0),"")</f>
        <v/>
      </c>
    </row>
    <row r="279">
      <c r="A279" s="12" t="n"/>
      <c r="B279">
        <f>IF($W279="","",INDEX('Per Line'!$B$2:$B$1501,$W279)&amp;"")</f>
        <v/>
      </c>
      <c r="C279">
        <f>IF($W279="","",INDEX('Per Line'!$A$2:$A$1501,$W279))</f>
        <v/>
      </c>
      <c r="D279" s="11">
        <f>IF($W279="","",INDEX('Per Line'!$C$2:$C$1501,$W279))</f>
        <v/>
      </c>
      <c r="E279">
        <f>IF($W279="","",INDEX('Per Line'!$D$2:$D$1501,$W279)&amp;"")</f>
        <v/>
      </c>
      <c r="F279">
        <f>IF($W279="","",INDEX('Per Line'!$F$2:$F$1501,$W279)&amp;"")</f>
        <v/>
      </c>
      <c r="G279">
        <f>IF($W279="","",INDEX('Per Line'!$G$2:$G$1501,$W279)&amp;"")</f>
        <v/>
      </c>
      <c r="H279">
        <f>IF($W279="","",INDEX('Per Line'!$H$2:$H$1501,$W279)&amp;"")</f>
        <v/>
      </c>
      <c r="I279">
        <f>IF($W279="","",INDEX('Per Line'!$I$2:$I$1501,$W279))</f>
        <v/>
      </c>
      <c r="J279" s="7">
        <f>IF($W279="","",I279*U279/100)</f>
        <v/>
      </c>
      <c r="K279">
        <f>IF($W279="","",INDEX('Per Line'!$U$2:$U$1501,$W279)&amp;"")</f>
        <v/>
      </c>
      <c r="L279" s="7">
        <f>IF($W279="","",SUMIFS('Per Line'!$Q$2:$Q$1501,'Per Line'!$B$2:$B$1501,$B279,'Per Line'!$AI$2:$AI$1501,1))</f>
        <v/>
      </c>
      <c r="M279">
        <f>IF($W279="","",Settings!$C$7)</f>
        <v/>
      </c>
      <c r="N279" s="7">
        <f>IF($W279="","",SUMIFS('Per Line'!$Q$2:$Q$1501,'Per Line'!$B$2:$B$1501,$B279,'Per Line'!$AH$2:$AH$1501,0,'Per Line'!$AI$2:$AI$1501,0))</f>
        <v/>
      </c>
      <c r="O279" s="7">
        <f>IF($W279="","",N279*M279)</f>
        <v/>
      </c>
      <c r="P279">
        <f>IF($W279="","",Settings!$C$6)</f>
        <v/>
      </c>
      <c r="Q279" s="7">
        <f>IF($W279="","",SUMIFS('Per Line'!$Q$2:$Q$1501,'Per Line'!$B$2:$B$1501,$B279,'Per Line'!$AH$2:$AH$1501,1,'Per Line'!$AI$2:$AI$1501,0))</f>
        <v/>
      </c>
      <c r="R279" s="7">
        <f>IF($W279="","",Q279*P279)</f>
        <v/>
      </c>
      <c r="S279" s="7">
        <f>IF($W279="","",R279+O279)</f>
        <v/>
      </c>
      <c r="T279" s="7">
        <f>IF($W279="","",U279-S279)</f>
        <v/>
      </c>
      <c r="U279" s="7">
        <f>IF($W279="","",N279+Q279+L279)</f>
        <v/>
      </c>
      <c r="V279" s="7">
        <f>IF($W279="","",U279-S279-J279)</f>
        <v/>
      </c>
      <c r="W279" s="13">
        <f>IF(ROWS($W$2:$W279)&lt;=MAX('Per Line'!$AG$2:$AG$1501),MATCH(ROWS($W$2:$W279),'Per Line'!$AG$2:$AG$1501,0),"")</f>
        <v/>
      </c>
    </row>
    <row r="280">
      <c r="A280" s="12" t="n"/>
      <c r="B280">
        <f>IF($W280="","",INDEX('Per Line'!$B$2:$B$1501,$W280)&amp;"")</f>
        <v/>
      </c>
      <c r="C280">
        <f>IF($W280="","",INDEX('Per Line'!$A$2:$A$1501,$W280))</f>
        <v/>
      </c>
      <c r="D280" s="11">
        <f>IF($W280="","",INDEX('Per Line'!$C$2:$C$1501,$W280))</f>
        <v/>
      </c>
      <c r="E280">
        <f>IF($W280="","",INDEX('Per Line'!$D$2:$D$1501,$W280)&amp;"")</f>
        <v/>
      </c>
      <c r="F280">
        <f>IF($W280="","",INDEX('Per Line'!$F$2:$F$1501,$W280)&amp;"")</f>
        <v/>
      </c>
      <c r="G280">
        <f>IF($W280="","",INDEX('Per Line'!$G$2:$G$1501,$W280)&amp;"")</f>
        <v/>
      </c>
      <c r="H280">
        <f>IF($W280="","",INDEX('Per Line'!$H$2:$H$1501,$W280)&amp;"")</f>
        <v/>
      </c>
      <c r="I280">
        <f>IF($W280="","",INDEX('Per Line'!$I$2:$I$1501,$W280))</f>
        <v/>
      </c>
      <c r="J280" s="7">
        <f>IF($W280="","",I280*U280/100)</f>
        <v/>
      </c>
      <c r="K280">
        <f>IF($W280="","",INDEX('Per Line'!$U$2:$U$1501,$W280)&amp;"")</f>
        <v/>
      </c>
      <c r="L280" s="7">
        <f>IF($W280="","",SUMIFS('Per Line'!$Q$2:$Q$1501,'Per Line'!$B$2:$B$1501,$B280,'Per Line'!$AI$2:$AI$1501,1))</f>
        <v/>
      </c>
      <c r="M280">
        <f>IF($W280="","",Settings!$C$7)</f>
        <v/>
      </c>
      <c r="N280" s="7">
        <f>IF($W280="","",SUMIFS('Per Line'!$Q$2:$Q$1501,'Per Line'!$B$2:$B$1501,$B280,'Per Line'!$AH$2:$AH$1501,0,'Per Line'!$AI$2:$AI$1501,0))</f>
        <v/>
      </c>
      <c r="O280" s="7">
        <f>IF($W280="","",N280*M280)</f>
        <v/>
      </c>
      <c r="P280">
        <f>IF($W280="","",Settings!$C$6)</f>
        <v/>
      </c>
      <c r="Q280" s="7">
        <f>IF($W280="","",SUMIFS('Per Line'!$Q$2:$Q$1501,'Per Line'!$B$2:$B$1501,$B280,'Per Line'!$AH$2:$AH$1501,1,'Per Line'!$AI$2:$AI$1501,0))</f>
        <v/>
      </c>
      <c r="R280" s="7">
        <f>IF($W280="","",Q280*P280)</f>
        <v/>
      </c>
      <c r="S280" s="7">
        <f>IF($W280="","",R280+O280)</f>
        <v/>
      </c>
      <c r="T280" s="7">
        <f>IF($W280="","",U280-S280)</f>
        <v/>
      </c>
      <c r="U280" s="7">
        <f>IF($W280="","",N280+Q280+L280)</f>
        <v/>
      </c>
      <c r="V280" s="7">
        <f>IF($W280="","",U280-S280-J280)</f>
        <v/>
      </c>
      <c r="W280" s="13">
        <f>IF(ROWS($W$2:$W280)&lt;=MAX('Per Line'!$AG$2:$AG$1501),MATCH(ROWS($W$2:$W280),'Per Line'!$AG$2:$AG$1501,0),"")</f>
        <v/>
      </c>
    </row>
    <row r="281">
      <c r="A281" s="12" t="n"/>
      <c r="B281">
        <f>IF($W281="","",INDEX('Per Line'!$B$2:$B$1501,$W281)&amp;"")</f>
        <v/>
      </c>
      <c r="C281">
        <f>IF($W281="","",INDEX('Per Line'!$A$2:$A$1501,$W281))</f>
        <v/>
      </c>
      <c r="D281" s="11">
        <f>IF($W281="","",INDEX('Per Line'!$C$2:$C$1501,$W281))</f>
        <v/>
      </c>
      <c r="E281">
        <f>IF($W281="","",INDEX('Per Line'!$D$2:$D$1501,$W281)&amp;"")</f>
        <v/>
      </c>
      <c r="F281">
        <f>IF($W281="","",INDEX('Per Line'!$F$2:$F$1501,$W281)&amp;"")</f>
        <v/>
      </c>
      <c r="G281">
        <f>IF($W281="","",INDEX('Per Line'!$G$2:$G$1501,$W281)&amp;"")</f>
        <v/>
      </c>
      <c r="H281">
        <f>IF($W281="","",INDEX('Per Line'!$H$2:$H$1501,$W281)&amp;"")</f>
        <v/>
      </c>
      <c r="I281">
        <f>IF($W281="","",INDEX('Per Line'!$I$2:$I$1501,$W281))</f>
        <v/>
      </c>
      <c r="J281" s="7">
        <f>IF($W281="","",I281*U281/100)</f>
        <v/>
      </c>
      <c r="K281">
        <f>IF($W281="","",INDEX('Per Line'!$U$2:$U$1501,$W281)&amp;"")</f>
        <v/>
      </c>
      <c r="L281" s="7">
        <f>IF($W281="","",SUMIFS('Per Line'!$Q$2:$Q$1501,'Per Line'!$B$2:$B$1501,$B281,'Per Line'!$AI$2:$AI$1501,1))</f>
        <v/>
      </c>
      <c r="M281">
        <f>IF($W281="","",Settings!$C$7)</f>
        <v/>
      </c>
      <c r="N281" s="7">
        <f>IF($W281="","",SUMIFS('Per Line'!$Q$2:$Q$1501,'Per Line'!$B$2:$B$1501,$B281,'Per Line'!$AH$2:$AH$1501,0,'Per Line'!$AI$2:$AI$1501,0))</f>
        <v/>
      </c>
      <c r="O281" s="7">
        <f>IF($W281="","",N281*M281)</f>
        <v/>
      </c>
      <c r="P281">
        <f>IF($W281="","",Settings!$C$6)</f>
        <v/>
      </c>
      <c r="Q281" s="7">
        <f>IF($W281="","",SUMIFS('Per Line'!$Q$2:$Q$1501,'Per Line'!$B$2:$B$1501,$B281,'Per Line'!$AH$2:$AH$1501,1,'Per Line'!$AI$2:$AI$1501,0))</f>
        <v/>
      </c>
      <c r="R281" s="7">
        <f>IF($W281="","",Q281*P281)</f>
        <v/>
      </c>
      <c r="S281" s="7">
        <f>IF($W281="","",R281+O281)</f>
        <v/>
      </c>
      <c r="T281" s="7">
        <f>IF($W281="","",U281-S281)</f>
        <v/>
      </c>
      <c r="U281" s="7">
        <f>IF($W281="","",N281+Q281+L281)</f>
        <v/>
      </c>
      <c r="V281" s="7">
        <f>IF($W281="","",U281-S281-J281)</f>
        <v/>
      </c>
      <c r="W281" s="13">
        <f>IF(ROWS($W$2:$W281)&lt;=MAX('Per Line'!$AG$2:$AG$1501),MATCH(ROWS($W$2:$W281),'Per Line'!$AG$2:$AG$1501,0),"")</f>
        <v/>
      </c>
    </row>
    <row r="282">
      <c r="A282" s="12" t="n"/>
      <c r="B282">
        <f>IF($W282="","",INDEX('Per Line'!$B$2:$B$1501,$W282)&amp;"")</f>
        <v/>
      </c>
      <c r="C282">
        <f>IF($W282="","",INDEX('Per Line'!$A$2:$A$1501,$W282))</f>
        <v/>
      </c>
      <c r="D282" s="11">
        <f>IF($W282="","",INDEX('Per Line'!$C$2:$C$1501,$W282))</f>
        <v/>
      </c>
      <c r="E282">
        <f>IF($W282="","",INDEX('Per Line'!$D$2:$D$1501,$W282)&amp;"")</f>
        <v/>
      </c>
      <c r="F282">
        <f>IF($W282="","",INDEX('Per Line'!$F$2:$F$1501,$W282)&amp;"")</f>
        <v/>
      </c>
      <c r="G282">
        <f>IF($W282="","",INDEX('Per Line'!$G$2:$G$1501,$W282)&amp;"")</f>
        <v/>
      </c>
      <c r="H282">
        <f>IF($W282="","",INDEX('Per Line'!$H$2:$H$1501,$W282)&amp;"")</f>
        <v/>
      </c>
      <c r="I282">
        <f>IF($W282="","",INDEX('Per Line'!$I$2:$I$1501,$W282))</f>
        <v/>
      </c>
      <c r="J282" s="7">
        <f>IF($W282="","",I282*U282/100)</f>
        <v/>
      </c>
      <c r="K282">
        <f>IF($W282="","",INDEX('Per Line'!$U$2:$U$1501,$W282)&amp;"")</f>
        <v/>
      </c>
      <c r="L282" s="7">
        <f>IF($W282="","",SUMIFS('Per Line'!$Q$2:$Q$1501,'Per Line'!$B$2:$B$1501,$B282,'Per Line'!$AI$2:$AI$1501,1))</f>
        <v/>
      </c>
      <c r="M282">
        <f>IF($W282="","",Settings!$C$7)</f>
        <v/>
      </c>
      <c r="N282" s="7">
        <f>IF($W282="","",SUMIFS('Per Line'!$Q$2:$Q$1501,'Per Line'!$B$2:$B$1501,$B282,'Per Line'!$AH$2:$AH$1501,0,'Per Line'!$AI$2:$AI$1501,0))</f>
        <v/>
      </c>
      <c r="O282" s="7">
        <f>IF($W282="","",N282*M282)</f>
        <v/>
      </c>
      <c r="P282">
        <f>IF($W282="","",Settings!$C$6)</f>
        <v/>
      </c>
      <c r="Q282" s="7">
        <f>IF($W282="","",SUMIFS('Per Line'!$Q$2:$Q$1501,'Per Line'!$B$2:$B$1501,$B282,'Per Line'!$AH$2:$AH$1501,1,'Per Line'!$AI$2:$AI$1501,0))</f>
        <v/>
      </c>
      <c r="R282" s="7">
        <f>IF($W282="","",Q282*P282)</f>
        <v/>
      </c>
      <c r="S282" s="7">
        <f>IF($W282="","",R282+O282)</f>
        <v/>
      </c>
      <c r="T282" s="7">
        <f>IF($W282="","",U282-S282)</f>
        <v/>
      </c>
      <c r="U282" s="7">
        <f>IF($W282="","",N282+Q282+L282)</f>
        <v/>
      </c>
      <c r="V282" s="7">
        <f>IF($W282="","",U282-S282-J282)</f>
        <v/>
      </c>
      <c r="W282" s="13">
        <f>IF(ROWS($W$2:$W282)&lt;=MAX('Per Line'!$AG$2:$AG$1501),MATCH(ROWS($W$2:$W282),'Per Line'!$AG$2:$AG$1501,0),"")</f>
        <v/>
      </c>
    </row>
    <row r="283">
      <c r="A283" s="12" t="n"/>
      <c r="B283">
        <f>IF($W283="","",INDEX('Per Line'!$B$2:$B$1501,$W283)&amp;"")</f>
        <v/>
      </c>
      <c r="C283">
        <f>IF($W283="","",INDEX('Per Line'!$A$2:$A$1501,$W283))</f>
        <v/>
      </c>
      <c r="D283" s="11">
        <f>IF($W283="","",INDEX('Per Line'!$C$2:$C$1501,$W283))</f>
        <v/>
      </c>
      <c r="E283">
        <f>IF($W283="","",INDEX('Per Line'!$D$2:$D$1501,$W283)&amp;"")</f>
        <v/>
      </c>
      <c r="F283">
        <f>IF($W283="","",INDEX('Per Line'!$F$2:$F$1501,$W283)&amp;"")</f>
        <v/>
      </c>
      <c r="G283">
        <f>IF($W283="","",INDEX('Per Line'!$G$2:$G$1501,$W283)&amp;"")</f>
        <v/>
      </c>
      <c r="H283">
        <f>IF($W283="","",INDEX('Per Line'!$H$2:$H$1501,$W283)&amp;"")</f>
        <v/>
      </c>
      <c r="I283">
        <f>IF($W283="","",INDEX('Per Line'!$I$2:$I$1501,$W283))</f>
        <v/>
      </c>
      <c r="J283" s="7">
        <f>IF($W283="","",I283*U283/100)</f>
        <v/>
      </c>
      <c r="K283">
        <f>IF($W283="","",INDEX('Per Line'!$U$2:$U$1501,$W283)&amp;"")</f>
        <v/>
      </c>
      <c r="L283" s="7">
        <f>IF($W283="","",SUMIFS('Per Line'!$Q$2:$Q$1501,'Per Line'!$B$2:$B$1501,$B283,'Per Line'!$AI$2:$AI$1501,1))</f>
        <v/>
      </c>
      <c r="M283">
        <f>IF($W283="","",Settings!$C$7)</f>
        <v/>
      </c>
      <c r="N283" s="7">
        <f>IF($W283="","",SUMIFS('Per Line'!$Q$2:$Q$1501,'Per Line'!$B$2:$B$1501,$B283,'Per Line'!$AH$2:$AH$1501,0,'Per Line'!$AI$2:$AI$1501,0))</f>
        <v/>
      </c>
      <c r="O283" s="7">
        <f>IF($W283="","",N283*M283)</f>
        <v/>
      </c>
      <c r="P283">
        <f>IF($W283="","",Settings!$C$6)</f>
        <v/>
      </c>
      <c r="Q283" s="7">
        <f>IF($W283="","",SUMIFS('Per Line'!$Q$2:$Q$1501,'Per Line'!$B$2:$B$1501,$B283,'Per Line'!$AH$2:$AH$1501,1,'Per Line'!$AI$2:$AI$1501,0))</f>
        <v/>
      </c>
      <c r="R283" s="7">
        <f>IF($W283="","",Q283*P283)</f>
        <v/>
      </c>
      <c r="S283" s="7">
        <f>IF($W283="","",R283+O283)</f>
        <v/>
      </c>
      <c r="T283" s="7">
        <f>IF($W283="","",U283-S283)</f>
        <v/>
      </c>
      <c r="U283" s="7">
        <f>IF($W283="","",N283+Q283+L283)</f>
        <v/>
      </c>
      <c r="V283" s="7">
        <f>IF($W283="","",U283-S283-J283)</f>
        <v/>
      </c>
      <c r="W283" s="13">
        <f>IF(ROWS($W$2:$W283)&lt;=MAX('Per Line'!$AG$2:$AG$1501),MATCH(ROWS($W$2:$W283),'Per Line'!$AG$2:$AG$1501,0),"")</f>
        <v/>
      </c>
    </row>
    <row r="284">
      <c r="A284" s="12" t="n"/>
      <c r="B284">
        <f>IF($W284="","",INDEX('Per Line'!$B$2:$B$1501,$W284)&amp;"")</f>
        <v/>
      </c>
      <c r="C284">
        <f>IF($W284="","",INDEX('Per Line'!$A$2:$A$1501,$W284))</f>
        <v/>
      </c>
      <c r="D284" s="11">
        <f>IF($W284="","",INDEX('Per Line'!$C$2:$C$1501,$W284))</f>
        <v/>
      </c>
      <c r="E284">
        <f>IF($W284="","",INDEX('Per Line'!$D$2:$D$1501,$W284)&amp;"")</f>
        <v/>
      </c>
      <c r="F284">
        <f>IF($W284="","",INDEX('Per Line'!$F$2:$F$1501,$W284)&amp;"")</f>
        <v/>
      </c>
      <c r="G284">
        <f>IF($W284="","",INDEX('Per Line'!$G$2:$G$1501,$W284)&amp;"")</f>
        <v/>
      </c>
      <c r="H284">
        <f>IF($W284="","",INDEX('Per Line'!$H$2:$H$1501,$W284)&amp;"")</f>
        <v/>
      </c>
      <c r="I284">
        <f>IF($W284="","",INDEX('Per Line'!$I$2:$I$1501,$W284))</f>
        <v/>
      </c>
      <c r="J284" s="7">
        <f>IF($W284="","",I284*U284/100)</f>
        <v/>
      </c>
      <c r="K284">
        <f>IF($W284="","",INDEX('Per Line'!$U$2:$U$1501,$W284)&amp;"")</f>
        <v/>
      </c>
      <c r="L284" s="7">
        <f>IF($W284="","",SUMIFS('Per Line'!$Q$2:$Q$1501,'Per Line'!$B$2:$B$1501,$B284,'Per Line'!$AI$2:$AI$1501,1))</f>
        <v/>
      </c>
      <c r="M284">
        <f>IF($W284="","",Settings!$C$7)</f>
        <v/>
      </c>
      <c r="N284" s="7">
        <f>IF($W284="","",SUMIFS('Per Line'!$Q$2:$Q$1501,'Per Line'!$B$2:$B$1501,$B284,'Per Line'!$AH$2:$AH$1501,0,'Per Line'!$AI$2:$AI$1501,0))</f>
        <v/>
      </c>
      <c r="O284" s="7">
        <f>IF($W284="","",N284*M284)</f>
        <v/>
      </c>
      <c r="P284">
        <f>IF($W284="","",Settings!$C$6)</f>
        <v/>
      </c>
      <c r="Q284" s="7">
        <f>IF($W284="","",SUMIFS('Per Line'!$Q$2:$Q$1501,'Per Line'!$B$2:$B$1501,$B284,'Per Line'!$AH$2:$AH$1501,1,'Per Line'!$AI$2:$AI$1501,0))</f>
        <v/>
      </c>
      <c r="R284" s="7">
        <f>IF($W284="","",Q284*P284)</f>
        <v/>
      </c>
      <c r="S284" s="7">
        <f>IF($W284="","",R284+O284)</f>
        <v/>
      </c>
      <c r="T284" s="7">
        <f>IF($W284="","",U284-S284)</f>
        <v/>
      </c>
      <c r="U284" s="7">
        <f>IF($W284="","",N284+Q284+L284)</f>
        <v/>
      </c>
      <c r="V284" s="7">
        <f>IF($W284="","",U284-S284-J284)</f>
        <v/>
      </c>
      <c r="W284" s="13">
        <f>IF(ROWS($W$2:$W284)&lt;=MAX('Per Line'!$AG$2:$AG$1501),MATCH(ROWS($W$2:$W284),'Per Line'!$AG$2:$AG$1501,0),"")</f>
        <v/>
      </c>
    </row>
    <row r="285">
      <c r="A285" s="12" t="n"/>
      <c r="B285">
        <f>IF($W285="","",INDEX('Per Line'!$B$2:$B$1501,$W285)&amp;"")</f>
        <v/>
      </c>
      <c r="C285">
        <f>IF($W285="","",INDEX('Per Line'!$A$2:$A$1501,$W285))</f>
        <v/>
      </c>
      <c r="D285" s="11">
        <f>IF($W285="","",INDEX('Per Line'!$C$2:$C$1501,$W285))</f>
        <v/>
      </c>
      <c r="E285">
        <f>IF($W285="","",INDEX('Per Line'!$D$2:$D$1501,$W285)&amp;"")</f>
        <v/>
      </c>
      <c r="F285">
        <f>IF($W285="","",INDEX('Per Line'!$F$2:$F$1501,$W285)&amp;"")</f>
        <v/>
      </c>
      <c r="G285">
        <f>IF($W285="","",INDEX('Per Line'!$G$2:$G$1501,$W285)&amp;"")</f>
        <v/>
      </c>
      <c r="H285">
        <f>IF($W285="","",INDEX('Per Line'!$H$2:$H$1501,$W285)&amp;"")</f>
        <v/>
      </c>
      <c r="I285">
        <f>IF($W285="","",INDEX('Per Line'!$I$2:$I$1501,$W285))</f>
        <v/>
      </c>
      <c r="J285" s="7">
        <f>IF($W285="","",I285*U285/100)</f>
        <v/>
      </c>
      <c r="K285">
        <f>IF($W285="","",INDEX('Per Line'!$U$2:$U$1501,$W285)&amp;"")</f>
        <v/>
      </c>
      <c r="L285" s="7">
        <f>IF($W285="","",SUMIFS('Per Line'!$Q$2:$Q$1501,'Per Line'!$B$2:$B$1501,$B285,'Per Line'!$AI$2:$AI$1501,1))</f>
        <v/>
      </c>
      <c r="M285">
        <f>IF($W285="","",Settings!$C$7)</f>
        <v/>
      </c>
      <c r="N285" s="7">
        <f>IF($W285="","",SUMIFS('Per Line'!$Q$2:$Q$1501,'Per Line'!$B$2:$B$1501,$B285,'Per Line'!$AH$2:$AH$1501,0,'Per Line'!$AI$2:$AI$1501,0))</f>
        <v/>
      </c>
      <c r="O285" s="7">
        <f>IF($W285="","",N285*M285)</f>
        <v/>
      </c>
      <c r="P285">
        <f>IF($W285="","",Settings!$C$6)</f>
        <v/>
      </c>
      <c r="Q285" s="7">
        <f>IF($W285="","",SUMIFS('Per Line'!$Q$2:$Q$1501,'Per Line'!$B$2:$B$1501,$B285,'Per Line'!$AH$2:$AH$1501,1,'Per Line'!$AI$2:$AI$1501,0))</f>
        <v/>
      </c>
      <c r="R285" s="7">
        <f>IF($W285="","",Q285*P285)</f>
        <v/>
      </c>
      <c r="S285" s="7">
        <f>IF($W285="","",R285+O285)</f>
        <v/>
      </c>
      <c r="T285" s="7">
        <f>IF($W285="","",U285-S285)</f>
        <v/>
      </c>
      <c r="U285" s="7">
        <f>IF($W285="","",N285+Q285+L285)</f>
        <v/>
      </c>
      <c r="V285" s="7">
        <f>IF($W285="","",U285-S285-J285)</f>
        <v/>
      </c>
      <c r="W285" s="13">
        <f>IF(ROWS($W$2:$W285)&lt;=MAX('Per Line'!$AG$2:$AG$1501),MATCH(ROWS($W$2:$W285),'Per Line'!$AG$2:$AG$1501,0),"")</f>
        <v/>
      </c>
    </row>
    <row r="286">
      <c r="A286" s="12" t="n"/>
      <c r="B286">
        <f>IF($W286="","",INDEX('Per Line'!$B$2:$B$1501,$W286)&amp;"")</f>
        <v/>
      </c>
      <c r="C286">
        <f>IF($W286="","",INDEX('Per Line'!$A$2:$A$1501,$W286))</f>
        <v/>
      </c>
      <c r="D286" s="11">
        <f>IF($W286="","",INDEX('Per Line'!$C$2:$C$1501,$W286))</f>
        <v/>
      </c>
      <c r="E286">
        <f>IF($W286="","",INDEX('Per Line'!$D$2:$D$1501,$W286)&amp;"")</f>
        <v/>
      </c>
      <c r="F286">
        <f>IF($W286="","",INDEX('Per Line'!$F$2:$F$1501,$W286)&amp;"")</f>
        <v/>
      </c>
      <c r="G286">
        <f>IF($W286="","",INDEX('Per Line'!$G$2:$G$1501,$W286)&amp;"")</f>
        <v/>
      </c>
      <c r="H286">
        <f>IF($W286="","",INDEX('Per Line'!$H$2:$H$1501,$W286)&amp;"")</f>
        <v/>
      </c>
      <c r="I286">
        <f>IF($W286="","",INDEX('Per Line'!$I$2:$I$1501,$W286))</f>
        <v/>
      </c>
      <c r="J286" s="7">
        <f>IF($W286="","",I286*U286/100)</f>
        <v/>
      </c>
      <c r="K286">
        <f>IF($W286="","",INDEX('Per Line'!$U$2:$U$1501,$W286)&amp;"")</f>
        <v/>
      </c>
      <c r="L286" s="7">
        <f>IF($W286="","",SUMIFS('Per Line'!$Q$2:$Q$1501,'Per Line'!$B$2:$B$1501,$B286,'Per Line'!$AI$2:$AI$1501,1))</f>
        <v/>
      </c>
      <c r="M286">
        <f>IF($W286="","",Settings!$C$7)</f>
        <v/>
      </c>
      <c r="N286" s="7">
        <f>IF($W286="","",SUMIFS('Per Line'!$Q$2:$Q$1501,'Per Line'!$B$2:$B$1501,$B286,'Per Line'!$AH$2:$AH$1501,0,'Per Line'!$AI$2:$AI$1501,0))</f>
        <v/>
      </c>
      <c r="O286" s="7">
        <f>IF($W286="","",N286*M286)</f>
        <v/>
      </c>
      <c r="P286">
        <f>IF($W286="","",Settings!$C$6)</f>
        <v/>
      </c>
      <c r="Q286" s="7">
        <f>IF($W286="","",SUMIFS('Per Line'!$Q$2:$Q$1501,'Per Line'!$B$2:$B$1501,$B286,'Per Line'!$AH$2:$AH$1501,1,'Per Line'!$AI$2:$AI$1501,0))</f>
        <v/>
      </c>
      <c r="R286" s="7">
        <f>IF($W286="","",Q286*P286)</f>
        <v/>
      </c>
      <c r="S286" s="7">
        <f>IF($W286="","",R286+O286)</f>
        <v/>
      </c>
      <c r="T286" s="7">
        <f>IF($W286="","",U286-S286)</f>
        <v/>
      </c>
      <c r="U286" s="7">
        <f>IF($W286="","",N286+Q286+L286)</f>
        <v/>
      </c>
      <c r="V286" s="7">
        <f>IF($W286="","",U286-S286-J286)</f>
        <v/>
      </c>
      <c r="W286" s="13">
        <f>IF(ROWS($W$2:$W286)&lt;=MAX('Per Line'!$AG$2:$AG$1501),MATCH(ROWS($W$2:$W286),'Per Line'!$AG$2:$AG$1501,0),"")</f>
        <v/>
      </c>
    </row>
    <row r="287">
      <c r="A287" s="12" t="n"/>
      <c r="B287">
        <f>IF($W287="","",INDEX('Per Line'!$B$2:$B$1501,$W287)&amp;"")</f>
        <v/>
      </c>
      <c r="C287">
        <f>IF($W287="","",INDEX('Per Line'!$A$2:$A$1501,$W287))</f>
        <v/>
      </c>
      <c r="D287" s="11">
        <f>IF($W287="","",INDEX('Per Line'!$C$2:$C$1501,$W287))</f>
        <v/>
      </c>
      <c r="E287">
        <f>IF($W287="","",INDEX('Per Line'!$D$2:$D$1501,$W287)&amp;"")</f>
        <v/>
      </c>
      <c r="F287">
        <f>IF($W287="","",INDEX('Per Line'!$F$2:$F$1501,$W287)&amp;"")</f>
        <v/>
      </c>
      <c r="G287">
        <f>IF($W287="","",INDEX('Per Line'!$G$2:$G$1501,$W287)&amp;"")</f>
        <v/>
      </c>
      <c r="H287">
        <f>IF($W287="","",INDEX('Per Line'!$H$2:$H$1501,$W287)&amp;"")</f>
        <v/>
      </c>
      <c r="I287">
        <f>IF($W287="","",INDEX('Per Line'!$I$2:$I$1501,$W287))</f>
        <v/>
      </c>
      <c r="J287" s="7">
        <f>IF($W287="","",I287*U287/100)</f>
        <v/>
      </c>
      <c r="K287">
        <f>IF($W287="","",INDEX('Per Line'!$U$2:$U$1501,$W287)&amp;"")</f>
        <v/>
      </c>
      <c r="L287" s="7">
        <f>IF($W287="","",SUMIFS('Per Line'!$Q$2:$Q$1501,'Per Line'!$B$2:$B$1501,$B287,'Per Line'!$AI$2:$AI$1501,1))</f>
        <v/>
      </c>
      <c r="M287">
        <f>IF($W287="","",Settings!$C$7)</f>
        <v/>
      </c>
      <c r="N287" s="7">
        <f>IF($W287="","",SUMIFS('Per Line'!$Q$2:$Q$1501,'Per Line'!$B$2:$B$1501,$B287,'Per Line'!$AH$2:$AH$1501,0,'Per Line'!$AI$2:$AI$1501,0))</f>
        <v/>
      </c>
      <c r="O287" s="7">
        <f>IF($W287="","",N287*M287)</f>
        <v/>
      </c>
      <c r="P287">
        <f>IF($W287="","",Settings!$C$6)</f>
        <v/>
      </c>
      <c r="Q287" s="7">
        <f>IF($W287="","",SUMIFS('Per Line'!$Q$2:$Q$1501,'Per Line'!$B$2:$B$1501,$B287,'Per Line'!$AH$2:$AH$1501,1,'Per Line'!$AI$2:$AI$1501,0))</f>
        <v/>
      </c>
      <c r="R287" s="7">
        <f>IF($W287="","",Q287*P287)</f>
        <v/>
      </c>
      <c r="S287" s="7">
        <f>IF($W287="","",R287+O287)</f>
        <v/>
      </c>
      <c r="T287" s="7">
        <f>IF($W287="","",U287-S287)</f>
        <v/>
      </c>
      <c r="U287" s="7">
        <f>IF($W287="","",N287+Q287+L287)</f>
        <v/>
      </c>
      <c r="V287" s="7">
        <f>IF($W287="","",U287-S287-J287)</f>
        <v/>
      </c>
      <c r="W287" s="13">
        <f>IF(ROWS($W$2:$W287)&lt;=MAX('Per Line'!$AG$2:$AG$1501),MATCH(ROWS($W$2:$W287),'Per Line'!$AG$2:$AG$1501,0),"")</f>
        <v/>
      </c>
    </row>
    <row r="288">
      <c r="A288" s="12" t="n"/>
      <c r="B288">
        <f>IF($W288="","",INDEX('Per Line'!$B$2:$B$1501,$W288)&amp;"")</f>
        <v/>
      </c>
      <c r="C288">
        <f>IF($W288="","",INDEX('Per Line'!$A$2:$A$1501,$W288))</f>
        <v/>
      </c>
      <c r="D288" s="11">
        <f>IF($W288="","",INDEX('Per Line'!$C$2:$C$1501,$W288))</f>
        <v/>
      </c>
      <c r="E288">
        <f>IF($W288="","",INDEX('Per Line'!$D$2:$D$1501,$W288)&amp;"")</f>
        <v/>
      </c>
      <c r="F288">
        <f>IF($W288="","",INDEX('Per Line'!$F$2:$F$1501,$W288)&amp;"")</f>
        <v/>
      </c>
      <c r="G288">
        <f>IF($W288="","",INDEX('Per Line'!$G$2:$G$1501,$W288)&amp;"")</f>
        <v/>
      </c>
      <c r="H288">
        <f>IF($W288="","",INDEX('Per Line'!$H$2:$H$1501,$W288)&amp;"")</f>
        <v/>
      </c>
      <c r="I288">
        <f>IF($W288="","",INDEX('Per Line'!$I$2:$I$1501,$W288))</f>
        <v/>
      </c>
      <c r="J288" s="7">
        <f>IF($W288="","",I288*U288/100)</f>
        <v/>
      </c>
      <c r="K288">
        <f>IF($W288="","",INDEX('Per Line'!$U$2:$U$1501,$W288)&amp;"")</f>
        <v/>
      </c>
      <c r="L288" s="7">
        <f>IF($W288="","",SUMIFS('Per Line'!$Q$2:$Q$1501,'Per Line'!$B$2:$B$1501,$B288,'Per Line'!$AI$2:$AI$1501,1))</f>
        <v/>
      </c>
      <c r="M288">
        <f>IF($W288="","",Settings!$C$7)</f>
        <v/>
      </c>
      <c r="N288" s="7">
        <f>IF($W288="","",SUMIFS('Per Line'!$Q$2:$Q$1501,'Per Line'!$B$2:$B$1501,$B288,'Per Line'!$AH$2:$AH$1501,0,'Per Line'!$AI$2:$AI$1501,0))</f>
        <v/>
      </c>
      <c r="O288" s="7">
        <f>IF($W288="","",N288*M288)</f>
        <v/>
      </c>
      <c r="P288">
        <f>IF($W288="","",Settings!$C$6)</f>
        <v/>
      </c>
      <c r="Q288" s="7">
        <f>IF($W288="","",SUMIFS('Per Line'!$Q$2:$Q$1501,'Per Line'!$B$2:$B$1501,$B288,'Per Line'!$AH$2:$AH$1501,1,'Per Line'!$AI$2:$AI$1501,0))</f>
        <v/>
      </c>
      <c r="R288" s="7">
        <f>IF($W288="","",Q288*P288)</f>
        <v/>
      </c>
      <c r="S288" s="7">
        <f>IF($W288="","",R288+O288)</f>
        <v/>
      </c>
      <c r="T288" s="7">
        <f>IF($W288="","",U288-S288)</f>
        <v/>
      </c>
      <c r="U288" s="7">
        <f>IF($W288="","",N288+Q288+L288)</f>
        <v/>
      </c>
      <c r="V288" s="7">
        <f>IF($W288="","",U288-S288-J288)</f>
        <v/>
      </c>
      <c r="W288" s="13">
        <f>IF(ROWS($W$2:$W288)&lt;=MAX('Per Line'!$AG$2:$AG$1501),MATCH(ROWS($W$2:$W288),'Per Line'!$AG$2:$AG$1501,0),"")</f>
        <v/>
      </c>
    </row>
    <row r="289">
      <c r="A289" s="12" t="n"/>
      <c r="B289">
        <f>IF($W289="","",INDEX('Per Line'!$B$2:$B$1501,$W289)&amp;"")</f>
        <v/>
      </c>
      <c r="C289">
        <f>IF($W289="","",INDEX('Per Line'!$A$2:$A$1501,$W289))</f>
        <v/>
      </c>
      <c r="D289" s="11">
        <f>IF($W289="","",INDEX('Per Line'!$C$2:$C$1501,$W289))</f>
        <v/>
      </c>
      <c r="E289">
        <f>IF($W289="","",INDEX('Per Line'!$D$2:$D$1501,$W289)&amp;"")</f>
        <v/>
      </c>
      <c r="F289">
        <f>IF($W289="","",INDEX('Per Line'!$F$2:$F$1501,$W289)&amp;"")</f>
        <v/>
      </c>
      <c r="G289">
        <f>IF($W289="","",INDEX('Per Line'!$G$2:$G$1501,$W289)&amp;"")</f>
        <v/>
      </c>
      <c r="H289">
        <f>IF($W289="","",INDEX('Per Line'!$H$2:$H$1501,$W289)&amp;"")</f>
        <v/>
      </c>
      <c r="I289">
        <f>IF($W289="","",INDEX('Per Line'!$I$2:$I$1501,$W289))</f>
        <v/>
      </c>
      <c r="J289" s="7">
        <f>IF($W289="","",I289*U289/100)</f>
        <v/>
      </c>
      <c r="K289">
        <f>IF($W289="","",INDEX('Per Line'!$U$2:$U$1501,$W289)&amp;"")</f>
        <v/>
      </c>
      <c r="L289" s="7">
        <f>IF($W289="","",SUMIFS('Per Line'!$Q$2:$Q$1501,'Per Line'!$B$2:$B$1501,$B289,'Per Line'!$AI$2:$AI$1501,1))</f>
        <v/>
      </c>
      <c r="M289">
        <f>IF($W289="","",Settings!$C$7)</f>
        <v/>
      </c>
      <c r="N289" s="7">
        <f>IF($W289="","",SUMIFS('Per Line'!$Q$2:$Q$1501,'Per Line'!$B$2:$B$1501,$B289,'Per Line'!$AH$2:$AH$1501,0,'Per Line'!$AI$2:$AI$1501,0))</f>
        <v/>
      </c>
      <c r="O289" s="7">
        <f>IF($W289="","",N289*M289)</f>
        <v/>
      </c>
      <c r="P289">
        <f>IF($W289="","",Settings!$C$6)</f>
        <v/>
      </c>
      <c r="Q289" s="7">
        <f>IF($W289="","",SUMIFS('Per Line'!$Q$2:$Q$1501,'Per Line'!$B$2:$B$1501,$B289,'Per Line'!$AH$2:$AH$1501,1,'Per Line'!$AI$2:$AI$1501,0))</f>
        <v/>
      </c>
      <c r="R289" s="7">
        <f>IF($W289="","",Q289*P289)</f>
        <v/>
      </c>
      <c r="S289" s="7">
        <f>IF($W289="","",R289+O289)</f>
        <v/>
      </c>
      <c r="T289" s="7">
        <f>IF($W289="","",U289-S289)</f>
        <v/>
      </c>
      <c r="U289" s="7">
        <f>IF($W289="","",N289+Q289+L289)</f>
        <v/>
      </c>
      <c r="V289" s="7">
        <f>IF($W289="","",U289-S289-J289)</f>
        <v/>
      </c>
      <c r="W289" s="13">
        <f>IF(ROWS($W$2:$W289)&lt;=MAX('Per Line'!$AG$2:$AG$1501),MATCH(ROWS($W$2:$W289),'Per Line'!$AG$2:$AG$1501,0),"")</f>
        <v/>
      </c>
    </row>
    <row r="290">
      <c r="A290" s="12" t="n"/>
      <c r="B290">
        <f>IF($W290="","",INDEX('Per Line'!$B$2:$B$1501,$W290)&amp;"")</f>
        <v/>
      </c>
      <c r="C290">
        <f>IF($W290="","",INDEX('Per Line'!$A$2:$A$1501,$W290))</f>
        <v/>
      </c>
      <c r="D290" s="11">
        <f>IF($W290="","",INDEX('Per Line'!$C$2:$C$1501,$W290))</f>
        <v/>
      </c>
      <c r="E290">
        <f>IF($W290="","",INDEX('Per Line'!$D$2:$D$1501,$W290)&amp;"")</f>
        <v/>
      </c>
      <c r="F290">
        <f>IF($W290="","",INDEX('Per Line'!$F$2:$F$1501,$W290)&amp;"")</f>
        <v/>
      </c>
      <c r="G290">
        <f>IF($W290="","",INDEX('Per Line'!$G$2:$G$1501,$W290)&amp;"")</f>
        <v/>
      </c>
      <c r="H290">
        <f>IF($W290="","",INDEX('Per Line'!$H$2:$H$1501,$W290)&amp;"")</f>
        <v/>
      </c>
      <c r="I290">
        <f>IF($W290="","",INDEX('Per Line'!$I$2:$I$1501,$W290))</f>
        <v/>
      </c>
      <c r="J290" s="7">
        <f>IF($W290="","",I290*U290/100)</f>
        <v/>
      </c>
      <c r="K290">
        <f>IF($W290="","",INDEX('Per Line'!$U$2:$U$1501,$W290)&amp;"")</f>
        <v/>
      </c>
      <c r="L290" s="7">
        <f>IF($W290="","",SUMIFS('Per Line'!$Q$2:$Q$1501,'Per Line'!$B$2:$B$1501,$B290,'Per Line'!$AI$2:$AI$1501,1))</f>
        <v/>
      </c>
      <c r="M290">
        <f>IF($W290="","",Settings!$C$7)</f>
        <v/>
      </c>
      <c r="N290" s="7">
        <f>IF($W290="","",SUMIFS('Per Line'!$Q$2:$Q$1501,'Per Line'!$B$2:$B$1501,$B290,'Per Line'!$AH$2:$AH$1501,0,'Per Line'!$AI$2:$AI$1501,0))</f>
        <v/>
      </c>
      <c r="O290" s="7">
        <f>IF($W290="","",N290*M290)</f>
        <v/>
      </c>
      <c r="P290">
        <f>IF($W290="","",Settings!$C$6)</f>
        <v/>
      </c>
      <c r="Q290" s="7">
        <f>IF($W290="","",SUMIFS('Per Line'!$Q$2:$Q$1501,'Per Line'!$B$2:$B$1501,$B290,'Per Line'!$AH$2:$AH$1501,1,'Per Line'!$AI$2:$AI$1501,0))</f>
        <v/>
      </c>
      <c r="R290" s="7">
        <f>IF($W290="","",Q290*P290)</f>
        <v/>
      </c>
      <c r="S290" s="7">
        <f>IF($W290="","",R290+O290)</f>
        <v/>
      </c>
      <c r="T290" s="7">
        <f>IF($W290="","",U290-S290)</f>
        <v/>
      </c>
      <c r="U290" s="7">
        <f>IF($W290="","",N290+Q290+L290)</f>
        <v/>
      </c>
      <c r="V290" s="7">
        <f>IF($W290="","",U290-S290-J290)</f>
        <v/>
      </c>
      <c r="W290" s="13">
        <f>IF(ROWS($W$2:$W290)&lt;=MAX('Per Line'!$AG$2:$AG$1501),MATCH(ROWS($W$2:$W290),'Per Line'!$AG$2:$AG$1501,0),"")</f>
        <v/>
      </c>
    </row>
    <row r="291">
      <c r="A291" s="12" t="n"/>
      <c r="B291">
        <f>IF($W291="","",INDEX('Per Line'!$B$2:$B$1501,$W291)&amp;"")</f>
        <v/>
      </c>
      <c r="C291">
        <f>IF($W291="","",INDEX('Per Line'!$A$2:$A$1501,$W291))</f>
        <v/>
      </c>
      <c r="D291" s="11">
        <f>IF($W291="","",INDEX('Per Line'!$C$2:$C$1501,$W291))</f>
        <v/>
      </c>
      <c r="E291">
        <f>IF($W291="","",INDEX('Per Line'!$D$2:$D$1501,$W291)&amp;"")</f>
        <v/>
      </c>
      <c r="F291">
        <f>IF($W291="","",INDEX('Per Line'!$F$2:$F$1501,$W291)&amp;"")</f>
        <v/>
      </c>
      <c r="G291">
        <f>IF($W291="","",INDEX('Per Line'!$G$2:$G$1501,$W291)&amp;"")</f>
        <v/>
      </c>
      <c r="H291">
        <f>IF($W291="","",INDEX('Per Line'!$H$2:$H$1501,$W291)&amp;"")</f>
        <v/>
      </c>
      <c r="I291">
        <f>IF($W291="","",INDEX('Per Line'!$I$2:$I$1501,$W291))</f>
        <v/>
      </c>
      <c r="J291" s="7">
        <f>IF($W291="","",I291*U291/100)</f>
        <v/>
      </c>
      <c r="K291">
        <f>IF($W291="","",INDEX('Per Line'!$U$2:$U$1501,$W291)&amp;"")</f>
        <v/>
      </c>
      <c r="L291" s="7">
        <f>IF($W291="","",SUMIFS('Per Line'!$Q$2:$Q$1501,'Per Line'!$B$2:$B$1501,$B291,'Per Line'!$AI$2:$AI$1501,1))</f>
        <v/>
      </c>
      <c r="M291">
        <f>IF($W291="","",Settings!$C$7)</f>
        <v/>
      </c>
      <c r="N291" s="7">
        <f>IF($W291="","",SUMIFS('Per Line'!$Q$2:$Q$1501,'Per Line'!$B$2:$B$1501,$B291,'Per Line'!$AH$2:$AH$1501,0,'Per Line'!$AI$2:$AI$1501,0))</f>
        <v/>
      </c>
      <c r="O291" s="7">
        <f>IF($W291="","",N291*M291)</f>
        <v/>
      </c>
      <c r="P291">
        <f>IF($W291="","",Settings!$C$6)</f>
        <v/>
      </c>
      <c r="Q291" s="7">
        <f>IF($W291="","",SUMIFS('Per Line'!$Q$2:$Q$1501,'Per Line'!$B$2:$B$1501,$B291,'Per Line'!$AH$2:$AH$1501,1,'Per Line'!$AI$2:$AI$1501,0))</f>
        <v/>
      </c>
      <c r="R291" s="7">
        <f>IF($W291="","",Q291*P291)</f>
        <v/>
      </c>
      <c r="S291" s="7">
        <f>IF($W291="","",R291+O291)</f>
        <v/>
      </c>
      <c r="T291" s="7">
        <f>IF($W291="","",U291-S291)</f>
        <v/>
      </c>
      <c r="U291" s="7">
        <f>IF($W291="","",N291+Q291+L291)</f>
        <v/>
      </c>
      <c r="V291" s="7">
        <f>IF($W291="","",U291-S291-J291)</f>
        <v/>
      </c>
      <c r="W291" s="13">
        <f>IF(ROWS($W$2:$W291)&lt;=MAX('Per Line'!$AG$2:$AG$1501),MATCH(ROWS($W$2:$W291),'Per Line'!$AG$2:$AG$1501,0),"")</f>
        <v/>
      </c>
    </row>
    <row r="292">
      <c r="A292" s="12" t="n"/>
      <c r="B292">
        <f>IF($W292="","",INDEX('Per Line'!$B$2:$B$1501,$W292)&amp;"")</f>
        <v/>
      </c>
      <c r="C292">
        <f>IF($W292="","",INDEX('Per Line'!$A$2:$A$1501,$W292))</f>
        <v/>
      </c>
      <c r="D292" s="11">
        <f>IF($W292="","",INDEX('Per Line'!$C$2:$C$1501,$W292))</f>
        <v/>
      </c>
      <c r="E292">
        <f>IF($W292="","",INDEX('Per Line'!$D$2:$D$1501,$W292)&amp;"")</f>
        <v/>
      </c>
      <c r="F292">
        <f>IF($W292="","",INDEX('Per Line'!$F$2:$F$1501,$W292)&amp;"")</f>
        <v/>
      </c>
      <c r="G292">
        <f>IF($W292="","",INDEX('Per Line'!$G$2:$G$1501,$W292)&amp;"")</f>
        <v/>
      </c>
      <c r="H292">
        <f>IF($W292="","",INDEX('Per Line'!$H$2:$H$1501,$W292)&amp;"")</f>
        <v/>
      </c>
      <c r="I292">
        <f>IF($W292="","",INDEX('Per Line'!$I$2:$I$1501,$W292))</f>
        <v/>
      </c>
      <c r="J292" s="7">
        <f>IF($W292="","",I292*U292/100)</f>
        <v/>
      </c>
      <c r="K292">
        <f>IF($W292="","",INDEX('Per Line'!$U$2:$U$1501,$W292)&amp;"")</f>
        <v/>
      </c>
      <c r="L292" s="7">
        <f>IF($W292="","",SUMIFS('Per Line'!$Q$2:$Q$1501,'Per Line'!$B$2:$B$1501,$B292,'Per Line'!$AI$2:$AI$1501,1))</f>
        <v/>
      </c>
      <c r="M292">
        <f>IF($W292="","",Settings!$C$7)</f>
        <v/>
      </c>
      <c r="N292" s="7">
        <f>IF($W292="","",SUMIFS('Per Line'!$Q$2:$Q$1501,'Per Line'!$B$2:$B$1501,$B292,'Per Line'!$AH$2:$AH$1501,0,'Per Line'!$AI$2:$AI$1501,0))</f>
        <v/>
      </c>
      <c r="O292" s="7">
        <f>IF($W292="","",N292*M292)</f>
        <v/>
      </c>
      <c r="P292">
        <f>IF($W292="","",Settings!$C$6)</f>
        <v/>
      </c>
      <c r="Q292" s="7">
        <f>IF($W292="","",SUMIFS('Per Line'!$Q$2:$Q$1501,'Per Line'!$B$2:$B$1501,$B292,'Per Line'!$AH$2:$AH$1501,1,'Per Line'!$AI$2:$AI$1501,0))</f>
        <v/>
      </c>
      <c r="R292" s="7">
        <f>IF($W292="","",Q292*P292)</f>
        <v/>
      </c>
      <c r="S292" s="7">
        <f>IF($W292="","",R292+O292)</f>
        <v/>
      </c>
      <c r="T292" s="7">
        <f>IF($W292="","",U292-S292)</f>
        <v/>
      </c>
      <c r="U292" s="7">
        <f>IF($W292="","",N292+Q292+L292)</f>
        <v/>
      </c>
      <c r="V292" s="7">
        <f>IF($W292="","",U292-S292-J292)</f>
        <v/>
      </c>
      <c r="W292" s="13">
        <f>IF(ROWS($W$2:$W292)&lt;=MAX('Per Line'!$AG$2:$AG$1501),MATCH(ROWS($W$2:$W292),'Per Line'!$AG$2:$AG$1501,0),"")</f>
        <v/>
      </c>
    </row>
    <row r="293">
      <c r="A293" s="12" t="n"/>
      <c r="B293">
        <f>IF($W293="","",INDEX('Per Line'!$B$2:$B$1501,$W293)&amp;"")</f>
        <v/>
      </c>
      <c r="C293">
        <f>IF($W293="","",INDEX('Per Line'!$A$2:$A$1501,$W293))</f>
        <v/>
      </c>
      <c r="D293" s="11">
        <f>IF($W293="","",INDEX('Per Line'!$C$2:$C$1501,$W293))</f>
        <v/>
      </c>
      <c r="E293">
        <f>IF($W293="","",INDEX('Per Line'!$D$2:$D$1501,$W293)&amp;"")</f>
        <v/>
      </c>
      <c r="F293">
        <f>IF($W293="","",INDEX('Per Line'!$F$2:$F$1501,$W293)&amp;"")</f>
        <v/>
      </c>
      <c r="G293">
        <f>IF($W293="","",INDEX('Per Line'!$G$2:$G$1501,$W293)&amp;"")</f>
        <v/>
      </c>
      <c r="H293">
        <f>IF($W293="","",INDEX('Per Line'!$H$2:$H$1501,$W293)&amp;"")</f>
        <v/>
      </c>
      <c r="I293">
        <f>IF($W293="","",INDEX('Per Line'!$I$2:$I$1501,$W293))</f>
        <v/>
      </c>
      <c r="J293" s="7">
        <f>IF($W293="","",I293*U293/100)</f>
        <v/>
      </c>
      <c r="K293">
        <f>IF($W293="","",INDEX('Per Line'!$U$2:$U$1501,$W293)&amp;"")</f>
        <v/>
      </c>
      <c r="L293" s="7">
        <f>IF($W293="","",SUMIFS('Per Line'!$Q$2:$Q$1501,'Per Line'!$B$2:$B$1501,$B293,'Per Line'!$AI$2:$AI$1501,1))</f>
        <v/>
      </c>
      <c r="M293">
        <f>IF($W293="","",Settings!$C$7)</f>
        <v/>
      </c>
      <c r="N293" s="7">
        <f>IF($W293="","",SUMIFS('Per Line'!$Q$2:$Q$1501,'Per Line'!$B$2:$B$1501,$B293,'Per Line'!$AH$2:$AH$1501,0,'Per Line'!$AI$2:$AI$1501,0))</f>
        <v/>
      </c>
      <c r="O293" s="7">
        <f>IF($W293="","",N293*M293)</f>
        <v/>
      </c>
      <c r="P293">
        <f>IF($W293="","",Settings!$C$6)</f>
        <v/>
      </c>
      <c r="Q293" s="7">
        <f>IF($W293="","",SUMIFS('Per Line'!$Q$2:$Q$1501,'Per Line'!$B$2:$B$1501,$B293,'Per Line'!$AH$2:$AH$1501,1,'Per Line'!$AI$2:$AI$1501,0))</f>
        <v/>
      </c>
      <c r="R293" s="7">
        <f>IF($W293="","",Q293*P293)</f>
        <v/>
      </c>
      <c r="S293" s="7">
        <f>IF($W293="","",R293+O293)</f>
        <v/>
      </c>
      <c r="T293" s="7">
        <f>IF($W293="","",U293-S293)</f>
        <v/>
      </c>
      <c r="U293" s="7">
        <f>IF($W293="","",N293+Q293+L293)</f>
        <v/>
      </c>
      <c r="V293" s="7">
        <f>IF($W293="","",U293-S293-J293)</f>
        <v/>
      </c>
      <c r="W293" s="13">
        <f>IF(ROWS($W$2:$W293)&lt;=MAX('Per Line'!$AG$2:$AG$1501),MATCH(ROWS($W$2:$W293),'Per Line'!$AG$2:$AG$1501,0),"")</f>
        <v/>
      </c>
    </row>
    <row r="294">
      <c r="A294" s="12" t="n"/>
      <c r="B294">
        <f>IF($W294="","",INDEX('Per Line'!$B$2:$B$1501,$W294)&amp;"")</f>
        <v/>
      </c>
      <c r="C294">
        <f>IF($W294="","",INDEX('Per Line'!$A$2:$A$1501,$W294))</f>
        <v/>
      </c>
      <c r="D294" s="11">
        <f>IF($W294="","",INDEX('Per Line'!$C$2:$C$1501,$W294))</f>
        <v/>
      </c>
      <c r="E294">
        <f>IF($W294="","",INDEX('Per Line'!$D$2:$D$1501,$W294)&amp;"")</f>
        <v/>
      </c>
      <c r="F294">
        <f>IF($W294="","",INDEX('Per Line'!$F$2:$F$1501,$W294)&amp;"")</f>
        <v/>
      </c>
      <c r="G294">
        <f>IF($W294="","",INDEX('Per Line'!$G$2:$G$1501,$W294)&amp;"")</f>
        <v/>
      </c>
      <c r="H294">
        <f>IF($W294="","",INDEX('Per Line'!$H$2:$H$1501,$W294)&amp;"")</f>
        <v/>
      </c>
      <c r="I294">
        <f>IF($W294="","",INDEX('Per Line'!$I$2:$I$1501,$W294))</f>
        <v/>
      </c>
      <c r="J294" s="7">
        <f>IF($W294="","",I294*U294/100)</f>
        <v/>
      </c>
      <c r="K294">
        <f>IF($W294="","",INDEX('Per Line'!$U$2:$U$1501,$W294)&amp;"")</f>
        <v/>
      </c>
      <c r="L294" s="7">
        <f>IF($W294="","",SUMIFS('Per Line'!$Q$2:$Q$1501,'Per Line'!$B$2:$B$1501,$B294,'Per Line'!$AI$2:$AI$1501,1))</f>
        <v/>
      </c>
      <c r="M294">
        <f>IF($W294="","",Settings!$C$7)</f>
        <v/>
      </c>
      <c r="N294" s="7">
        <f>IF($W294="","",SUMIFS('Per Line'!$Q$2:$Q$1501,'Per Line'!$B$2:$B$1501,$B294,'Per Line'!$AH$2:$AH$1501,0,'Per Line'!$AI$2:$AI$1501,0))</f>
        <v/>
      </c>
      <c r="O294" s="7">
        <f>IF($W294="","",N294*M294)</f>
        <v/>
      </c>
      <c r="P294">
        <f>IF($W294="","",Settings!$C$6)</f>
        <v/>
      </c>
      <c r="Q294" s="7">
        <f>IF($W294="","",SUMIFS('Per Line'!$Q$2:$Q$1501,'Per Line'!$B$2:$B$1501,$B294,'Per Line'!$AH$2:$AH$1501,1,'Per Line'!$AI$2:$AI$1501,0))</f>
        <v/>
      </c>
      <c r="R294" s="7">
        <f>IF($W294="","",Q294*P294)</f>
        <v/>
      </c>
      <c r="S294" s="7">
        <f>IF($W294="","",R294+O294)</f>
        <v/>
      </c>
      <c r="T294" s="7">
        <f>IF($W294="","",U294-S294)</f>
        <v/>
      </c>
      <c r="U294" s="7">
        <f>IF($W294="","",N294+Q294+L294)</f>
        <v/>
      </c>
      <c r="V294" s="7">
        <f>IF($W294="","",U294-S294-J294)</f>
        <v/>
      </c>
      <c r="W294" s="13">
        <f>IF(ROWS($W$2:$W294)&lt;=MAX('Per Line'!$AG$2:$AG$1501),MATCH(ROWS($W$2:$W294),'Per Line'!$AG$2:$AG$1501,0),"")</f>
        <v/>
      </c>
    </row>
    <row r="295">
      <c r="A295" s="12" t="n"/>
      <c r="B295">
        <f>IF($W295="","",INDEX('Per Line'!$B$2:$B$1501,$W295)&amp;"")</f>
        <v/>
      </c>
      <c r="C295">
        <f>IF($W295="","",INDEX('Per Line'!$A$2:$A$1501,$W295))</f>
        <v/>
      </c>
      <c r="D295" s="11">
        <f>IF($W295="","",INDEX('Per Line'!$C$2:$C$1501,$W295))</f>
        <v/>
      </c>
      <c r="E295">
        <f>IF($W295="","",INDEX('Per Line'!$D$2:$D$1501,$W295)&amp;"")</f>
        <v/>
      </c>
      <c r="F295">
        <f>IF($W295="","",INDEX('Per Line'!$F$2:$F$1501,$W295)&amp;"")</f>
        <v/>
      </c>
      <c r="G295">
        <f>IF($W295="","",INDEX('Per Line'!$G$2:$G$1501,$W295)&amp;"")</f>
        <v/>
      </c>
      <c r="H295">
        <f>IF($W295="","",INDEX('Per Line'!$H$2:$H$1501,$W295)&amp;"")</f>
        <v/>
      </c>
      <c r="I295">
        <f>IF($W295="","",INDEX('Per Line'!$I$2:$I$1501,$W295))</f>
        <v/>
      </c>
      <c r="J295" s="7">
        <f>IF($W295="","",I295*U295/100)</f>
        <v/>
      </c>
      <c r="K295">
        <f>IF($W295="","",INDEX('Per Line'!$U$2:$U$1501,$W295)&amp;"")</f>
        <v/>
      </c>
      <c r="L295" s="7">
        <f>IF($W295="","",SUMIFS('Per Line'!$Q$2:$Q$1501,'Per Line'!$B$2:$B$1501,$B295,'Per Line'!$AI$2:$AI$1501,1))</f>
        <v/>
      </c>
      <c r="M295">
        <f>IF($W295="","",Settings!$C$7)</f>
        <v/>
      </c>
      <c r="N295" s="7">
        <f>IF($W295="","",SUMIFS('Per Line'!$Q$2:$Q$1501,'Per Line'!$B$2:$B$1501,$B295,'Per Line'!$AH$2:$AH$1501,0,'Per Line'!$AI$2:$AI$1501,0))</f>
        <v/>
      </c>
      <c r="O295" s="7">
        <f>IF($W295="","",N295*M295)</f>
        <v/>
      </c>
      <c r="P295">
        <f>IF($W295="","",Settings!$C$6)</f>
        <v/>
      </c>
      <c r="Q295" s="7">
        <f>IF($W295="","",SUMIFS('Per Line'!$Q$2:$Q$1501,'Per Line'!$B$2:$B$1501,$B295,'Per Line'!$AH$2:$AH$1501,1,'Per Line'!$AI$2:$AI$1501,0))</f>
        <v/>
      </c>
      <c r="R295" s="7">
        <f>IF($W295="","",Q295*P295)</f>
        <v/>
      </c>
      <c r="S295" s="7">
        <f>IF($W295="","",R295+O295)</f>
        <v/>
      </c>
      <c r="T295" s="7">
        <f>IF($W295="","",U295-S295)</f>
        <v/>
      </c>
      <c r="U295" s="7">
        <f>IF($W295="","",N295+Q295+L295)</f>
        <v/>
      </c>
      <c r="V295" s="7">
        <f>IF($W295="","",U295-S295-J295)</f>
        <v/>
      </c>
      <c r="W295" s="13">
        <f>IF(ROWS($W$2:$W295)&lt;=MAX('Per Line'!$AG$2:$AG$1501),MATCH(ROWS($W$2:$W295),'Per Line'!$AG$2:$AG$1501,0),"")</f>
        <v/>
      </c>
    </row>
    <row r="296">
      <c r="A296" s="12" t="n"/>
      <c r="B296">
        <f>IF($W296="","",INDEX('Per Line'!$B$2:$B$1501,$W296)&amp;"")</f>
        <v/>
      </c>
      <c r="C296">
        <f>IF($W296="","",INDEX('Per Line'!$A$2:$A$1501,$W296))</f>
        <v/>
      </c>
      <c r="D296" s="11">
        <f>IF($W296="","",INDEX('Per Line'!$C$2:$C$1501,$W296))</f>
        <v/>
      </c>
      <c r="E296">
        <f>IF($W296="","",INDEX('Per Line'!$D$2:$D$1501,$W296)&amp;"")</f>
        <v/>
      </c>
      <c r="F296">
        <f>IF($W296="","",INDEX('Per Line'!$F$2:$F$1501,$W296)&amp;"")</f>
        <v/>
      </c>
      <c r="G296">
        <f>IF($W296="","",INDEX('Per Line'!$G$2:$G$1501,$W296)&amp;"")</f>
        <v/>
      </c>
      <c r="H296">
        <f>IF($W296="","",INDEX('Per Line'!$H$2:$H$1501,$W296)&amp;"")</f>
        <v/>
      </c>
      <c r="I296">
        <f>IF($W296="","",INDEX('Per Line'!$I$2:$I$1501,$W296))</f>
        <v/>
      </c>
      <c r="J296" s="7">
        <f>IF($W296="","",I296*U296/100)</f>
        <v/>
      </c>
      <c r="K296">
        <f>IF($W296="","",INDEX('Per Line'!$U$2:$U$1501,$W296)&amp;"")</f>
        <v/>
      </c>
      <c r="L296" s="7">
        <f>IF($W296="","",SUMIFS('Per Line'!$Q$2:$Q$1501,'Per Line'!$B$2:$B$1501,$B296,'Per Line'!$AI$2:$AI$1501,1))</f>
        <v/>
      </c>
      <c r="M296">
        <f>IF($W296="","",Settings!$C$7)</f>
        <v/>
      </c>
      <c r="N296" s="7">
        <f>IF($W296="","",SUMIFS('Per Line'!$Q$2:$Q$1501,'Per Line'!$B$2:$B$1501,$B296,'Per Line'!$AH$2:$AH$1501,0,'Per Line'!$AI$2:$AI$1501,0))</f>
        <v/>
      </c>
      <c r="O296" s="7">
        <f>IF($W296="","",N296*M296)</f>
        <v/>
      </c>
      <c r="P296">
        <f>IF($W296="","",Settings!$C$6)</f>
        <v/>
      </c>
      <c r="Q296" s="7">
        <f>IF($W296="","",SUMIFS('Per Line'!$Q$2:$Q$1501,'Per Line'!$B$2:$B$1501,$B296,'Per Line'!$AH$2:$AH$1501,1,'Per Line'!$AI$2:$AI$1501,0))</f>
        <v/>
      </c>
      <c r="R296" s="7">
        <f>IF($W296="","",Q296*P296)</f>
        <v/>
      </c>
      <c r="S296" s="7">
        <f>IF($W296="","",R296+O296)</f>
        <v/>
      </c>
      <c r="T296" s="7">
        <f>IF($W296="","",U296-S296)</f>
        <v/>
      </c>
      <c r="U296" s="7">
        <f>IF($W296="","",N296+Q296+L296)</f>
        <v/>
      </c>
      <c r="V296" s="7">
        <f>IF($W296="","",U296-S296-J296)</f>
        <v/>
      </c>
      <c r="W296" s="13">
        <f>IF(ROWS($W$2:$W296)&lt;=MAX('Per Line'!$AG$2:$AG$1501),MATCH(ROWS($W$2:$W296),'Per Line'!$AG$2:$AG$1501,0),"")</f>
        <v/>
      </c>
    </row>
    <row r="297">
      <c r="A297" s="12" t="n"/>
      <c r="B297">
        <f>IF($W297="","",INDEX('Per Line'!$B$2:$B$1501,$W297)&amp;"")</f>
        <v/>
      </c>
      <c r="C297">
        <f>IF($W297="","",INDEX('Per Line'!$A$2:$A$1501,$W297))</f>
        <v/>
      </c>
      <c r="D297" s="11">
        <f>IF($W297="","",INDEX('Per Line'!$C$2:$C$1501,$W297))</f>
        <v/>
      </c>
      <c r="E297">
        <f>IF($W297="","",INDEX('Per Line'!$D$2:$D$1501,$W297)&amp;"")</f>
        <v/>
      </c>
      <c r="F297">
        <f>IF($W297="","",INDEX('Per Line'!$F$2:$F$1501,$W297)&amp;"")</f>
        <v/>
      </c>
      <c r="G297">
        <f>IF($W297="","",INDEX('Per Line'!$G$2:$G$1501,$W297)&amp;"")</f>
        <v/>
      </c>
      <c r="H297">
        <f>IF($W297="","",INDEX('Per Line'!$H$2:$H$1501,$W297)&amp;"")</f>
        <v/>
      </c>
      <c r="I297">
        <f>IF($W297="","",INDEX('Per Line'!$I$2:$I$1501,$W297))</f>
        <v/>
      </c>
      <c r="J297" s="7">
        <f>IF($W297="","",I297*U297/100)</f>
        <v/>
      </c>
      <c r="K297">
        <f>IF($W297="","",INDEX('Per Line'!$U$2:$U$1501,$W297)&amp;"")</f>
        <v/>
      </c>
      <c r="L297" s="7">
        <f>IF($W297="","",SUMIFS('Per Line'!$Q$2:$Q$1501,'Per Line'!$B$2:$B$1501,$B297,'Per Line'!$AI$2:$AI$1501,1))</f>
        <v/>
      </c>
      <c r="M297">
        <f>IF($W297="","",Settings!$C$7)</f>
        <v/>
      </c>
      <c r="N297" s="7">
        <f>IF($W297="","",SUMIFS('Per Line'!$Q$2:$Q$1501,'Per Line'!$B$2:$B$1501,$B297,'Per Line'!$AH$2:$AH$1501,0,'Per Line'!$AI$2:$AI$1501,0))</f>
        <v/>
      </c>
      <c r="O297" s="7">
        <f>IF($W297="","",N297*M297)</f>
        <v/>
      </c>
      <c r="P297">
        <f>IF($W297="","",Settings!$C$6)</f>
        <v/>
      </c>
      <c r="Q297" s="7">
        <f>IF($W297="","",SUMIFS('Per Line'!$Q$2:$Q$1501,'Per Line'!$B$2:$B$1501,$B297,'Per Line'!$AH$2:$AH$1501,1,'Per Line'!$AI$2:$AI$1501,0))</f>
        <v/>
      </c>
      <c r="R297" s="7">
        <f>IF($W297="","",Q297*P297)</f>
        <v/>
      </c>
      <c r="S297" s="7">
        <f>IF($W297="","",R297+O297)</f>
        <v/>
      </c>
      <c r="T297" s="7">
        <f>IF($W297="","",U297-S297)</f>
        <v/>
      </c>
      <c r="U297" s="7">
        <f>IF($W297="","",N297+Q297+L297)</f>
        <v/>
      </c>
      <c r="V297" s="7">
        <f>IF($W297="","",U297-S297-J297)</f>
        <v/>
      </c>
      <c r="W297" s="13">
        <f>IF(ROWS($W$2:$W297)&lt;=MAX('Per Line'!$AG$2:$AG$1501),MATCH(ROWS($W$2:$W297),'Per Line'!$AG$2:$AG$1501,0),"")</f>
        <v/>
      </c>
    </row>
    <row r="298">
      <c r="A298" s="12" t="n"/>
      <c r="B298">
        <f>IF($W298="","",INDEX('Per Line'!$B$2:$B$1501,$W298)&amp;"")</f>
        <v/>
      </c>
      <c r="C298">
        <f>IF($W298="","",INDEX('Per Line'!$A$2:$A$1501,$W298))</f>
        <v/>
      </c>
      <c r="D298" s="11">
        <f>IF($W298="","",INDEX('Per Line'!$C$2:$C$1501,$W298))</f>
        <v/>
      </c>
      <c r="E298">
        <f>IF($W298="","",INDEX('Per Line'!$D$2:$D$1501,$W298)&amp;"")</f>
        <v/>
      </c>
      <c r="F298">
        <f>IF($W298="","",INDEX('Per Line'!$F$2:$F$1501,$W298)&amp;"")</f>
        <v/>
      </c>
      <c r="G298">
        <f>IF($W298="","",INDEX('Per Line'!$G$2:$G$1501,$W298)&amp;"")</f>
        <v/>
      </c>
      <c r="H298">
        <f>IF($W298="","",INDEX('Per Line'!$H$2:$H$1501,$W298)&amp;"")</f>
        <v/>
      </c>
      <c r="I298">
        <f>IF($W298="","",INDEX('Per Line'!$I$2:$I$1501,$W298))</f>
        <v/>
      </c>
      <c r="J298" s="7">
        <f>IF($W298="","",I298*U298/100)</f>
        <v/>
      </c>
      <c r="K298">
        <f>IF($W298="","",INDEX('Per Line'!$U$2:$U$1501,$W298)&amp;"")</f>
        <v/>
      </c>
      <c r="L298" s="7">
        <f>IF($W298="","",SUMIFS('Per Line'!$Q$2:$Q$1501,'Per Line'!$B$2:$B$1501,$B298,'Per Line'!$AI$2:$AI$1501,1))</f>
        <v/>
      </c>
      <c r="M298">
        <f>IF($W298="","",Settings!$C$7)</f>
        <v/>
      </c>
      <c r="N298" s="7">
        <f>IF($W298="","",SUMIFS('Per Line'!$Q$2:$Q$1501,'Per Line'!$B$2:$B$1501,$B298,'Per Line'!$AH$2:$AH$1501,0,'Per Line'!$AI$2:$AI$1501,0))</f>
        <v/>
      </c>
      <c r="O298" s="7">
        <f>IF($W298="","",N298*M298)</f>
        <v/>
      </c>
      <c r="P298">
        <f>IF($W298="","",Settings!$C$6)</f>
        <v/>
      </c>
      <c r="Q298" s="7">
        <f>IF($W298="","",SUMIFS('Per Line'!$Q$2:$Q$1501,'Per Line'!$B$2:$B$1501,$B298,'Per Line'!$AH$2:$AH$1501,1,'Per Line'!$AI$2:$AI$1501,0))</f>
        <v/>
      </c>
      <c r="R298" s="7">
        <f>IF($W298="","",Q298*P298)</f>
        <v/>
      </c>
      <c r="S298" s="7">
        <f>IF($W298="","",R298+O298)</f>
        <v/>
      </c>
      <c r="T298" s="7">
        <f>IF($W298="","",U298-S298)</f>
        <v/>
      </c>
      <c r="U298" s="7">
        <f>IF($W298="","",N298+Q298+L298)</f>
        <v/>
      </c>
      <c r="V298" s="7">
        <f>IF($W298="","",U298-S298-J298)</f>
        <v/>
      </c>
      <c r="W298" s="13">
        <f>IF(ROWS($W$2:$W298)&lt;=MAX('Per Line'!$AG$2:$AG$1501),MATCH(ROWS($W$2:$W298),'Per Line'!$AG$2:$AG$1501,0),"")</f>
        <v/>
      </c>
    </row>
    <row r="299">
      <c r="A299" s="12" t="n"/>
      <c r="B299">
        <f>IF($W299="","",INDEX('Per Line'!$B$2:$B$1501,$W299)&amp;"")</f>
        <v/>
      </c>
      <c r="C299">
        <f>IF($W299="","",INDEX('Per Line'!$A$2:$A$1501,$W299))</f>
        <v/>
      </c>
      <c r="D299" s="11">
        <f>IF($W299="","",INDEX('Per Line'!$C$2:$C$1501,$W299))</f>
        <v/>
      </c>
      <c r="E299">
        <f>IF($W299="","",INDEX('Per Line'!$D$2:$D$1501,$W299)&amp;"")</f>
        <v/>
      </c>
      <c r="F299">
        <f>IF($W299="","",INDEX('Per Line'!$F$2:$F$1501,$W299)&amp;"")</f>
        <v/>
      </c>
      <c r="G299">
        <f>IF($W299="","",INDEX('Per Line'!$G$2:$G$1501,$W299)&amp;"")</f>
        <v/>
      </c>
      <c r="H299">
        <f>IF($W299="","",INDEX('Per Line'!$H$2:$H$1501,$W299)&amp;"")</f>
        <v/>
      </c>
      <c r="I299">
        <f>IF($W299="","",INDEX('Per Line'!$I$2:$I$1501,$W299))</f>
        <v/>
      </c>
      <c r="J299" s="7">
        <f>IF($W299="","",I299*U299/100)</f>
        <v/>
      </c>
      <c r="K299">
        <f>IF($W299="","",INDEX('Per Line'!$U$2:$U$1501,$W299)&amp;"")</f>
        <v/>
      </c>
      <c r="L299" s="7">
        <f>IF($W299="","",SUMIFS('Per Line'!$Q$2:$Q$1501,'Per Line'!$B$2:$B$1501,$B299,'Per Line'!$AI$2:$AI$1501,1))</f>
        <v/>
      </c>
      <c r="M299">
        <f>IF($W299="","",Settings!$C$7)</f>
        <v/>
      </c>
      <c r="N299" s="7">
        <f>IF($W299="","",SUMIFS('Per Line'!$Q$2:$Q$1501,'Per Line'!$B$2:$B$1501,$B299,'Per Line'!$AH$2:$AH$1501,0,'Per Line'!$AI$2:$AI$1501,0))</f>
        <v/>
      </c>
      <c r="O299" s="7">
        <f>IF($W299="","",N299*M299)</f>
        <v/>
      </c>
      <c r="P299">
        <f>IF($W299="","",Settings!$C$6)</f>
        <v/>
      </c>
      <c r="Q299" s="7">
        <f>IF($W299="","",SUMIFS('Per Line'!$Q$2:$Q$1501,'Per Line'!$B$2:$B$1501,$B299,'Per Line'!$AH$2:$AH$1501,1,'Per Line'!$AI$2:$AI$1501,0))</f>
        <v/>
      </c>
      <c r="R299" s="7">
        <f>IF($W299="","",Q299*P299)</f>
        <v/>
      </c>
      <c r="S299" s="7">
        <f>IF($W299="","",R299+O299)</f>
        <v/>
      </c>
      <c r="T299" s="7">
        <f>IF($W299="","",U299-S299)</f>
        <v/>
      </c>
      <c r="U299" s="7">
        <f>IF($W299="","",N299+Q299+L299)</f>
        <v/>
      </c>
      <c r="V299" s="7">
        <f>IF($W299="","",U299-S299-J299)</f>
        <v/>
      </c>
      <c r="W299" s="13">
        <f>IF(ROWS($W$2:$W299)&lt;=MAX('Per Line'!$AG$2:$AG$1501),MATCH(ROWS($W$2:$W299),'Per Line'!$AG$2:$AG$1501,0),"")</f>
        <v/>
      </c>
    </row>
    <row r="300">
      <c r="A300" s="12" t="n"/>
      <c r="B300">
        <f>IF($W300="","",INDEX('Per Line'!$B$2:$B$1501,$W300)&amp;"")</f>
        <v/>
      </c>
      <c r="C300">
        <f>IF($W300="","",INDEX('Per Line'!$A$2:$A$1501,$W300))</f>
        <v/>
      </c>
      <c r="D300" s="11">
        <f>IF($W300="","",INDEX('Per Line'!$C$2:$C$1501,$W300))</f>
        <v/>
      </c>
      <c r="E300">
        <f>IF($W300="","",INDEX('Per Line'!$D$2:$D$1501,$W300)&amp;"")</f>
        <v/>
      </c>
      <c r="F300">
        <f>IF($W300="","",INDEX('Per Line'!$F$2:$F$1501,$W300)&amp;"")</f>
        <v/>
      </c>
      <c r="G300">
        <f>IF($W300="","",INDEX('Per Line'!$G$2:$G$1501,$W300)&amp;"")</f>
        <v/>
      </c>
      <c r="H300">
        <f>IF($W300="","",INDEX('Per Line'!$H$2:$H$1501,$W300)&amp;"")</f>
        <v/>
      </c>
      <c r="I300">
        <f>IF($W300="","",INDEX('Per Line'!$I$2:$I$1501,$W300))</f>
        <v/>
      </c>
      <c r="J300" s="7">
        <f>IF($W300="","",I300*U300/100)</f>
        <v/>
      </c>
      <c r="K300">
        <f>IF($W300="","",INDEX('Per Line'!$U$2:$U$1501,$W300)&amp;"")</f>
        <v/>
      </c>
      <c r="L300" s="7">
        <f>IF($W300="","",SUMIFS('Per Line'!$Q$2:$Q$1501,'Per Line'!$B$2:$B$1501,$B300,'Per Line'!$AI$2:$AI$1501,1))</f>
        <v/>
      </c>
      <c r="M300">
        <f>IF($W300="","",Settings!$C$7)</f>
        <v/>
      </c>
      <c r="N300" s="7">
        <f>IF($W300="","",SUMIFS('Per Line'!$Q$2:$Q$1501,'Per Line'!$B$2:$B$1501,$B300,'Per Line'!$AH$2:$AH$1501,0,'Per Line'!$AI$2:$AI$1501,0))</f>
        <v/>
      </c>
      <c r="O300" s="7">
        <f>IF($W300="","",N300*M300)</f>
        <v/>
      </c>
      <c r="P300">
        <f>IF($W300="","",Settings!$C$6)</f>
        <v/>
      </c>
      <c r="Q300" s="7">
        <f>IF($W300="","",SUMIFS('Per Line'!$Q$2:$Q$1501,'Per Line'!$B$2:$B$1501,$B300,'Per Line'!$AH$2:$AH$1501,1,'Per Line'!$AI$2:$AI$1501,0))</f>
        <v/>
      </c>
      <c r="R300" s="7">
        <f>IF($W300="","",Q300*P300)</f>
        <v/>
      </c>
      <c r="S300" s="7">
        <f>IF($W300="","",R300+O300)</f>
        <v/>
      </c>
      <c r="T300" s="7">
        <f>IF($W300="","",U300-S300)</f>
        <v/>
      </c>
      <c r="U300" s="7">
        <f>IF($W300="","",N300+Q300+L300)</f>
        <v/>
      </c>
      <c r="V300" s="7">
        <f>IF($W300="","",U300-S300-J300)</f>
        <v/>
      </c>
      <c r="W300" s="13">
        <f>IF(ROWS($W$2:$W300)&lt;=MAX('Per Line'!$AG$2:$AG$1501),MATCH(ROWS($W$2:$W300),'Per Line'!$AG$2:$AG$1501,0),"")</f>
        <v/>
      </c>
    </row>
    <row r="301">
      <c r="A301" s="12" t="n"/>
      <c r="B301">
        <f>IF($W301="","",INDEX('Per Line'!$B$2:$B$1501,$W301)&amp;"")</f>
        <v/>
      </c>
      <c r="C301">
        <f>IF($W301="","",INDEX('Per Line'!$A$2:$A$1501,$W301))</f>
        <v/>
      </c>
      <c r="D301" s="11">
        <f>IF($W301="","",INDEX('Per Line'!$C$2:$C$1501,$W301))</f>
        <v/>
      </c>
      <c r="E301">
        <f>IF($W301="","",INDEX('Per Line'!$D$2:$D$1501,$W301)&amp;"")</f>
        <v/>
      </c>
      <c r="F301">
        <f>IF($W301="","",INDEX('Per Line'!$F$2:$F$1501,$W301)&amp;"")</f>
        <v/>
      </c>
      <c r="G301">
        <f>IF($W301="","",INDEX('Per Line'!$G$2:$G$1501,$W301)&amp;"")</f>
        <v/>
      </c>
      <c r="H301">
        <f>IF($W301="","",INDEX('Per Line'!$H$2:$H$1501,$W301)&amp;"")</f>
        <v/>
      </c>
      <c r="I301">
        <f>IF($W301="","",INDEX('Per Line'!$I$2:$I$1501,$W301))</f>
        <v/>
      </c>
      <c r="J301" s="7">
        <f>IF($W301="","",I301*U301/100)</f>
        <v/>
      </c>
      <c r="K301">
        <f>IF($W301="","",INDEX('Per Line'!$U$2:$U$1501,$W301)&amp;"")</f>
        <v/>
      </c>
      <c r="L301" s="7">
        <f>IF($W301="","",SUMIFS('Per Line'!$Q$2:$Q$1501,'Per Line'!$B$2:$B$1501,$B301,'Per Line'!$AI$2:$AI$1501,1))</f>
        <v/>
      </c>
      <c r="M301">
        <f>IF($W301="","",Settings!$C$7)</f>
        <v/>
      </c>
      <c r="N301" s="7">
        <f>IF($W301="","",SUMIFS('Per Line'!$Q$2:$Q$1501,'Per Line'!$B$2:$B$1501,$B301,'Per Line'!$AH$2:$AH$1501,0,'Per Line'!$AI$2:$AI$1501,0))</f>
        <v/>
      </c>
      <c r="O301" s="7">
        <f>IF($W301="","",N301*M301)</f>
        <v/>
      </c>
      <c r="P301">
        <f>IF($W301="","",Settings!$C$6)</f>
        <v/>
      </c>
      <c r="Q301" s="7">
        <f>IF($W301="","",SUMIFS('Per Line'!$Q$2:$Q$1501,'Per Line'!$B$2:$B$1501,$B301,'Per Line'!$AH$2:$AH$1501,1,'Per Line'!$AI$2:$AI$1501,0))</f>
        <v/>
      </c>
      <c r="R301" s="7">
        <f>IF($W301="","",Q301*P301)</f>
        <v/>
      </c>
      <c r="S301" s="7">
        <f>IF($W301="","",R301+O301)</f>
        <v/>
      </c>
      <c r="T301" s="7">
        <f>IF($W301="","",U301-S301)</f>
        <v/>
      </c>
      <c r="U301" s="7">
        <f>IF($W301="","",N301+Q301+L301)</f>
        <v/>
      </c>
      <c r="V301" s="7">
        <f>IF($W301="","",U301-S301-J301)</f>
        <v/>
      </c>
      <c r="W301" s="13">
        <f>IF(ROWS($W$2:$W301)&lt;=MAX('Per Line'!$AG$2:$AG$1501),MATCH(ROWS($W$2:$W301),'Per Line'!$AG$2:$AG$1501,0),"")</f>
        <v/>
      </c>
    </row>
  </sheetData>
  <autoFilter ref="A1:W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2026-10-12T10:41:46Z</dcterms:created>
  <dcterms:modified xmlns:dcterms="http://purl.org/dc/terms/" xmlns:xsi="http://www.w3.org/2001/XMLSchema-instance" xsi:type="dcterms:W3CDTF">2026-10-12T10:41:46Z</dcterms:modified>
</cp:coreProperties>
</file>