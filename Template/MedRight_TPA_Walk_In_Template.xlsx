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Line'!$A$1:$Z$501</definedName>
    <definedName name="_xlnm._FilterDatabase" localSheetId="3" hidden="1">'Per Invoice'!$A$1:$V$201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MEDRIGHT TPA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B-F, H-R (same order as the system export).</t>
        </is>
      </c>
    </row>
    <row r="6">
      <c r="A6" s="3" t="inlineStr">
        <is>
          <t>3. Green columns (A, G, S, T, U, V) and the grey helper columns (W-Z)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columns you type yourself in 'Per Invoice' (blue headers): A 'Invoice', C 'APP'. Everything else is formula. Type them AFTER pasting the month data (they follow the row, not the order).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July 2026 sheet)</t>
        </is>
      </c>
    </row>
    <row r="15">
      <c r="A15" s="3" t="inlineStr">
        <is>
          <t>Co val = Co Payment % x Total / 100.   Discount = Total x Rebates (Rebates is a fraction here, e.g. 0.14).   Subtotal = Total - Discount.   Net = Subtotal - Co val.   (Total = 'Total Delivered')</t>
        </is>
      </c>
    </row>
    <row r="16">
      <c r="A16" s="3" t="inlineStr">
        <is>
          <t>Rebates per line = Local rate (13%) if Local is TRUE, otherwise Imported rate (5%). Rates are set in 'Settings'.</t>
        </is>
      </c>
    </row>
    <row r="18">
      <c r="A18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500 lines and 200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MEDRIGHT TPA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0.13</v>
      </c>
      <c r="D6" t="inlineStr">
        <is>
          <t>Source: Jul sheet (Rebates = 0.13 on Local lines).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Jul sheet (IMP% = 0.05 on Per Invoice).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Line'!$B$2:$B$501)</f>
        <v/>
      </c>
    </row>
    <row r="11">
      <c r="B11" t="inlineStr">
        <is>
          <t>Invoices (unique Order #)</t>
        </is>
      </c>
      <c r="C11">
        <f>MAX('Per Line'!$X$2:$X$501)</f>
        <v/>
      </c>
    </row>
    <row r="12">
      <c r="B12" t="inlineStr">
        <is>
          <t>Invoices shown in Per Invoice</t>
        </is>
      </c>
      <c r="C12">
        <f>SUMPRODUCT(--('Per Invoice'!$B$2:$B$201&lt;&gt;""))</f>
        <v/>
      </c>
    </row>
    <row r="13">
      <c r="B13" t="inlineStr">
        <is>
          <t>Grand Total - Per Line (Product Total)</t>
        </is>
      </c>
      <c r="C13" s="7">
        <f>SUM('Per Line'!$L$2:$L$501)</f>
        <v/>
      </c>
    </row>
    <row r="14">
      <c r="B14" t="inlineStr">
        <is>
          <t>Grand Total - Per Invoice</t>
        </is>
      </c>
      <c r="C14" s="7">
        <f>SUM('Per Invoice'!$T$2:$T$201)</f>
        <v/>
      </c>
    </row>
    <row r="15">
      <c r="B15" t="inlineStr">
        <is>
          <t>Discount - Per Line</t>
        </is>
      </c>
      <c r="C15" s="7">
        <f>SUM('Per Line'!$T$2:$T$501)</f>
        <v/>
      </c>
    </row>
    <row r="16">
      <c r="B16" t="inlineStr">
        <is>
          <t>Discount - Per Invoice</t>
        </is>
      </c>
      <c r="C16" s="7">
        <f>SUM('Per Invoice'!$R$2:$R$201)</f>
        <v/>
      </c>
    </row>
    <row r="17">
      <c r="B17" t="inlineStr">
        <is>
          <t>Co val - Per Line</t>
        </is>
      </c>
      <c r="C17" s="7">
        <f>SUM('Per Line'!$G$2:$G$501)</f>
        <v/>
      </c>
    </row>
    <row r="18">
      <c r="B18" t="inlineStr">
        <is>
          <t>Co val - Per Invoice</t>
        </is>
      </c>
      <c r="C18" s="7">
        <f>SUM('Per Invoice'!$H$2:$H$201)</f>
        <v/>
      </c>
    </row>
    <row r="19">
      <c r="B19" t="inlineStr">
        <is>
          <t>Net - Per Line</t>
        </is>
      </c>
      <c r="C19" s="7">
        <f>SUM('Per Line'!$V$2:$V$501)</f>
        <v/>
      </c>
    </row>
    <row r="20">
      <c r="B20" t="inlineStr">
        <is>
          <t>Net - Per Invoice</t>
        </is>
      </c>
      <c r="C20" s="7">
        <f>SUM('Per Invoice'!$U$2:$U$201)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Line'!$B:$B)-1&gt;500,"TOO MANY LINES - extend template",IF(C11&gt;200,"TOO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26" customWidth="1" min="4" max="4"/>
    <col width="13" customWidth="1" min="5" max="5"/>
    <col width="12" customWidth="1" min="6" max="6"/>
    <col width="11" customWidth="1" min="7" max="7"/>
    <col width="12" customWidth="1" min="8" max="8"/>
    <col width="40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7" customWidth="1" min="16" max="16"/>
    <col width="28" customWidth="1" min="17" max="17"/>
    <col width="12" customWidth="1" min="18" max="18"/>
    <col width="11" customWidth="1" min="19" max="19"/>
    <col width="11" customWidth="1" min="20" max="20"/>
    <col width="11" customWidth="1" min="21" max="21"/>
    <col width="11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32" customHeight="1">
      <c r="A1" s="8" t="inlineStr">
        <is>
          <t>INV</t>
        </is>
      </c>
      <c r="B1" s="9" t="inlineStr">
        <is>
          <t>Pos Reference</t>
        </is>
      </c>
      <c r="C1" s="9" t="inlineStr">
        <is>
          <t>Insurance Company</t>
        </is>
      </c>
      <c r="D1" s="9" t="inlineStr">
        <is>
          <t>Name</t>
        </is>
      </c>
      <c r="E1" s="9" t="inlineStr">
        <is>
          <t>Card Number</t>
        </is>
      </c>
      <c r="F1" s="9" t="inlineStr">
        <is>
          <t>Co Payment %</t>
        </is>
      </c>
      <c r="G1" s="8" t="inlineStr">
        <is>
          <t>Co val</t>
        </is>
      </c>
      <c r="H1" s="9" t="inlineStr">
        <is>
          <t>Heisenberg id</t>
        </is>
      </c>
      <c r="I1" s="9" t="inlineStr">
        <is>
          <t>Product</t>
        </is>
      </c>
      <c r="J1" s="9" t="inlineStr">
        <is>
          <t>Original Quantity</t>
        </is>
      </c>
      <c r="K1" s="9" t="inlineStr">
        <is>
          <t>Delivered Qty</t>
        </is>
      </c>
      <c r="L1" s="9" t="inlineStr">
        <is>
          <t>Total Delivered</t>
        </is>
      </c>
      <c r="M1" s="9" t="inlineStr">
        <is>
          <t>Payment Amount</t>
        </is>
      </c>
      <c r="N1" s="9" t="inlineStr">
        <is>
          <t>Payment Type</t>
        </is>
      </c>
      <c r="O1" s="9" t="inlineStr">
        <is>
          <t>Session</t>
        </is>
      </c>
      <c r="P1" s="9" t="inlineStr">
        <is>
          <t>Create Date</t>
        </is>
      </c>
      <c r="Q1" s="9" t="inlineStr">
        <is>
          <t>Order Reference</t>
        </is>
      </c>
      <c r="R1" s="9" t="inlineStr">
        <is>
          <t>Product Template - Product Tmpl → Is Local</t>
        </is>
      </c>
      <c r="S1" s="8" t="inlineStr">
        <is>
          <t>Rebates</t>
        </is>
      </c>
      <c r="T1" s="8" t="inlineStr">
        <is>
          <t>Discount</t>
        </is>
      </c>
      <c r="U1" s="8" t="inlineStr">
        <is>
          <t>Subtotal</t>
        </is>
      </c>
      <c r="V1" s="8" t="inlineStr">
        <is>
          <t>Net</t>
        </is>
      </c>
      <c r="W1" s="10" t="inlineStr">
        <is>
          <t>Order 1st Row (helper)</t>
        </is>
      </c>
      <c r="X1" s="10" t="inlineStr">
        <is>
          <t>Invoice # (helper)</t>
        </is>
      </c>
      <c r="Y1" s="10" t="inlineStr">
        <is>
          <t>Is Local (helper)</t>
        </is>
      </c>
      <c r="Z1" s="10" t="inlineStr">
        <is>
          <t>Sort Key (helper)</t>
        </is>
      </c>
    </row>
    <row r="2">
      <c r="A2">
        <f>IF($B2="","",IFERROR(IF(INDEX('Per Invoice'!$A$2:$A$201,MATCH($B2,'Per Invoice'!$B$2:$B$201,0))=0,"",INDEX('Per Invoice'!$A$2:$A$201,MATCH($B2,'Per Invoice'!$B$2:$B$201,0))),""))</f>
        <v/>
      </c>
      <c r="G2" s="7">
        <f>IF($B2="","",F2*L2/100)</f>
        <v/>
      </c>
      <c r="J2" s="7" t="n"/>
      <c r="L2" s="7" t="n"/>
      <c r="M2" s="7" t="n"/>
      <c r="P2" s="11" t="n"/>
      <c r="S2">
        <f>IF($B2="","",IF($Y2=1,Settings!$C$6,Settings!$C$7)*1)</f>
        <v/>
      </c>
      <c r="T2" s="7">
        <f>IF($B2="","",S2*L2)</f>
        <v/>
      </c>
      <c r="U2" s="7">
        <f>IF($B2="","",L2-T2)</f>
        <v/>
      </c>
      <c r="V2" s="7">
        <f>IF($B2="","",U2-G2)</f>
        <v/>
      </c>
      <c r="W2">
        <f>IF($B2="","",IF(COUNTIF($B$2:$B2,$B2)=1,1,0))</f>
        <v/>
      </c>
      <c r="X2">
        <f>IF($W2=1,SUMPRODUCT(--($Z$2:$Z$501&lt;$Z2))+1,"")</f>
        <v/>
      </c>
      <c r="Y2">
        <f>IF($B2="","",IF(OR($R2=TRUE(),$R2="TRUE"),1,0))</f>
        <v/>
      </c>
      <c r="Z2">
        <f>IF($W2=1,IFERROR(IF(VALUE($B2)&lt;100000000,VALUE($B2),1000000000),IFERROR(IF(VALUE(MID($B2,2,20))&lt;100000000,VALUE(MID($B2,2,20)),1000000000),1000000000))+ROW()/100000,"")</f>
        <v/>
      </c>
    </row>
    <row r="3">
      <c r="A3">
        <f>IF($B3="","",IFERROR(IF(INDEX('Per Invoice'!$A$2:$A$201,MATCH($B3,'Per Invoice'!$B$2:$B$201,0))=0,"",INDEX('Per Invoice'!$A$2:$A$201,MATCH($B3,'Per Invoice'!$B$2:$B$201,0))),""))</f>
        <v/>
      </c>
      <c r="G3" s="7">
        <f>IF($B3="","",F3*L3/100)</f>
        <v/>
      </c>
      <c r="J3" s="7" t="n"/>
      <c r="L3" s="7" t="n"/>
      <c r="M3" s="7" t="n"/>
      <c r="P3" s="11" t="n"/>
      <c r="S3">
        <f>IF($B3="","",IF($Y3=1,Settings!$C$6,Settings!$C$7)*1)</f>
        <v/>
      </c>
      <c r="T3" s="7">
        <f>IF($B3="","",S3*L3)</f>
        <v/>
      </c>
      <c r="U3" s="7">
        <f>IF($B3="","",L3-T3)</f>
        <v/>
      </c>
      <c r="V3" s="7">
        <f>IF($B3="","",U3-G3)</f>
        <v/>
      </c>
      <c r="W3">
        <f>IF($B3="","",IF(COUNTIF($B$2:$B3,$B3)=1,1,0))</f>
        <v/>
      </c>
      <c r="X3">
        <f>IF($W3=1,SUMPRODUCT(--($Z$2:$Z$501&lt;$Z3))+1,"")</f>
        <v/>
      </c>
      <c r="Y3">
        <f>IF($B3="","",IF(OR($R3=TRUE(),$R3="TRUE"),1,0))</f>
        <v/>
      </c>
      <c r="Z3">
        <f>IF($W3=1,IFERROR(IF(VALUE($B3)&lt;100000000,VALUE($B3),1000000000),IFERROR(IF(VALUE(MID($B3,2,20))&lt;100000000,VALUE(MID($B3,2,20)),1000000000),1000000000))+ROW()/100000,"")</f>
        <v/>
      </c>
    </row>
    <row r="4">
      <c r="A4">
        <f>IF($B4="","",IFERROR(IF(INDEX('Per Invoice'!$A$2:$A$201,MATCH($B4,'Per Invoice'!$B$2:$B$201,0))=0,"",INDEX('Per Invoice'!$A$2:$A$201,MATCH($B4,'Per Invoice'!$B$2:$B$201,0))),""))</f>
        <v/>
      </c>
      <c r="G4" s="7">
        <f>IF($B4="","",F4*L4/100)</f>
        <v/>
      </c>
      <c r="J4" s="7" t="n"/>
      <c r="L4" s="7" t="n"/>
      <c r="M4" s="7" t="n"/>
      <c r="P4" s="11" t="n"/>
      <c r="S4">
        <f>IF($B4="","",IF($Y4=1,Settings!$C$6,Settings!$C$7)*1)</f>
        <v/>
      </c>
      <c r="T4" s="7">
        <f>IF($B4="","",S4*L4)</f>
        <v/>
      </c>
      <c r="U4" s="7">
        <f>IF($B4="","",L4-T4)</f>
        <v/>
      </c>
      <c r="V4" s="7">
        <f>IF($B4="","",U4-G4)</f>
        <v/>
      </c>
      <c r="W4">
        <f>IF($B4="","",IF(COUNTIF($B$2:$B4,$B4)=1,1,0))</f>
        <v/>
      </c>
      <c r="X4">
        <f>IF($W4=1,SUMPRODUCT(--($Z$2:$Z$501&lt;$Z4))+1,"")</f>
        <v/>
      </c>
      <c r="Y4">
        <f>IF($B4="","",IF(OR($R4=TRUE(),$R4="TRUE"),1,0))</f>
        <v/>
      </c>
      <c r="Z4">
        <f>IF($W4=1,IFERROR(IF(VALUE($B4)&lt;100000000,VALUE($B4),1000000000),IFERROR(IF(VALUE(MID($B4,2,20))&lt;100000000,VALUE(MID($B4,2,20)),1000000000),1000000000))+ROW()/100000,"")</f>
        <v/>
      </c>
    </row>
    <row r="5">
      <c r="A5">
        <f>IF($B5="","",IFERROR(IF(INDEX('Per Invoice'!$A$2:$A$201,MATCH($B5,'Per Invoice'!$B$2:$B$201,0))=0,"",INDEX('Per Invoice'!$A$2:$A$201,MATCH($B5,'Per Invoice'!$B$2:$B$201,0))),""))</f>
        <v/>
      </c>
      <c r="G5" s="7">
        <f>IF($B5="","",F5*L5/100)</f>
        <v/>
      </c>
      <c r="J5" s="7" t="n"/>
      <c r="L5" s="7" t="n"/>
      <c r="M5" s="7" t="n"/>
      <c r="P5" s="11" t="n"/>
      <c r="S5">
        <f>IF($B5="","",IF($Y5=1,Settings!$C$6,Settings!$C$7)*1)</f>
        <v/>
      </c>
      <c r="T5" s="7">
        <f>IF($B5="","",S5*L5)</f>
        <v/>
      </c>
      <c r="U5" s="7">
        <f>IF($B5="","",L5-T5)</f>
        <v/>
      </c>
      <c r="V5" s="7">
        <f>IF($B5="","",U5-G5)</f>
        <v/>
      </c>
      <c r="W5">
        <f>IF($B5="","",IF(COUNTIF($B$2:$B5,$B5)=1,1,0))</f>
        <v/>
      </c>
      <c r="X5">
        <f>IF($W5=1,SUMPRODUCT(--($Z$2:$Z$501&lt;$Z5))+1,"")</f>
        <v/>
      </c>
      <c r="Y5">
        <f>IF($B5="","",IF(OR($R5=TRUE(),$R5="TRUE"),1,0))</f>
        <v/>
      </c>
      <c r="Z5">
        <f>IF($W5=1,IFERROR(IF(VALUE($B5)&lt;100000000,VALUE($B5),1000000000),IFERROR(IF(VALUE(MID($B5,2,20))&lt;100000000,VALUE(MID($B5,2,20)),1000000000),1000000000))+ROW()/100000,"")</f>
        <v/>
      </c>
    </row>
    <row r="6">
      <c r="A6">
        <f>IF($B6="","",IFERROR(IF(INDEX('Per Invoice'!$A$2:$A$201,MATCH($B6,'Per Invoice'!$B$2:$B$201,0))=0,"",INDEX('Per Invoice'!$A$2:$A$201,MATCH($B6,'Per Invoice'!$B$2:$B$201,0))),""))</f>
        <v/>
      </c>
      <c r="G6" s="7">
        <f>IF($B6="","",F6*L6/100)</f>
        <v/>
      </c>
      <c r="J6" s="7" t="n"/>
      <c r="L6" s="7" t="n"/>
      <c r="M6" s="7" t="n"/>
      <c r="P6" s="11" t="n"/>
      <c r="S6">
        <f>IF($B6="","",IF($Y6=1,Settings!$C$6,Settings!$C$7)*1)</f>
        <v/>
      </c>
      <c r="T6" s="7">
        <f>IF($B6="","",S6*L6)</f>
        <v/>
      </c>
      <c r="U6" s="7">
        <f>IF($B6="","",L6-T6)</f>
        <v/>
      </c>
      <c r="V6" s="7">
        <f>IF($B6="","",U6-G6)</f>
        <v/>
      </c>
      <c r="W6">
        <f>IF($B6="","",IF(COUNTIF($B$2:$B6,$B6)=1,1,0))</f>
        <v/>
      </c>
      <c r="X6">
        <f>IF($W6=1,SUMPRODUCT(--($Z$2:$Z$501&lt;$Z6))+1,"")</f>
        <v/>
      </c>
      <c r="Y6">
        <f>IF($B6="","",IF(OR($R6=TRUE(),$R6="TRUE"),1,0))</f>
        <v/>
      </c>
      <c r="Z6">
        <f>IF($W6=1,IFERROR(IF(VALUE($B6)&lt;100000000,VALUE($B6),1000000000),IFERROR(IF(VALUE(MID($B6,2,20))&lt;100000000,VALUE(MID($B6,2,20)),1000000000),1000000000))+ROW()/100000,"")</f>
        <v/>
      </c>
    </row>
    <row r="7">
      <c r="A7">
        <f>IF($B7="","",IFERROR(IF(INDEX('Per Invoice'!$A$2:$A$201,MATCH($B7,'Per Invoice'!$B$2:$B$201,0))=0,"",INDEX('Per Invoice'!$A$2:$A$201,MATCH($B7,'Per Invoice'!$B$2:$B$201,0))),""))</f>
        <v/>
      </c>
      <c r="G7" s="7">
        <f>IF($B7="","",F7*L7/100)</f>
        <v/>
      </c>
      <c r="J7" s="7" t="n"/>
      <c r="L7" s="7" t="n"/>
      <c r="M7" s="7" t="n"/>
      <c r="P7" s="11" t="n"/>
      <c r="S7">
        <f>IF($B7="","",IF($Y7=1,Settings!$C$6,Settings!$C$7)*1)</f>
        <v/>
      </c>
      <c r="T7" s="7">
        <f>IF($B7="","",S7*L7)</f>
        <v/>
      </c>
      <c r="U7" s="7">
        <f>IF($B7="","",L7-T7)</f>
        <v/>
      </c>
      <c r="V7" s="7">
        <f>IF($B7="","",U7-G7)</f>
        <v/>
      </c>
      <c r="W7">
        <f>IF($B7="","",IF(COUNTIF($B$2:$B7,$B7)=1,1,0))</f>
        <v/>
      </c>
      <c r="X7">
        <f>IF($W7=1,SUMPRODUCT(--($Z$2:$Z$501&lt;$Z7))+1,"")</f>
        <v/>
      </c>
      <c r="Y7">
        <f>IF($B7="","",IF(OR($R7=TRUE(),$R7="TRUE"),1,0))</f>
        <v/>
      </c>
      <c r="Z7">
        <f>IF($W7=1,IFERROR(IF(VALUE($B7)&lt;100000000,VALUE($B7),1000000000),IFERROR(IF(VALUE(MID($B7,2,20))&lt;100000000,VALUE(MID($B7,2,20)),1000000000),1000000000))+ROW()/100000,"")</f>
        <v/>
      </c>
    </row>
    <row r="8">
      <c r="A8">
        <f>IF($B8="","",IFERROR(IF(INDEX('Per Invoice'!$A$2:$A$201,MATCH($B8,'Per Invoice'!$B$2:$B$201,0))=0,"",INDEX('Per Invoice'!$A$2:$A$201,MATCH($B8,'Per Invoice'!$B$2:$B$201,0))),""))</f>
        <v/>
      </c>
      <c r="G8" s="7">
        <f>IF($B8="","",F8*L8/100)</f>
        <v/>
      </c>
      <c r="J8" s="7" t="n"/>
      <c r="L8" s="7" t="n"/>
      <c r="M8" s="7" t="n"/>
      <c r="P8" s="11" t="n"/>
      <c r="S8">
        <f>IF($B8="","",IF($Y8=1,Settings!$C$6,Settings!$C$7)*1)</f>
        <v/>
      </c>
      <c r="T8" s="7">
        <f>IF($B8="","",S8*L8)</f>
        <v/>
      </c>
      <c r="U8" s="7">
        <f>IF($B8="","",L8-T8)</f>
        <v/>
      </c>
      <c r="V8" s="7">
        <f>IF($B8="","",U8-G8)</f>
        <v/>
      </c>
      <c r="W8">
        <f>IF($B8="","",IF(COUNTIF($B$2:$B8,$B8)=1,1,0))</f>
        <v/>
      </c>
      <c r="X8">
        <f>IF($W8=1,SUMPRODUCT(--($Z$2:$Z$501&lt;$Z8))+1,"")</f>
        <v/>
      </c>
      <c r="Y8">
        <f>IF($B8="","",IF(OR($R8=TRUE(),$R8="TRUE"),1,0))</f>
        <v/>
      </c>
      <c r="Z8">
        <f>IF($W8=1,IFERROR(IF(VALUE($B8)&lt;100000000,VALUE($B8),1000000000),IFERROR(IF(VALUE(MID($B8,2,20))&lt;100000000,VALUE(MID($B8,2,20)),1000000000),1000000000))+ROW()/100000,"")</f>
        <v/>
      </c>
    </row>
    <row r="9">
      <c r="A9">
        <f>IF($B9="","",IFERROR(IF(INDEX('Per Invoice'!$A$2:$A$201,MATCH($B9,'Per Invoice'!$B$2:$B$201,0))=0,"",INDEX('Per Invoice'!$A$2:$A$201,MATCH($B9,'Per Invoice'!$B$2:$B$201,0))),""))</f>
        <v/>
      </c>
      <c r="G9" s="7">
        <f>IF($B9="","",F9*L9/100)</f>
        <v/>
      </c>
      <c r="J9" s="7" t="n"/>
      <c r="L9" s="7" t="n"/>
      <c r="M9" s="7" t="n"/>
      <c r="P9" s="11" t="n"/>
      <c r="S9">
        <f>IF($B9="","",IF($Y9=1,Settings!$C$6,Settings!$C$7)*1)</f>
        <v/>
      </c>
      <c r="T9" s="7">
        <f>IF($B9="","",S9*L9)</f>
        <v/>
      </c>
      <c r="U9" s="7">
        <f>IF($B9="","",L9-T9)</f>
        <v/>
      </c>
      <c r="V9" s="7">
        <f>IF($B9="","",U9-G9)</f>
        <v/>
      </c>
      <c r="W9">
        <f>IF($B9="","",IF(COUNTIF($B$2:$B9,$B9)=1,1,0))</f>
        <v/>
      </c>
      <c r="X9">
        <f>IF($W9=1,SUMPRODUCT(--($Z$2:$Z$501&lt;$Z9))+1,"")</f>
        <v/>
      </c>
      <c r="Y9">
        <f>IF($B9="","",IF(OR($R9=TRUE(),$R9="TRUE"),1,0))</f>
        <v/>
      </c>
      <c r="Z9">
        <f>IF($W9=1,IFERROR(IF(VALUE($B9)&lt;100000000,VALUE($B9),1000000000),IFERROR(IF(VALUE(MID($B9,2,20))&lt;100000000,VALUE(MID($B9,2,20)),1000000000),1000000000))+ROW()/100000,"")</f>
        <v/>
      </c>
    </row>
    <row r="10">
      <c r="A10">
        <f>IF($B10="","",IFERROR(IF(INDEX('Per Invoice'!$A$2:$A$201,MATCH($B10,'Per Invoice'!$B$2:$B$201,0))=0,"",INDEX('Per Invoice'!$A$2:$A$201,MATCH($B10,'Per Invoice'!$B$2:$B$201,0))),""))</f>
        <v/>
      </c>
      <c r="G10" s="7">
        <f>IF($B10="","",F10*L10/100)</f>
        <v/>
      </c>
      <c r="J10" s="7" t="n"/>
      <c r="L10" s="7" t="n"/>
      <c r="M10" s="7" t="n"/>
      <c r="P10" s="11" t="n"/>
      <c r="S10">
        <f>IF($B10="","",IF($Y10=1,Settings!$C$6,Settings!$C$7)*1)</f>
        <v/>
      </c>
      <c r="T10" s="7">
        <f>IF($B10="","",S10*L10)</f>
        <v/>
      </c>
      <c r="U10" s="7">
        <f>IF($B10="","",L10-T10)</f>
        <v/>
      </c>
      <c r="V10" s="7">
        <f>IF($B10="","",U10-G10)</f>
        <v/>
      </c>
      <c r="W10">
        <f>IF($B10="","",IF(COUNTIF($B$2:$B10,$B10)=1,1,0))</f>
        <v/>
      </c>
      <c r="X10">
        <f>IF($W10=1,SUMPRODUCT(--($Z$2:$Z$501&lt;$Z10))+1,"")</f>
        <v/>
      </c>
      <c r="Y10">
        <f>IF($B10="","",IF(OR($R10=TRUE(),$R10="TRUE"),1,0))</f>
        <v/>
      </c>
      <c r="Z10">
        <f>IF($W10=1,IFERROR(IF(VALUE($B10)&lt;100000000,VALUE($B10),1000000000),IFERROR(IF(VALUE(MID($B10,2,20))&lt;100000000,VALUE(MID($B10,2,20)),1000000000),1000000000))+ROW()/100000,"")</f>
        <v/>
      </c>
    </row>
    <row r="11">
      <c r="A11">
        <f>IF($B11="","",IFERROR(IF(INDEX('Per Invoice'!$A$2:$A$201,MATCH($B11,'Per Invoice'!$B$2:$B$201,0))=0,"",INDEX('Per Invoice'!$A$2:$A$201,MATCH($B11,'Per Invoice'!$B$2:$B$201,0))),""))</f>
        <v/>
      </c>
      <c r="G11" s="7">
        <f>IF($B11="","",F11*L11/100)</f>
        <v/>
      </c>
      <c r="J11" s="7" t="n"/>
      <c r="L11" s="7" t="n"/>
      <c r="M11" s="7" t="n"/>
      <c r="P11" s="11" t="n"/>
      <c r="S11">
        <f>IF($B11="","",IF($Y11=1,Settings!$C$6,Settings!$C$7)*1)</f>
        <v/>
      </c>
      <c r="T11" s="7">
        <f>IF($B11="","",S11*L11)</f>
        <v/>
      </c>
      <c r="U11" s="7">
        <f>IF($B11="","",L11-T11)</f>
        <v/>
      </c>
      <c r="V11" s="7">
        <f>IF($B11="","",U11-G11)</f>
        <v/>
      </c>
      <c r="W11">
        <f>IF($B11="","",IF(COUNTIF($B$2:$B11,$B11)=1,1,0))</f>
        <v/>
      </c>
      <c r="X11">
        <f>IF($W11=1,SUMPRODUCT(--($Z$2:$Z$501&lt;$Z11))+1,"")</f>
        <v/>
      </c>
      <c r="Y11">
        <f>IF($B11="","",IF(OR($R11=TRUE(),$R11="TRUE"),1,0))</f>
        <v/>
      </c>
      <c r="Z11">
        <f>IF($W11=1,IFERROR(IF(VALUE($B11)&lt;100000000,VALUE($B11),1000000000),IFERROR(IF(VALUE(MID($B11,2,20))&lt;100000000,VALUE(MID($B11,2,20)),1000000000),1000000000))+ROW()/100000,"")</f>
        <v/>
      </c>
    </row>
    <row r="12">
      <c r="A12">
        <f>IF($B12="","",IFERROR(IF(INDEX('Per Invoice'!$A$2:$A$201,MATCH($B12,'Per Invoice'!$B$2:$B$201,0))=0,"",INDEX('Per Invoice'!$A$2:$A$201,MATCH($B12,'Per Invoice'!$B$2:$B$201,0))),""))</f>
        <v/>
      </c>
      <c r="G12" s="7">
        <f>IF($B12="","",F12*L12/100)</f>
        <v/>
      </c>
      <c r="J12" s="7" t="n"/>
      <c r="L12" s="7" t="n"/>
      <c r="M12" s="7" t="n"/>
      <c r="P12" s="11" t="n"/>
      <c r="S12">
        <f>IF($B12="","",IF($Y12=1,Settings!$C$6,Settings!$C$7)*1)</f>
        <v/>
      </c>
      <c r="T12" s="7">
        <f>IF($B12="","",S12*L12)</f>
        <v/>
      </c>
      <c r="U12" s="7">
        <f>IF($B12="","",L12-T12)</f>
        <v/>
      </c>
      <c r="V12" s="7">
        <f>IF($B12="","",U12-G12)</f>
        <v/>
      </c>
      <c r="W12">
        <f>IF($B12="","",IF(COUNTIF($B$2:$B12,$B12)=1,1,0))</f>
        <v/>
      </c>
      <c r="X12">
        <f>IF($W12=1,SUMPRODUCT(--($Z$2:$Z$501&lt;$Z12))+1,"")</f>
        <v/>
      </c>
      <c r="Y12">
        <f>IF($B12="","",IF(OR($R12=TRUE(),$R12="TRUE"),1,0))</f>
        <v/>
      </c>
      <c r="Z12">
        <f>IF($W12=1,IFERROR(IF(VALUE($B12)&lt;100000000,VALUE($B12),1000000000),IFERROR(IF(VALUE(MID($B12,2,20))&lt;100000000,VALUE(MID($B12,2,20)),1000000000),1000000000))+ROW()/100000,"")</f>
        <v/>
      </c>
    </row>
    <row r="13">
      <c r="A13">
        <f>IF($B13="","",IFERROR(IF(INDEX('Per Invoice'!$A$2:$A$201,MATCH($B13,'Per Invoice'!$B$2:$B$201,0))=0,"",INDEX('Per Invoice'!$A$2:$A$201,MATCH($B13,'Per Invoice'!$B$2:$B$201,0))),""))</f>
        <v/>
      </c>
      <c r="G13" s="7">
        <f>IF($B13="","",F13*L13/100)</f>
        <v/>
      </c>
      <c r="J13" s="7" t="n"/>
      <c r="L13" s="7" t="n"/>
      <c r="M13" s="7" t="n"/>
      <c r="P13" s="11" t="n"/>
      <c r="S13">
        <f>IF($B13="","",IF($Y13=1,Settings!$C$6,Settings!$C$7)*1)</f>
        <v/>
      </c>
      <c r="T13" s="7">
        <f>IF($B13="","",S13*L13)</f>
        <v/>
      </c>
      <c r="U13" s="7">
        <f>IF($B13="","",L13-T13)</f>
        <v/>
      </c>
      <c r="V13" s="7">
        <f>IF($B13="","",U13-G13)</f>
        <v/>
      </c>
      <c r="W13">
        <f>IF($B13="","",IF(COUNTIF($B$2:$B13,$B13)=1,1,0))</f>
        <v/>
      </c>
      <c r="X13">
        <f>IF($W13=1,SUMPRODUCT(--($Z$2:$Z$501&lt;$Z13))+1,"")</f>
        <v/>
      </c>
      <c r="Y13">
        <f>IF($B13="","",IF(OR($R13=TRUE(),$R13="TRUE"),1,0))</f>
        <v/>
      </c>
      <c r="Z13">
        <f>IF($W13=1,IFERROR(IF(VALUE($B13)&lt;100000000,VALUE($B13),1000000000),IFERROR(IF(VALUE(MID($B13,2,20))&lt;100000000,VALUE(MID($B13,2,20)),1000000000),1000000000))+ROW()/100000,"")</f>
        <v/>
      </c>
    </row>
    <row r="14">
      <c r="A14">
        <f>IF($B14="","",IFERROR(IF(INDEX('Per Invoice'!$A$2:$A$201,MATCH($B14,'Per Invoice'!$B$2:$B$201,0))=0,"",INDEX('Per Invoice'!$A$2:$A$201,MATCH($B14,'Per Invoice'!$B$2:$B$201,0))),""))</f>
        <v/>
      </c>
      <c r="G14" s="7">
        <f>IF($B14="","",F14*L14/100)</f>
        <v/>
      </c>
      <c r="J14" s="7" t="n"/>
      <c r="L14" s="7" t="n"/>
      <c r="M14" s="7" t="n"/>
      <c r="P14" s="11" t="n"/>
      <c r="S14">
        <f>IF($B14="","",IF($Y14=1,Settings!$C$6,Settings!$C$7)*1)</f>
        <v/>
      </c>
      <c r="T14" s="7">
        <f>IF($B14="","",S14*L14)</f>
        <v/>
      </c>
      <c r="U14" s="7">
        <f>IF($B14="","",L14-T14)</f>
        <v/>
      </c>
      <c r="V14" s="7">
        <f>IF($B14="","",U14-G14)</f>
        <v/>
      </c>
      <c r="W14">
        <f>IF($B14="","",IF(COUNTIF($B$2:$B14,$B14)=1,1,0))</f>
        <v/>
      </c>
      <c r="X14">
        <f>IF($W14=1,SUMPRODUCT(--($Z$2:$Z$501&lt;$Z14))+1,"")</f>
        <v/>
      </c>
      <c r="Y14">
        <f>IF($B14="","",IF(OR($R14=TRUE(),$R14="TRUE"),1,0))</f>
        <v/>
      </c>
      <c r="Z14">
        <f>IF($W14=1,IFERROR(IF(VALUE($B14)&lt;100000000,VALUE($B14),1000000000),IFERROR(IF(VALUE(MID($B14,2,20))&lt;100000000,VALUE(MID($B14,2,20)),1000000000),1000000000))+ROW()/100000,"")</f>
        <v/>
      </c>
    </row>
    <row r="15">
      <c r="A15">
        <f>IF($B15="","",IFERROR(IF(INDEX('Per Invoice'!$A$2:$A$201,MATCH($B15,'Per Invoice'!$B$2:$B$201,0))=0,"",INDEX('Per Invoice'!$A$2:$A$201,MATCH($B15,'Per Invoice'!$B$2:$B$201,0))),""))</f>
        <v/>
      </c>
      <c r="G15" s="7">
        <f>IF($B15="","",F15*L15/100)</f>
        <v/>
      </c>
      <c r="J15" s="7" t="n"/>
      <c r="L15" s="7" t="n"/>
      <c r="M15" s="7" t="n"/>
      <c r="P15" s="11" t="n"/>
      <c r="S15">
        <f>IF($B15="","",IF($Y15=1,Settings!$C$6,Settings!$C$7)*1)</f>
        <v/>
      </c>
      <c r="T15" s="7">
        <f>IF($B15="","",S15*L15)</f>
        <v/>
      </c>
      <c r="U15" s="7">
        <f>IF($B15="","",L15-T15)</f>
        <v/>
      </c>
      <c r="V15" s="7">
        <f>IF($B15="","",U15-G15)</f>
        <v/>
      </c>
      <c r="W15">
        <f>IF($B15="","",IF(COUNTIF($B$2:$B15,$B15)=1,1,0))</f>
        <v/>
      </c>
      <c r="X15">
        <f>IF($W15=1,SUMPRODUCT(--($Z$2:$Z$501&lt;$Z15))+1,"")</f>
        <v/>
      </c>
      <c r="Y15">
        <f>IF($B15="","",IF(OR($R15=TRUE(),$R15="TRUE"),1,0))</f>
        <v/>
      </c>
      <c r="Z15">
        <f>IF($W15=1,IFERROR(IF(VALUE($B15)&lt;100000000,VALUE($B15),1000000000),IFERROR(IF(VALUE(MID($B15,2,20))&lt;100000000,VALUE(MID($B15,2,20)),1000000000),1000000000))+ROW()/100000,"")</f>
        <v/>
      </c>
    </row>
    <row r="16">
      <c r="A16">
        <f>IF($B16="","",IFERROR(IF(INDEX('Per Invoice'!$A$2:$A$201,MATCH($B16,'Per Invoice'!$B$2:$B$201,0))=0,"",INDEX('Per Invoice'!$A$2:$A$201,MATCH($B16,'Per Invoice'!$B$2:$B$201,0))),""))</f>
        <v/>
      </c>
      <c r="G16" s="7">
        <f>IF($B16="","",F16*L16/100)</f>
        <v/>
      </c>
      <c r="J16" s="7" t="n"/>
      <c r="L16" s="7" t="n"/>
      <c r="M16" s="7" t="n"/>
      <c r="P16" s="11" t="n"/>
      <c r="S16">
        <f>IF($B16="","",IF($Y16=1,Settings!$C$6,Settings!$C$7)*1)</f>
        <v/>
      </c>
      <c r="T16" s="7">
        <f>IF($B16="","",S16*L16)</f>
        <v/>
      </c>
      <c r="U16" s="7">
        <f>IF($B16="","",L16-T16)</f>
        <v/>
      </c>
      <c r="V16" s="7">
        <f>IF($B16="","",U16-G16)</f>
        <v/>
      </c>
      <c r="W16">
        <f>IF($B16="","",IF(COUNTIF($B$2:$B16,$B16)=1,1,0))</f>
        <v/>
      </c>
      <c r="X16">
        <f>IF($W16=1,SUMPRODUCT(--($Z$2:$Z$501&lt;$Z16))+1,"")</f>
        <v/>
      </c>
      <c r="Y16">
        <f>IF($B16="","",IF(OR($R16=TRUE(),$R16="TRUE"),1,0))</f>
        <v/>
      </c>
      <c r="Z16">
        <f>IF($W16=1,IFERROR(IF(VALUE($B16)&lt;100000000,VALUE($B16),1000000000),IFERROR(IF(VALUE(MID($B16,2,20))&lt;100000000,VALUE(MID($B16,2,20)),1000000000),1000000000))+ROW()/100000,"")</f>
        <v/>
      </c>
    </row>
    <row r="17">
      <c r="A17">
        <f>IF($B17="","",IFERROR(IF(INDEX('Per Invoice'!$A$2:$A$201,MATCH($B17,'Per Invoice'!$B$2:$B$201,0))=0,"",INDEX('Per Invoice'!$A$2:$A$201,MATCH($B17,'Per Invoice'!$B$2:$B$201,0))),""))</f>
        <v/>
      </c>
      <c r="G17" s="7">
        <f>IF($B17="","",F17*L17/100)</f>
        <v/>
      </c>
      <c r="J17" s="7" t="n"/>
      <c r="L17" s="7" t="n"/>
      <c r="M17" s="7" t="n"/>
      <c r="P17" s="11" t="n"/>
      <c r="S17">
        <f>IF($B17="","",IF($Y17=1,Settings!$C$6,Settings!$C$7)*1)</f>
        <v/>
      </c>
      <c r="T17" s="7">
        <f>IF($B17="","",S17*L17)</f>
        <v/>
      </c>
      <c r="U17" s="7">
        <f>IF($B17="","",L17-T17)</f>
        <v/>
      </c>
      <c r="V17" s="7">
        <f>IF($B17="","",U17-G17)</f>
        <v/>
      </c>
      <c r="W17">
        <f>IF($B17="","",IF(COUNTIF($B$2:$B17,$B17)=1,1,0))</f>
        <v/>
      </c>
      <c r="X17">
        <f>IF($W17=1,SUMPRODUCT(--($Z$2:$Z$501&lt;$Z17))+1,"")</f>
        <v/>
      </c>
      <c r="Y17">
        <f>IF($B17="","",IF(OR($R17=TRUE(),$R17="TRUE"),1,0))</f>
        <v/>
      </c>
      <c r="Z17">
        <f>IF($W17=1,IFERROR(IF(VALUE($B17)&lt;100000000,VALUE($B17),1000000000),IFERROR(IF(VALUE(MID($B17,2,20))&lt;100000000,VALUE(MID($B17,2,20)),1000000000),1000000000))+ROW()/100000,"")</f>
        <v/>
      </c>
    </row>
    <row r="18">
      <c r="A18">
        <f>IF($B18="","",IFERROR(IF(INDEX('Per Invoice'!$A$2:$A$201,MATCH($B18,'Per Invoice'!$B$2:$B$201,0))=0,"",INDEX('Per Invoice'!$A$2:$A$201,MATCH($B18,'Per Invoice'!$B$2:$B$201,0))),""))</f>
        <v/>
      </c>
      <c r="G18" s="7">
        <f>IF($B18="","",F18*L18/100)</f>
        <v/>
      </c>
      <c r="J18" s="7" t="n"/>
      <c r="L18" s="7" t="n"/>
      <c r="M18" s="7" t="n"/>
      <c r="P18" s="11" t="n"/>
      <c r="S18">
        <f>IF($B18="","",IF($Y18=1,Settings!$C$6,Settings!$C$7)*1)</f>
        <v/>
      </c>
      <c r="T18" s="7">
        <f>IF($B18="","",S18*L18)</f>
        <v/>
      </c>
      <c r="U18" s="7">
        <f>IF($B18="","",L18-T18)</f>
        <v/>
      </c>
      <c r="V18" s="7">
        <f>IF($B18="","",U18-G18)</f>
        <v/>
      </c>
      <c r="W18">
        <f>IF($B18="","",IF(COUNTIF($B$2:$B18,$B18)=1,1,0))</f>
        <v/>
      </c>
      <c r="X18">
        <f>IF($W18=1,SUMPRODUCT(--($Z$2:$Z$501&lt;$Z18))+1,"")</f>
        <v/>
      </c>
      <c r="Y18">
        <f>IF($B18="","",IF(OR($R18=TRUE(),$R18="TRUE"),1,0))</f>
        <v/>
      </c>
      <c r="Z18">
        <f>IF($W18=1,IFERROR(IF(VALUE($B18)&lt;100000000,VALUE($B18),1000000000),IFERROR(IF(VALUE(MID($B18,2,20))&lt;100000000,VALUE(MID($B18,2,20)),1000000000),1000000000))+ROW()/100000,"")</f>
        <v/>
      </c>
    </row>
    <row r="19">
      <c r="A19">
        <f>IF($B19="","",IFERROR(IF(INDEX('Per Invoice'!$A$2:$A$201,MATCH($B19,'Per Invoice'!$B$2:$B$201,0))=0,"",INDEX('Per Invoice'!$A$2:$A$201,MATCH($B19,'Per Invoice'!$B$2:$B$201,0))),""))</f>
        <v/>
      </c>
      <c r="G19" s="7">
        <f>IF($B19="","",F19*L19/100)</f>
        <v/>
      </c>
      <c r="J19" s="7" t="n"/>
      <c r="L19" s="7" t="n"/>
      <c r="M19" s="7" t="n"/>
      <c r="P19" s="11" t="n"/>
      <c r="S19">
        <f>IF($B19="","",IF($Y19=1,Settings!$C$6,Settings!$C$7)*1)</f>
        <v/>
      </c>
      <c r="T19" s="7">
        <f>IF($B19="","",S19*L19)</f>
        <v/>
      </c>
      <c r="U19" s="7">
        <f>IF($B19="","",L19-T19)</f>
        <v/>
      </c>
      <c r="V19" s="7">
        <f>IF($B19="","",U19-G19)</f>
        <v/>
      </c>
      <c r="W19">
        <f>IF($B19="","",IF(COUNTIF($B$2:$B19,$B19)=1,1,0))</f>
        <v/>
      </c>
      <c r="X19">
        <f>IF($W19=1,SUMPRODUCT(--($Z$2:$Z$501&lt;$Z19))+1,"")</f>
        <v/>
      </c>
      <c r="Y19">
        <f>IF($B19="","",IF(OR($R19=TRUE(),$R19="TRUE"),1,0))</f>
        <v/>
      </c>
      <c r="Z19">
        <f>IF($W19=1,IFERROR(IF(VALUE($B19)&lt;100000000,VALUE($B19),1000000000),IFERROR(IF(VALUE(MID($B19,2,20))&lt;100000000,VALUE(MID($B19,2,20)),1000000000),1000000000))+ROW()/100000,"")</f>
        <v/>
      </c>
    </row>
    <row r="20">
      <c r="A20">
        <f>IF($B20="","",IFERROR(IF(INDEX('Per Invoice'!$A$2:$A$201,MATCH($B20,'Per Invoice'!$B$2:$B$201,0))=0,"",INDEX('Per Invoice'!$A$2:$A$201,MATCH($B20,'Per Invoice'!$B$2:$B$201,0))),""))</f>
        <v/>
      </c>
      <c r="G20" s="7">
        <f>IF($B20="","",F20*L20/100)</f>
        <v/>
      </c>
      <c r="J20" s="7" t="n"/>
      <c r="L20" s="7" t="n"/>
      <c r="M20" s="7" t="n"/>
      <c r="P20" s="11" t="n"/>
      <c r="S20">
        <f>IF($B20="","",IF($Y20=1,Settings!$C$6,Settings!$C$7)*1)</f>
        <v/>
      </c>
      <c r="T20" s="7">
        <f>IF($B20="","",S20*L20)</f>
        <v/>
      </c>
      <c r="U20" s="7">
        <f>IF($B20="","",L20-T20)</f>
        <v/>
      </c>
      <c r="V20" s="7">
        <f>IF($B20="","",U20-G20)</f>
        <v/>
      </c>
      <c r="W20">
        <f>IF($B20="","",IF(COUNTIF($B$2:$B20,$B20)=1,1,0))</f>
        <v/>
      </c>
      <c r="X20">
        <f>IF($W20=1,SUMPRODUCT(--($Z$2:$Z$501&lt;$Z20))+1,"")</f>
        <v/>
      </c>
      <c r="Y20">
        <f>IF($B20="","",IF(OR($R20=TRUE(),$R20="TRUE"),1,0))</f>
        <v/>
      </c>
      <c r="Z20">
        <f>IF($W20=1,IFERROR(IF(VALUE($B20)&lt;100000000,VALUE($B20),1000000000),IFERROR(IF(VALUE(MID($B20,2,20))&lt;100000000,VALUE(MID($B20,2,20)),1000000000),1000000000))+ROW()/100000,"")</f>
        <v/>
      </c>
    </row>
    <row r="21">
      <c r="A21">
        <f>IF($B21="","",IFERROR(IF(INDEX('Per Invoice'!$A$2:$A$201,MATCH($B21,'Per Invoice'!$B$2:$B$201,0))=0,"",INDEX('Per Invoice'!$A$2:$A$201,MATCH($B21,'Per Invoice'!$B$2:$B$201,0))),""))</f>
        <v/>
      </c>
      <c r="G21" s="7">
        <f>IF($B21="","",F21*L21/100)</f>
        <v/>
      </c>
      <c r="J21" s="7" t="n"/>
      <c r="L21" s="7" t="n"/>
      <c r="M21" s="7" t="n"/>
      <c r="P21" s="11" t="n"/>
      <c r="S21">
        <f>IF($B21="","",IF($Y21=1,Settings!$C$6,Settings!$C$7)*1)</f>
        <v/>
      </c>
      <c r="T21" s="7">
        <f>IF($B21="","",S21*L21)</f>
        <v/>
      </c>
      <c r="U21" s="7">
        <f>IF($B21="","",L21-T21)</f>
        <v/>
      </c>
      <c r="V21" s="7">
        <f>IF($B21="","",U21-G21)</f>
        <v/>
      </c>
      <c r="W21">
        <f>IF($B21="","",IF(COUNTIF($B$2:$B21,$B21)=1,1,0))</f>
        <v/>
      </c>
      <c r="X21">
        <f>IF($W21=1,SUMPRODUCT(--($Z$2:$Z$501&lt;$Z21))+1,"")</f>
        <v/>
      </c>
      <c r="Y21">
        <f>IF($B21="","",IF(OR($R21=TRUE(),$R21="TRUE"),1,0))</f>
        <v/>
      </c>
      <c r="Z21">
        <f>IF($W21=1,IFERROR(IF(VALUE($B21)&lt;100000000,VALUE($B21),1000000000),IFERROR(IF(VALUE(MID($B21,2,20))&lt;100000000,VALUE(MID($B21,2,20)),1000000000),1000000000))+ROW()/100000,"")</f>
        <v/>
      </c>
    </row>
    <row r="22">
      <c r="A22">
        <f>IF($B22="","",IFERROR(IF(INDEX('Per Invoice'!$A$2:$A$201,MATCH($B22,'Per Invoice'!$B$2:$B$201,0))=0,"",INDEX('Per Invoice'!$A$2:$A$201,MATCH($B22,'Per Invoice'!$B$2:$B$201,0))),""))</f>
        <v/>
      </c>
      <c r="G22" s="7">
        <f>IF($B22="","",F22*L22/100)</f>
        <v/>
      </c>
      <c r="J22" s="7" t="n"/>
      <c r="L22" s="7" t="n"/>
      <c r="M22" s="7" t="n"/>
      <c r="P22" s="11" t="n"/>
      <c r="S22">
        <f>IF($B22="","",IF($Y22=1,Settings!$C$6,Settings!$C$7)*1)</f>
        <v/>
      </c>
      <c r="T22" s="7">
        <f>IF($B22="","",S22*L22)</f>
        <v/>
      </c>
      <c r="U22" s="7">
        <f>IF($B22="","",L22-T22)</f>
        <v/>
      </c>
      <c r="V22" s="7">
        <f>IF($B22="","",U22-G22)</f>
        <v/>
      </c>
      <c r="W22">
        <f>IF($B22="","",IF(COUNTIF($B$2:$B22,$B22)=1,1,0))</f>
        <v/>
      </c>
      <c r="X22">
        <f>IF($W22=1,SUMPRODUCT(--($Z$2:$Z$501&lt;$Z22))+1,"")</f>
        <v/>
      </c>
      <c r="Y22">
        <f>IF($B22="","",IF(OR($R22=TRUE(),$R22="TRUE"),1,0))</f>
        <v/>
      </c>
      <c r="Z22">
        <f>IF($W22=1,IFERROR(IF(VALUE($B22)&lt;100000000,VALUE($B22),1000000000),IFERROR(IF(VALUE(MID($B22,2,20))&lt;100000000,VALUE(MID($B22,2,20)),1000000000),1000000000))+ROW()/100000,"")</f>
        <v/>
      </c>
    </row>
    <row r="23">
      <c r="A23">
        <f>IF($B23="","",IFERROR(IF(INDEX('Per Invoice'!$A$2:$A$201,MATCH($B23,'Per Invoice'!$B$2:$B$201,0))=0,"",INDEX('Per Invoice'!$A$2:$A$201,MATCH($B23,'Per Invoice'!$B$2:$B$201,0))),""))</f>
        <v/>
      </c>
      <c r="G23" s="7">
        <f>IF($B23="","",F23*L23/100)</f>
        <v/>
      </c>
      <c r="J23" s="7" t="n"/>
      <c r="L23" s="7" t="n"/>
      <c r="M23" s="7" t="n"/>
      <c r="P23" s="11" t="n"/>
      <c r="S23">
        <f>IF($B23="","",IF($Y23=1,Settings!$C$6,Settings!$C$7)*1)</f>
        <v/>
      </c>
      <c r="T23" s="7">
        <f>IF($B23="","",S23*L23)</f>
        <v/>
      </c>
      <c r="U23" s="7">
        <f>IF($B23="","",L23-T23)</f>
        <v/>
      </c>
      <c r="V23" s="7">
        <f>IF($B23="","",U23-G23)</f>
        <v/>
      </c>
      <c r="W23">
        <f>IF($B23="","",IF(COUNTIF($B$2:$B23,$B23)=1,1,0))</f>
        <v/>
      </c>
      <c r="X23">
        <f>IF($W23=1,SUMPRODUCT(--($Z$2:$Z$501&lt;$Z23))+1,"")</f>
        <v/>
      </c>
      <c r="Y23">
        <f>IF($B23="","",IF(OR($R23=TRUE(),$R23="TRUE"),1,0))</f>
        <v/>
      </c>
      <c r="Z23">
        <f>IF($W23=1,IFERROR(IF(VALUE($B23)&lt;100000000,VALUE($B23),1000000000),IFERROR(IF(VALUE(MID($B23,2,20))&lt;100000000,VALUE(MID($B23,2,20)),1000000000),1000000000))+ROW()/100000,"")</f>
        <v/>
      </c>
    </row>
    <row r="24">
      <c r="A24">
        <f>IF($B24="","",IFERROR(IF(INDEX('Per Invoice'!$A$2:$A$201,MATCH($B24,'Per Invoice'!$B$2:$B$201,0))=0,"",INDEX('Per Invoice'!$A$2:$A$201,MATCH($B24,'Per Invoice'!$B$2:$B$201,0))),""))</f>
        <v/>
      </c>
      <c r="G24" s="7">
        <f>IF($B24="","",F24*L24/100)</f>
        <v/>
      </c>
      <c r="J24" s="7" t="n"/>
      <c r="L24" s="7" t="n"/>
      <c r="M24" s="7" t="n"/>
      <c r="P24" s="11" t="n"/>
      <c r="S24">
        <f>IF($B24="","",IF($Y24=1,Settings!$C$6,Settings!$C$7)*1)</f>
        <v/>
      </c>
      <c r="T24" s="7">
        <f>IF($B24="","",S24*L24)</f>
        <v/>
      </c>
      <c r="U24" s="7">
        <f>IF($B24="","",L24-T24)</f>
        <v/>
      </c>
      <c r="V24" s="7">
        <f>IF($B24="","",U24-G24)</f>
        <v/>
      </c>
      <c r="W24">
        <f>IF($B24="","",IF(COUNTIF($B$2:$B24,$B24)=1,1,0))</f>
        <v/>
      </c>
      <c r="X24">
        <f>IF($W24=1,SUMPRODUCT(--($Z$2:$Z$501&lt;$Z24))+1,"")</f>
        <v/>
      </c>
      <c r="Y24">
        <f>IF($B24="","",IF(OR($R24=TRUE(),$R24="TRUE"),1,0))</f>
        <v/>
      </c>
      <c r="Z24">
        <f>IF($W24=1,IFERROR(IF(VALUE($B24)&lt;100000000,VALUE($B24),1000000000),IFERROR(IF(VALUE(MID($B24,2,20))&lt;100000000,VALUE(MID($B24,2,20)),1000000000),1000000000))+ROW()/100000,"")</f>
        <v/>
      </c>
    </row>
    <row r="25">
      <c r="A25">
        <f>IF($B25="","",IFERROR(IF(INDEX('Per Invoice'!$A$2:$A$201,MATCH($B25,'Per Invoice'!$B$2:$B$201,0))=0,"",INDEX('Per Invoice'!$A$2:$A$201,MATCH($B25,'Per Invoice'!$B$2:$B$201,0))),""))</f>
        <v/>
      </c>
      <c r="G25" s="7">
        <f>IF($B25="","",F25*L25/100)</f>
        <v/>
      </c>
      <c r="J25" s="7" t="n"/>
      <c r="L25" s="7" t="n"/>
      <c r="M25" s="7" t="n"/>
      <c r="P25" s="11" t="n"/>
      <c r="S25">
        <f>IF($B25="","",IF($Y25=1,Settings!$C$6,Settings!$C$7)*1)</f>
        <v/>
      </c>
      <c r="T25" s="7">
        <f>IF($B25="","",S25*L25)</f>
        <v/>
      </c>
      <c r="U25" s="7">
        <f>IF($B25="","",L25-T25)</f>
        <v/>
      </c>
      <c r="V25" s="7">
        <f>IF($B25="","",U25-G25)</f>
        <v/>
      </c>
      <c r="W25">
        <f>IF($B25="","",IF(COUNTIF($B$2:$B25,$B25)=1,1,0))</f>
        <v/>
      </c>
      <c r="X25">
        <f>IF($W25=1,SUMPRODUCT(--($Z$2:$Z$501&lt;$Z25))+1,"")</f>
        <v/>
      </c>
      <c r="Y25">
        <f>IF($B25="","",IF(OR($R25=TRUE(),$R25="TRUE"),1,0))</f>
        <v/>
      </c>
      <c r="Z25">
        <f>IF($W25=1,IFERROR(IF(VALUE($B25)&lt;100000000,VALUE($B25),1000000000),IFERROR(IF(VALUE(MID($B25,2,20))&lt;100000000,VALUE(MID($B25,2,20)),1000000000),1000000000))+ROW()/100000,"")</f>
        <v/>
      </c>
    </row>
    <row r="26">
      <c r="A26">
        <f>IF($B26="","",IFERROR(IF(INDEX('Per Invoice'!$A$2:$A$201,MATCH($B26,'Per Invoice'!$B$2:$B$201,0))=0,"",INDEX('Per Invoice'!$A$2:$A$201,MATCH($B26,'Per Invoice'!$B$2:$B$201,0))),""))</f>
        <v/>
      </c>
      <c r="G26" s="7">
        <f>IF($B26="","",F26*L26/100)</f>
        <v/>
      </c>
      <c r="J26" s="7" t="n"/>
      <c r="L26" s="7" t="n"/>
      <c r="M26" s="7" t="n"/>
      <c r="P26" s="11" t="n"/>
      <c r="S26">
        <f>IF($B26="","",IF($Y26=1,Settings!$C$6,Settings!$C$7)*1)</f>
        <v/>
      </c>
      <c r="T26" s="7">
        <f>IF($B26="","",S26*L26)</f>
        <v/>
      </c>
      <c r="U26" s="7">
        <f>IF($B26="","",L26-T26)</f>
        <v/>
      </c>
      <c r="V26" s="7">
        <f>IF($B26="","",U26-G26)</f>
        <v/>
      </c>
      <c r="W26">
        <f>IF($B26="","",IF(COUNTIF($B$2:$B26,$B26)=1,1,0))</f>
        <v/>
      </c>
      <c r="X26">
        <f>IF($W26=1,SUMPRODUCT(--($Z$2:$Z$501&lt;$Z26))+1,"")</f>
        <v/>
      </c>
      <c r="Y26">
        <f>IF($B26="","",IF(OR($R26=TRUE(),$R26="TRUE"),1,0))</f>
        <v/>
      </c>
      <c r="Z26">
        <f>IF($W26=1,IFERROR(IF(VALUE($B26)&lt;100000000,VALUE($B26),1000000000),IFERROR(IF(VALUE(MID($B26,2,20))&lt;100000000,VALUE(MID($B26,2,20)),1000000000),1000000000))+ROW()/100000,"")</f>
        <v/>
      </c>
    </row>
    <row r="27">
      <c r="A27">
        <f>IF($B27="","",IFERROR(IF(INDEX('Per Invoice'!$A$2:$A$201,MATCH($B27,'Per Invoice'!$B$2:$B$201,0))=0,"",INDEX('Per Invoice'!$A$2:$A$201,MATCH($B27,'Per Invoice'!$B$2:$B$201,0))),""))</f>
        <v/>
      </c>
      <c r="G27" s="7">
        <f>IF($B27="","",F27*L27/100)</f>
        <v/>
      </c>
      <c r="J27" s="7" t="n"/>
      <c r="L27" s="7" t="n"/>
      <c r="M27" s="7" t="n"/>
      <c r="P27" s="11" t="n"/>
      <c r="S27">
        <f>IF($B27="","",IF($Y27=1,Settings!$C$6,Settings!$C$7)*1)</f>
        <v/>
      </c>
      <c r="T27" s="7">
        <f>IF($B27="","",S27*L27)</f>
        <v/>
      </c>
      <c r="U27" s="7">
        <f>IF($B27="","",L27-T27)</f>
        <v/>
      </c>
      <c r="V27" s="7">
        <f>IF($B27="","",U27-G27)</f>
        <v/>
      </c>
      <c r="W27">
        <f>IF($B27="","",IF(COUNTIF($B$2:$B27,$B27)=1,1,0))</f>
        <v/>
      </c>
      <c r="X27">
        <f>IF($W27=1,SUMPRODUCT(--($Z$2:$Z$501&lt;$Z27))+1,"")</f>
        <v/>
      </c>
      <c r="Y27">
        <f>IF($B27="","",IF(OR($R27=TRUE(),$R27="TRUE"),1,0))</f>
        <v/>
      </c>
      <c r="Z27">
        <f>IF($W27=1,IFERROR(IF(VALUE($B27)&lt;100000000,VALUE($B27),1000000000),IFERROR(IF(VALUE(MID($B27,2,20))&lt;100000000,VALUE(MID($B27,2,20)),1000000000),1000000000))+ROW()/100000,"")</f>
        <v/>
      </c>
    </row>
    <row r="28">
      <c r="A28">
        <f>IF($B28="","",IFERROR(IF(INDEX('Per Invoice'!$A$2:$A$201,MATCH($B28,'Per Invoice'!$B$2:$B$201,0))=0,"",INDEX('Per Invoice'!$A$2:$A$201,MATCH($B28,'Per Invoice'!$B$2:$B$201,0))),""))</f>
        <v/>
      </c>
      <c r="G28" s="7">
        <f>IF($B28="","",F28*L28/100)</f>
        <v/>
      </c>
      <c r="J28" s="7" t="n"/>
      <c r="L28" s="7" t="n"/>
      <c r="M28" s="7" t="n"/>
      <c r="P28" s="11" t="n"/>
      <c r="S28">
        <f>IF($B28="","",IF($Y28=1,Settings!$C$6,Settings!$C$7)*1)</f>
        <v/>
      </c>
      <c r="T28" s="7">
        <f>IF($B28="","",S28*L28)</f>
        <v/>
      </c>
      <c r="U28" s="7">
        <f>IF($B28="","",L28-T28)</f>
        <v/>
      </c>
      <c r="V28" s="7">
        <f>IF($B28="","",U28-G28)</f>
        <v/>
      </c>
      <c r="W28">
        <f>IF($B28="","",IF(COUNTIF($B$2:$B28,$B28)=1,1,0))</f>
        <v/>
      </c>
      <c r="X28">
        <f>IF($W28=1,SUMPRODUCT(--($Z$2:$Z$501&lt;$Z28))+1,"")</f>
        <v/>
      </c>
      <c r="Y28">
        <f>IF($B28="","",IF(OR($R28=TRUE(),$R28="TRUE"),1,0))</f>
        <v/>
      </c>
      <c r="Z28">
        <f>IF($W28=1,IFERROR(IF(VALUE($B28)&lt;100000000,VALUE($B28),1000000000),IFERROR(IF(VALUE(MID($B28,2,20))&lt;100000000,VALUE(MID($B28,2,20)),1000000000),1000000000))+ROW()/100000,"")</f>
        <v/>
      </c>
    </row>
    <row r="29">
      <c r="A29">
        <f>IF($B29="","",IFERROR(IF(INDEX('Per Invoice'!$A$2:$A$201,MATCH($B29,'Per Invoice'!$B$2:$B$201,0))=0,"",INDEX('Per Invoice'!$A$2:$A$201,MATCH($B29,'Per Invoice'!$B$2:$B$201,0))),""))</f>
        <v/>
      </c>
      <c r="G29" s="7">
        <f>IF($B29="","",F29*L29/100)</f>
        <v/>
      </c>
      <c r="J29" s="7" t="n"/>
      <c r="L29" s="7" t="n"/>
      <c r="M29" s="7" t="n"/>
      <c r="P29" s="11" t="n"/>
      <c r="S29">
        <f>IF($B29="","",IF($Y29=1,Settings!$C$6,Settings!$C$7)*1)</f>
        <v/>
      </c>
      <c r="T29" s="7">
        <f>IF($B29="","",S29*L29)</f>
        <v/>
      </c>
      <c r="U29" s="7">
        <f>IF($B29="","",L29-T29)</f>
        <v/>
      </c>
      <c r="V29" s="7">
        <f>IF($B29="","",U29-G29)</f>
        <v/>
      </c>
      <c r="W29">
        <f>IF($B29="","",IF(COUNTIF($B$2:$B29,$B29)=1,1,0))</f>
        <v/>
      </c>
      <c r="X29">
        <f>IF($W29=1,SUMPRODUCT(--($Z$2:$Z$501&lt;$Z29))+1,"")</f>
        <v/>
      </c>
      <c r="Y29">
        <f>IF($B29="","",IF(OR($R29=TRUE(),$R29="TRUE"),1,0))</f>
        <v/>
      </c>
      <c r="Z29">
        <f>IF($W29=1,IFERROR(IF(VALUE($B29)&lt;100000000,VALUE($B29),1000000000),IFERROR(IF(VALUE(MID($B29,2,20))&lt;100000000,VALUE(MID($B29,2,20)),1000000000),1000000000))+ROW()/100000,"")</f>
        <v/>
      </c>
    </row>
    <row r="30">
      <c r="A30">
        <f>IF($B30="","",IFERROR(IF(INDEX('Per Invoice'!$A$2:$A$201,MATCH($B30,'Per Invoice'!$B$2:$B$201,0))=0,"",INDEX('Per Invoice'!$A$2:$A$201,MATCH($B30,'Per Invoice'!$B$2:$B$201,0))),""))</f>
        <v/>
      </c>
      <c r="G30" s="7">
        <f>IF($B30="","",F30*L30/100)</f>
        <v/>
      </c>
      <c r="J30" s="7" t="n"/>
      <c r="L30" s="7" t="n"/>
      <c r="M30" s="7" t="n"/>
      <c r="P30" s="11" t="n"/>
      <c r="S30">
        <f>IF($B30="","",IF($Y30=1,Settings!$C$6,Settings!$C$7)*1)</f>
        <v/>
      </c>
      <c r="T30" s="7">
        <f>IF($B30="","",S30*L30)</f>
        <v/>
      </c>
      <c r="U30" s="7">
        <f>IF($B30="","",L30-T30)</f>
        <v/>
      </c>
      <c r="V30" s="7">
        <f>IF($B30="","",U30-G30)</f>
        <v/>
      </c>
      <c r="W30">
        <f>IF($B30="","",IF(COUNTIF($B$2:$B30,$B30)=1,1,0))</f>
        <v/>
      </c>
      <c r="X30">
        <f>IF($W30=1,SUMPRODUCT(--($Z$2:$Z$501&lt;$Z30))+1,"")</f>
        <v/>
      </c>
      <c r="Y30">
        <f>IF($B30="","",IF(OR($R30=TRUE(),$R30="TRUE"),1,0))</f>
        <v/>
      </c>
      <c r="Z30">
        <f>IF($W30=1,IFERROR(IF(VALUE($B30)&lt;100000000,VALUE($B30),1000000000),IFERROR(IF(VALUE(MID($B30,2,20))&lt;100000000,VALUE(MID($B30,2,20)),1000000000),1000000000))+ROW()/100000,"")</f>
        <v/>
      </c>
    </row>
    <row r="31">
      <c r="A31">
        <f>IF($B31="","",IFERROR(IF(INDEX('Per Invoice'!$A$2:$A$201,MATCH($B31,'Per Invoice'!$B$2:$B$201,0))=0,"",INDEX('Per Invoice'!$A$2:$A$201,MATCH($B31,'Per Invoice'!$B$2:$B$201,0))),""))</f>
        <v/>
      </c>
      <c r="G31" s="7">
        <f>IF($B31="","",F31*L31/100)</f>
        <v/>
      </c>
      <c r="J31" s="7" t="n"/>
      <c r="L31" s="7" t="n"/>
      <c r="M31" s="7" t="n"/>
      <c r="P31" s="11" t="n"/>
      <c r="S31">
        <f>IF($B31="","",IF($Y31=1,Settings!$C$6,Settings!$C$7)*1)</f>
        <v/>
      </c>
      <c r="T31" s="7">
        <f>IF($B31="","",S31*L31)</f>
        <v/>
      </c>
      <c r="U31" s="7">
        <f>IF($B31="","",L31-T31)</f>
        <v/>
      </c>
      <c r="V31" s="7">
        <f>IF($B31="","",U31-G31)</f>
        <v/>
      </c>
      <c r="W31">
        <f>IF($B31="","",IF(COUNTIF($B$2:$B31,$B31)=1,1,0))</f>
        <v/>
      </c>
      <c r="X31">
        <f>IF($W31=1,SUMPRODUCT(--($Z$2:$Z$501&lt;$Z31))+1,"")</f>
        <v/>
      </c>
      <c r="Y31">
        <f>IF($B31="","",IF(OR($R31=TRUE(),$R31="TRUE"),1,0))</f>
        <v/>
      </c>
      <c r="Z31">
        <f>IF($W31=1,IFERROR(IF(VALUE($B31)&lt;100000000,VALUE($B31),1000000000),IFERROR(IF(VALUE(MID($B31,2,20))&lt;100000000,VALUE(MID($B31,2,20)),1000000000),1000000000))+ROW()/100000,"")</f>
        <v/>
      </c>
    </row>
    <row r="32">
      <c r="A32">
        <f>IF($B32="","",IFERROR(IF(INDEX('Per Invoice'!$A$2:$A$201,MATCH($B32,'Per Invoice'!$B$2:$B$201,0))=0,"",INDEX('Per Invoice'!$A$2:$A$201,MATCH($B32,'Per Invoice'!$B$2:$B$201,0))),""))</f>
        <v/>
      </c>
      <c r="G32" s="7">
        <f>IF($B32="","",F32*L32/100)</f>
        <v/>
      </c>
      <c r="J32" s="7" t="n"/>
      <c r="L32" s="7" t="n"/>
      <c r="M32" s="7" t="n"/>
      <c r="P32" s="11" t="n"/>
      <c r="S32">
        <f>IF($B32="","",IF($Y32=1,Settings!$C$6,Settings!$C$7)*1)</f>
        <v/>
      </c>
      <c r="T32" s="7">
        <f>IF($B32="","",S32*L32)</f>
        <v/>
      </c>
      <c r="U32" s="7">
        <f>IF($B32="","",L32-T32)</f>
        <v/>
      </c>
      <c r="V32" s="7">
        <f>IF($B32="","",U32-G32)</f>
        <v/>
      </c>
      <c r="W32">
        <f>IF($B32="","",IF(COUNTIF($B$2:$B32,$B32)=1,1,0))</f>
        <v/>
      </c>
      <c r="X32">
        <f>IF($W32=1,SUMPRODUCT(--($Z$2:$Z$501&lt;$Z32))+1,"")</f>
        <v/>
      </c>
      <c r="Y32">
        <f>IF($B32="","",IF(OR($R32=TRUE(),$R32="TRUE"),1,0))</f>
        <v/>
      </c>
      <c r="Z32">
        <f>IF($W32=1,IFERROR(IF(VALUE($B32)&lt;100000000,VALUE($B32),1000000000),IFERROR(IF(VALUE(MID($B32,2,20))&lt;100000000,VALUE(MID($B32,2,20)),1000000000),1000000000))+ROW()/100000,"")</f>
        <v/>
      </c>
    </row>
    <row r="33">
      <c r="A33">
        <f>IF($B33="","",IFERROR(IF(INDEX('Per Invoice'!$A$2:$A$201,MATCH($B33,'Per Invoice'!$B$2:$B$201,0))=0,"",INDEX('Per Invoice'!$A$2:$A$201,MATCH($B33,'Per Invoice'!$B$2:$B$201,0))),""))</f>
        <v/>
      </c>
      <c r="G33" s="7">
        <f>IF($B33="","",F33*L33/100)</f>
        <v/>
      </c>
      <c r="J33" s="7" t="n"/>
      <c r="L33" s="7" t="n"/>
      <c r="M33" s="7" t="n"/>
      <c r="P33" s="11" t="n"/>
      <c r="S33">
        <f>IF($B33="","",IF($Y33=1,Settings!$C$6,Settings!$C$7)*1)</f>
        <v/>
      </c>
      <c r="T33" s="7">
        <f>IF($B33="","",S33*L33)</f>
        <v/>
      </c>
      <c r="U33" s="7">
        <f>IF($B33="","",L33-T33)</f>
        <v/>
      </c>
      <c r="V33" s="7">
        <f>IF($B33="","",U33-G33)</f>
        <v/>
      </c>
      <c r="W33">
        <f>IF($B33="","",IF(COUNTIF($B$2:$B33,$B33)=1,1,0))</f>
        <v/>
      </c>
      <c r="X33">
        <f>IF($W33=1,SUMPRODUCT(--($Z$2:$Z$501&lt;$Z33))+1,"")</f>
        <v/>
      </c>
      <c r="Y33">
        <f>IF($B33="","",IF(OR($R33=TRUE(),$R33="TRUE"),1,0))</f>
        <v/>
      </c>
      <c r="Z33">
        <f>IF($W33=1,IFERROR(IF(VALUE($B33)&lt;100000000,VALUE($B33),1000000000),IFERROR(IF(VALUE(MID($B33,2,20))&lt;100000000,VALUE(MID($B33,2,20)),1000000000),1000000000))+ROW()/100000,"")</f>
        <v/>
      </c>
    </row>
    <row r="34">
      <c r="A34">
        <f>IF($B34="","",IFERROR(IF(INDEX('Per Invoice'!$A$2:$A$201,MATCH($B34,'Per Invoice'!$B$2:$B$201,0))=0,"",INDEX('Per Invoice'!$A$2:$A$201,MATCH($B34,'Per Invoice'!$B$2:$B$201,0))),""))</f>
        <v/>
      </c>
      <c r="G34" s="7">
        <f>IF($B34="","",F34*L34/100)</f>
        <v/>
      </c>
      <c r="J34" s="7" t="n"/>
      <c r="L34" s="7" t="n"/>
      <c r="M34" s="7" t="n"/>
      <c r="P34" s="11" t="n"/>
      <c r="S34">
        <f>IF($B34="","",IF($Y34=1,Settings!$C$6,Settings!$C$7)*1)</f>
        <v/>
      </c>
      <c r="T34" s="7">
        <f>IF($B34="","",S34*L34)</f>
        <v/>
      </c>
      <c r="U34" s="7">
        <f>IF($B34="","",L34-T34)</f>
        <v/>
      </c>
      <c r="V34" s="7">
        <f>IF($B34="","",U34-G34)</f>
        <v/>
      </c>
      <c r="W34">
        <f>IF($B34="","",IF(COUNTIF($B$2:$B34,$B34)=1,1,0))</f>
        <v/>
      </c>
      <c r="X34">
        <f>IF($W34=1,SUMPRODUCT(--($Z$2:$Z$501&lt;$Z34))+1,"")</f>
        <v/>
      </c>
      <c r="Y34">
        <f>IF($B34="","",IF(OR($R34=TRUE(),$R34="TRUE"),1,0))</f>
        <v/>
      </c>
      <c r="Z34">
        <f>IF($W34=1,IFERROR(IF(VALUE($B34)&lt;100000000,VALUE($B34),1000000000),IFERROR(IF(VALUE(MID($B34,2,20))&lt;100000000,VALUE(MID($B34,2,20)),1000000000),1000000000))+ROW()/100000,"")</f>
        <v/>
      </c>
    </row>
    <row r="35">
      <c r="A35">
        <f>IF($B35="","",IFERROR(IF(INDEX('Per Invoice'!$A$2:$A$201,MATCH($B35,'Per Invoice'!$B$2:$B$201,0))=0,"",INDEX('Per Invoice'!$A$2:$A$201,MATCH($B35,'Per Invoice'!$B$2:$B$201,0))),""))</f>
        <v/>
      </c>
      <c r="G35" s="7">
        <f>IF($B35="","",F35*L35/100)</f>
        <v/>
      </c>
      <c r="J35" s="7" t="n"/>
      <c r="L35" s="7" t="n"/>
      <c r="M35" s="7" t="n"/>
      <c r="P35" s="11" t="n"/>
      <c r="S35">
        <f>IF($B35="","",IF($Y35=1,Settings!$C$6,Settings!$C$7)*1)</f>
        <v/>
      </c>
      <c r="T35" s="7">
        <f>IF($B35="","",S35*L35)</f>
        <v/>
      </c>
      <c r="U35" s="7">
        <f>IF($B35="","",L35-T35)</f>
        <v/>
      </c>
      <c r="V35" s="7">
        <f>IF($B35="","",U35-G35)</f>
        <v/>
      </c>
      <c r="W35">
        <f>IF($B35="","",IF(COUNTIF($B$2:$B35,$B35)=1,1,0))</f>
        <v/>
      </c>
      <c r="X35">
        <f>IF($W35=1,SUMPRODUCT(--($Z$2:$Z$501&lt;$Z35))+1,"")</f>
        <v/>
      </c>
      <c r="Y35">
        <f>IF($B35="","",IF(OR($R35=TRUE(),$R35="TRUE"),1,0))</f>
        <v/>
      </c>
      <c r="Z35">
        <f>IF($W35=1,IFERROR(IF(VALUE($B35)&lt;100000000,VALUE($B35),1000000000),IFERROR(IF(VALUE(MID($B35,2,20))&lt;100000000,VALUE(MID($B35,2,20)),1000000000),1000000000))+ROW()/100000,"")</f>
        <v/>
      </c>
    </row>
    <row r="36">
      <c r="A36">
        <f>IF($B36="","",IFERROR(IF(INDEX('Per Invoice'!$A$2:$A$201,MATCH($B36,'Per Invoice'!$B$2:$B$201,0))=0,"",INDEX('Per Invoice'!$A$2:$A$201,MATCH($B36,'Per Invoice'!$B$2:$B$201,0))),""))</f>
        <v/>
      </c>
      <c r="G36" s="7">
        <f>IF($B36="","",F36*L36/100)</f>
        <v/>
      </c>
      <c r="J36" s="7" t="n"/>
      <c r="L36" s="7" t="n"/>
      <c r="M36" s="7" t="n"/>
      <c r="P36" s="11" t="n"/>
      <c r="S36">
        <f>IF($B36="","",IF($Y36=1,Settings!$C$6,Settings!$C$7)*1)</f>
        <v/>
      </c>
      <c r="T36" s="7">
        <f>IF($B36="","",S36*L36)</f>
        <v/>
      </c>
      <c r="U36" s="7">
        <f>IF($B36="","",L36-T36)</f>
        <v/>
      </c>
      <c r="V36" s="7">
        <f>IF($B36="","",U36-G36)</f>
        <v/>
      </c>
      <c r="W36">
        <f>IF($B36="","",IF(COUNTIF($B$2:$B36,$B36)=1,1,0))</f>
        <v/>
      </c>
      <c r="X36">
        <f>IF($W36=1,SUMPRODUCT(--($Z$2:$Z$501&lt;$Z36))+1,"")</f>
        <v/>
      </c>
      <c r="Y36">
        <f>IF($B36="","",IF(OR($R36=TRUE(),$R36="TRUE"),1,0))</f>
        <v/>
      </c>
      <c r="Z36">
        <f>IF($W36=1,IFERROR(IF(VALUE($B36)&lt;100000000,VALUE($B36),1000000000),IFERROR(IF(VALUE(MID($B36,2,20))&lt;100000000,VALUE(MID($B36,2,20)),1000000000),1000000000))+ROW()/100000,"")</f>
        <v/>
      </c>
    </row>
    <row r="37">
      <c r="A37">
        <f>IF($B37="","",IFERROR(IF(INDEX('Per Invoice'!$A$2:$A$201,MATCH($B37,'Per Invoice'!$B$2:$B$201,0))=0,"",INDEX('Per Invoice'!$A$2:$A$201,MATCH($B37,'Per Invoice'!$B$2:$B$201,0))),""))</f>
        <v/>
      </c>
      <c r="G37" s="7">
        <f>IF($B37="","",F37*L37/100)</f>
        <v/>
      </c>
      <c r="J37" s="7" t="n"/>
      <c r="L37" s="7" t="n"/>
      <c r="M37" s="7" t="n"/>
      <c r="P37" s="11" t="n"/>
      <c r="S37">
        <f>IF($B37="","",IF($Y37=1,Settings!$C$6,Settings!$C$7)*1)</f>
        <v/>
      </c>
      <c r="T37" s="7">
        <f>IF($B37="","",S37*L37)</f>
        <v/>
      </c>
      <c r="U37" s="7">
        <f>IF($B37="","",L37-T37)</f>
        <v/>
      </c>
      <c r="V37" s="7">
        <f>IF($B37="","",U37-G37)</f>
        <v/>
      </c>
      <c r="W37">
        <f>IF($B37="","",IF(COUNTIF($B$2:$B37,$B37)=1,1,0))</f>
        <v/>
      </c>
      <c r="X37">
        <f>IF($W37=1,SUMPRODUCT(--($Z$2:$Z$501&lt;$Z37))+1,"")</f>
        <v/>
      </c>
      <c r="Y37">
        <f>IF($B37="","",IF(OR($R37=TRUE(),$R37="TRUE"),1,0))</f>
        <v/>
      </c>
      <c r="Z37">
        <f>IF($W37=1,IFERROR(IF(VALUE($B37)&lt;100000000,VALUE($B37),1000000000),IFERROR(IF(VALUE(MID($B37,2,20))&lt;100000000,VALUE(MID($B37,2,20)),1000000000),1000000000))+ROW()/100000,"")</f>
        <v/>
      </c>
    </row>
    <row r="38">
      <c r="A38">
        <f>IF($B38="","",IFERROR(IF(INDEX('Per Invoice'!$A$2:$A$201,MATCH($B38,'Per Invoice'!$B$2:$B$201,0))=0,"",INDEX('Per Invoice'!$A$2:$A$201,MATCH($B38,'Per Invoice'!$B$2:$B$201,0))),""))</f>
        <v/>
      </c>
      <c r="G38" s="7">
        <f>IF($B38="","",F38*L38/100)</f>
        <v/>
      </c>
      <c r="J38" s="7" t="n"/>
      <c r="L38" s="7" t="n"/>
      <c r="M38" s="7" t="n"/>
      <c r="P38" s="11" t="n"/>
      <c r="S38">
        <f>IF($B38="","",IF($Y38=1,Settings!$C$6,Settings!$C$7)*1)</f>
        <v/>
      </c>
      <c r="T38" s="7">
        <f>IF($B38="","",S38*L38)</f>
        <v/>
      </c>
      <c r="U38" s="7">
        <f>IF($B38="","",L38-T38)</f>
        <v/>
      </c>
      <c r="V38" s="7">
        <f>IF($B38="","",U38-G38)</f>
        <v/>
      </c>
      <c r="W38">
        <f>IF($B38="","",IF(COUNTIF($B$2:$B38,$B38)=1,1,0))</f>
        <v/>
      </c>
      <c r="X38">
        <f>IF($W38=1,SUMPRODUCT(--($Z$2:$Z$501&lt;$Z38))+1,"")</f>
        <v/>
      </c>
      <c r="Y38">
        <f>IF($B38="","",IF(OR($R38=TRUE(),$R38="TRUE"),1,0))</f>
        <v/>
      </c>
      <c r="Z38">
        <f>IF($W38=1,IFERROR(IF(VALUE($B38)&lt;100000000,VALUE($B38),1000000000),IFERROR(IF(VALUE(MID($B38,2,20))&lt;100000000,VALUE(MID($B38,2,20)),1000000000),1000000000))+ROW()/100000,"")</f>
        <v/>
      </c>
    </row>
    <row r="39">
      <c r="A39">
        <f>IF($B39="","",IFERROR(IF(INDEX('Per Invoice'!$A$2:$A$201,MATCH($B39,'Per Invoice'!$B$2:$B$201,0))=0,"",INDEX('Per Invoice'!$A$2:$A$201,MATCH($B39,'Per Invoice'!$B$2:$B$201,0))),""))</f>
        <v/>
      </c>
      <c r="G39" s="7">
        <f>IF($B39="","",F39*L39/100)</f>
        <v/>
      </c>
      <c r="J39" s="7" t="n"/>
      <c r="L39" s="7" t="n"/>
      <c r="M39" s="7" t="n"/>
      <c r="P39" s="11" t="n"/>
      <c r="S39">
        <f>IF($B39="","",IF($Y39=1,Settings!$C$6,Settings!$C$7)*1)</f>
        <v/>
      </c>
      <c r="T39" s="7">
        <f>IF($B39="","",S39*L39)</f>
        <v/>
      </c>
      <c r="U39" s="7">
        <f>IF($B39="","",L39-T39)</f>
        <v/>
      </c>
      <c r="V39" s="7">
        <f>IF($B39="","",U39-G39)</f>
        <v/>
      </c>
      <c r="W39">
        <f>IF($B39="","",IF(COUNTIF($B$2:$B39,$B39)=1,1,0))</f>
        <v/>
      </c>
      <c r="X39">
        <f>IF($W39=1,SUMPRODUCT(--($Z$2:$Z$501&lt;$Z39))+1,"")</f>
        <v/>
      </c>
      <c r="Y39">
        <f>IF($B39="","",IF(OR($R39=TRUE(),$R39="TRUE"),1,0))</f>
        <v/>
      </c>
      <c r="Z39">
        <f>IF($W39=1,IFERROR(IF(VALUE($B39)&lt;100000000,VALUE($B39),1000000000),IFERROR(IF(VALUE(MID($B39,2,20))&lt;100000000,VALUE(MID($B39,2,20)),1000000000),1000000000))+ROW()/100000,"")</f>
        <v/>
      </c>
    </row>
    <row r="40">
      <c r="A40">
        <f>IF($B40="","",IFERROR(IF(INDEX('Per Invoice'!$A$2:$A$201,MATCH($B40,'Per Invoice'!$B$2:$B$201,0))=0,"",INDEX('Per Invoice'!$A$2:$A$201,MATCH($B40,'Per Invoice'!$B$2:$B$201,0))),""))</f>
        <v/>
      </c>
      <c r="G40" s="7">
        <f>IF($B40="","",F40*L40/100)</f>
        <v/>
      </c>
      <c r="J40" s="7" t="n"/>
      <c r="L40" s="7" t="n"/>
      <c r="M40" s="7" t="n"/>
      <c r="P40" s="11" t="n"/>
      <c r="S40">
        <f>IF($B40="","",IF($Y40=1,Settings!$C$6,Settings!$C$7)*1)</f>
        <v/>
      </c>
      <c r="T40" s="7">
        <f>IF($B40="","",S40*L40)</f>
        <v/>
      </c>
      <c r="U40" s="7">
        <f>IF($B40="","",L40-T40)</f>
        <v/>
      </c>
      <c r="V40" s="7">
        <f>IF($B40="","",U40-G40)</f>
        <v/>
      </c>
      <c r="W40">
        <f>IF($B40="","",IF(COUNTIF($B$2:$B40,$B40)=1,1,0))</f>
        <v/>
      </c>
      <c r="X40">
        <f>IF($W40=1,SUMPRODUCT(--($Z$2:$Z$501&lt;$Z40))+1,"")</f>
        <v/>
      </c>
      <c r="Y40">
        <f>IF($B40="","",IF(OR($R40=TRUE(),$R40="TRUE"),1,0))</f>
        <v/>
      </c>
      <c r="Z40">
        <f>IF($W40=1,IFERROR(IF(VALUE($B40)&lt;100000000,VALUE($B40),1000000000),IFERROR(IF(VALUE(MID($B40,2,20))&lt;100000000,VALUE(MID($B40,2,20)),1000000000),1000000000))+ROW()/100000,"")</f>
        <v/>
      </c>
    </row>
    <row r="41">
      <c r="A41">
        <f>IF($B41="","",IFERROR(IF(INDEX('Per Invoice'!$A$2:$A$201,MATCH($B41,'Per Invoice'!$B$2:$B$201,0))=0,"",INDEX('Per Invoice'!$A$2:$A$201,MATCH($B41,'Per Invoice'!$B$2:$B$201,0))),""))</f>
        <v/>
      </c>
      <c r="G41" s="7">
        <f>IF($B41="","",F41*L41/100)</f>
        <v/>
      </c>
      <c r="J41" s="7" t="n"/>
      <c r="L41" s="7" t="n"/>
      <c r="M41" s="7" t="n"/>
      <c r="P41" s="11" t="n"/>
      <c r="S41">
        <f>IF($B41="","",IF($Y41=1,Settings!$C$6,Settings!$C$7)*1)</f>
        <v/>
      </c>
      <c r="T41" s="7">
        <f>IF($B41="","",S41*L41)</f>
        <v/>
      </c>
      <c r="U41" s="7">
        <f>IF($B41="","",L41-T41)</f>
        <v/>
      </c>
      <c r="V41" s="7">
        <f>IF($B41="","",U41-G41)</f>
        <v/>
      </c>
      <c r="W41">
        <f>IF($B41="","",IF(COUNTIF($B$2:$B41,$B41)=1,1,0))</f>
        <v/>
      </c>
      <c r="X41">
        <f>IF($W41=1,SUMPRODUCT(--($Z$2:$Z$501&lt;$Z41))+1,"")</f>
        <v/>
      </c>
      <c r="Y41">
        <f>IF($B41="","",IF(OR($R41=TRUE(),$R41="TRUE"),1,0))</f>
        <v/>
      </c>
      <c r="Z41">
        <f>IF($W41=1,IFERROR(IF(VALUE($B41)&lt;100000000,VALUE($B41),1000000000),IFERROR(IF(VALUE(MID($B41,2,20))&lt;100000000,VALUE(MID($B41,2,20)),1000000000),1000000000))+ROW()/100000,"")</f>
        <v/>
      </c>
    </row>
    <row r="42">
      <c r="A42">
        <f>IF($B42="","",IFERROR(IF(INDEX('Per Invoice'!$A$2:$A$201,MATCH($B42,'Per Invoice'!$B$2:$B$201,0))=0,"",INDEX('Per Invoice'!$A$2:$A$201,MATCH($B42,'Per Invoice'!$B$2:$B$201,0))),""))</f>
        <v/>
      </c>
      <c r="G42" s="7">
        <f>IF($B42="","",F42*L42/100)</f>
        <v/>
      </c>
      <c r="J42" s="7" t="n"/>
      <c r="L42" s="7" t="n"/>
      <c r="M42" s="7" t="n"/>
      <c r="P42" s="11" t="n"/>
      <c r="S42">
        <f>IF($B42="","",IF($Y42=1,Settings!$C$6,Settings!$C$7)*1)</f>
        <v/>
      </c>
      <c r="T42" s="7">
        <f>IF($B42="","",S42*L42)</f>
        <v/>
      </c>
      <c r="U42" s="7">
        <f>IF($B42="","",L42-T42)</f>
        <v/>
      </c>
      <c r="V42" s="7">
        <f>IF($B42="","",U42-G42)</f>
        <v/>
      </c>
      <c r="W42">
        <f>IF($B42="","",IF(COUNTIF($B$2:$B42,$B42)=1,1,0))</f>
        <v/>
      </c>
      <c r="X42">
        <f>IF($W42=1,SUMPRODUCT(--($Z$2:$Z$501&lt;$Z42))+1,"")</f>
        <v/>
      </c>
      <c r="Y42">
        <f>IF($B42="","",IF(OR($R42=TRUE(),$R42="TRUE"),1,0))</f>
        <v/>
      </c>
      <c r="Z42">
        <f>IF($W42=1,IFERROR(IF(VALUE($B42)&lt;100000000,VALUE($B42),1000000000),IFERROR(IF(VALUE(MID($B42,2,20))&lt;100000000,VALUE(MID($B42,2,20)),1000000000),1000000000))+ROW()/100000,"")</f>
        <v/>
      </c>
    </row>
    <row r="43">
      <c r="A43">
        <f>IF($B43="","",IFERROR(IF(INDEX('Per Invoice'!$A$2:$A$201,MATCH($B43,'Per Invoice'!$B$2:$B$201,0))=0,"",INDEX('Per Invoice'!$A$2:$A$201,MATCH($B43,'Per Invoice'!$B$2:$B$201,0))),""))</f>
        <v/>
      </c>
      <c r="G43" s="7">
        <f>IF($B43="","",F43*L43/100)</f>
        <v/>
      </c>
      <c r="J43" s="7" t="n"/>
      <c r="L43" s="7" t="n"/>
      <c r="M43" s="7" t="n"/>
      <c r="P43" s="11" t="n"/>
      <c r="S43">
        <f>IF($B43="","",IF($Y43=1,Settings!$C$6,Settings!$C$7)*1)</f>
        <v/>
      </c>
      <c r="T43" s="7">
        <f>IF($B43="","",S43*L43)</f>
        <v/>
      </c>
      <c r="U43" s="7">
        <f>IF($B43="","",L43-T43)</f>
        <v/>
      </c>
      <c r="V43" s="7">
        <f>IF($B43="","",U43-G43)</f>
        <v/>
      </c>
      <c r="W43">
        <f>IF($B43="","",IF(COUNTIF($B$2:$B43,$B43)=1,1,0))</f>
        <v/>
      </c>
      <c r="X43">
        <f>IF($W43=1,SUMPRODUCT(--($Z$2:$Z$501&lt;$Z43))+1,"")</f>
        <v/>
      </c>
      <c r="Y43">
        <f>IF($B43="","",IF(OR($R43=TRUE(),$R43="TRUE"),1,0))</f>
        <v/>
      </c>
      <c r="Z43">
        <f>IF($W43=1,IFERROR(IF(VALUE($B43)&lt;100000000,VALUE($B43),1000000000),IFERROR(IF(VALUE(MID($B43,2,20))&lt;100000000,VALUE(MID($B43,2,20)),1000000000),1000000000))+ROW()/100000,"")</f>
        <v/>
      </c>
    </row>
    <row r="44">
      <c r="A44">
        <f>IF($B44="","",IFERROR(IF(INDEX('Per Invoice'!$A$2:$A$201,MATCH($B44,'Per Invoice'!$B$2:$B$201,0))=0,"",INDEX('Per Invoice'!$A$2:$A$201,MATCH($B44,'Per Invoice'!$B$2:$B$201,0))),""))</f>
        <v/>
      </c>
      <c r="G44" s="7">
        <f>IF($B44="","",F44*L44/100)</f>
        <v/>
      </c>
      <c r="J44" s="7" t="n"/>
      <c r="L44" s="7" t="n"/>
      <c r="M44" s="7" t="n"/>
      <c r="P44" s="11" t="n"/>
      <c r="S44">
        <f>IF($B44="","",IF($Y44=1,Settings!$C$6,Settings!$C$7)*1)</f>
        <v/>
      </c>
      <c r="T44" s="7">
        <f>IF($B44="","",S44*L44)</f>
        <v/>
      </c>
      <c r="U44" s="7">
        <f>IF($B44="","",L44-T44)</f>
        <v/>
      </c>
      <c r="V44" s="7">
        <f>IF($B44="","",U44-G44)</f>
        <v/>
      </c>
      <c r="W44">
        <f>IF($B44="","",IF(COUNTIF($B$2:$B44,$B44)=1,1,0))</f>
        <v/>
      </c>
      <c r="X44">
        <f>IF($W44=1,SUMPRODUCT(--($Z$2:$Z$501&lt;$Z44))+1,"")</f>
        <v/>
      </c>
      <c r="Y44">
        <f>IF($B44="","",IF(OR($R44=TRUE(),$R44="TRUE"),1,0))</f>
        <v/>
      </c>
      <c r="Z44">
        <f>IF($W44=1,IFERROR(IF(VALUE($B44)&lt;100000000,VALUE($B44),1000000000),IFERROR(IF(VALUE(MID($B44,2,20))&lt;100000000,VALUE(MID($B44,2,20)),1000000000),1000000000))+ROW()/100000,"")</f>
        <v/>
      </c>
    </row>
    <row r="45">
      <c r="A45">
        <f>IF($B45="","",IFERROR(IF(INDEX('Per Invoice'!$A$2:$A$201,MATCH($B45,'Per Invoice'!$B$2:$B$201,0))=0,"",INDEX('Per Invoice'!$A$2:$A$201,MATCH($B45,'Per Invoice'!$B$2:$B$201,0))),""))</f>
        <v/>
      </c>
      <c r="G45" s="7">
        <f>IF($B45="","",F45*L45/100)</f>
        <v/>
      </c>
      <c r="J45" s="7" t="n"/>
      <c r="L45" s="7" t="n"/>
      <c r="M45" s="7" t="n"/>
      <c r="P45" s="11" t="n"/>
      <c r="S45">
        <f>IF($B45="","",IF($Y45=1,Settings!$C$6,Settings!$C$7)*1)</f>
        <v/>
      </c>
      <c r="T45" s="7">
        <f>IF($B45="","",S45*L45)</f>
        <v/>
      </c>
      <c r="U45" s="7">
        <f>IF($B45="","",L45-T45)</f>
        <v/>
      </c>
      <c r="V45" s="7">
        <f>IF($B45="","",U45-G45)</f>
        <v/>
      </c>
      <c r="W45">
        <f>IF($B45="","",IF(COUNTIF($B$2:$B45,$B45)=1,1,0))</f>
        <v/>
      </c>
      <c r="X45">
        <f>IF($W45=1,SUMPRODUCT(--($Z$2:$Z$501&lt;$Z45))+1,"")</f>
        <v/>
      </c>
      <c r="Y45">
        <f>IF($B45="","",IF(OR($R45=TRUE(),$R45="TRUE"),1,0))</f>
        <v/>
      </c>
      <c r="Z45">
        <f>IF($W45=1,IFERROR(IF(VALUE($B45)&lt;100000000,VALUE($B45),1000000000),IFERROR(IF(VALUE(MID($B45,2,20))&lt;100000000,VALUE(MID($B45,2,20)),1000000000),1000000000))+ROW()/100000,"")</f>
        <v/>
      </c>
    </row>
    <row r="46">
      <c r="A46">
        <f>IF($B46="","",IFERROR(IF(INDEX('Per Invoice'!$A$2:$A$201,MATCH($B46,'Per Invoice'!$B$2:$B$201,0))=0,"",INDEX('Per Invoice'!$A$2:$A$201,MATCH($B46,'Per Invoice'!$B$2:$B$201,0))),""))</f>
        <v/>
      </c>
      <c r="G46" s="7">
        <f>IF($B46="","",F46*L46/100)</f>
        <v/>
      </c>
      <c r="J46" s="7" t="n"/>
      <c r="L46" s="7" t="n"/>
      <c r="M46" s="7" t="n"/>
      <c r="P46" s="11" t="n"/>
      <c r="S46">
        <f>IF($B46="","",IF($Y46=1,Settings!$C$6,Settings!$C$7)*1)</f>
        <v/>
      </c>
      <c r="T46" s="7">
        <f>IF($B46="","",S46*L46)</f>
        <v/>
      </c>
      <c r="U46" s="7">
        <f>IF($B46="","",L46-T46)</f>
        <v/>
      </c>
      <c r="V46" s="7">
        <f>IF($B46="","",U46-G46)</f>
        <v/>
      </c>
      <c r="W46">
        <f>IF($B46="","",IF(COUNTIF($B$2:$B46,$B46)=1,1,0))</f>
        <v/>
      </c>
      <c r="X46">
        <f>IF($W46=1,SUMPRODUCT(--($Z$2:$Z$501&lt;$Z46))+1,"")</f>
        <v/>
      </c>
      <c r="Y46">
        <f>IF($B46="","",IF(OR($R46=TRUE(),$R46="TRUE"),1,0))</f>
        <v/>
      </c>
      <c r="Z46">
        <f>IF($W46=1,IFERROR(IF(VALUE($B46)&lt;100000000,VALUE($B46),1000000000),IFERROR(IF(VALUE(MID($B46,2,20))&lt;100000000,VALUE(MID($B46,2,20)),1000000000),1000000000))+ROW()/100000,"")</f>
        <v/>
      </c>
    </row>
    <row r="47">
      <c r="A47">
        <f>IF($B47="","",IFERROR(IF(INDEX('Per Invoice'!$A$2:$A$201,MATCH($B47,'Per Invoice'!$B$2:$B$201,0))=0,"",INDEX('Per Invoice'!$A$2:$A$201,MATCH($B47,'Per Invoice'!$B$2:$B$201,0))),""))</f>
        <v/>
      </c>
      <c r="G47" s="7">
        <f>IF($B47="","",F47*L47/100)</f>
        <v/>
      </c>
      <c r="J47" s="7" t="n"/>
      <c r="L47" s="7" t="n"/>
      <c r="M47" s="7" t="n"/>
      <c r="P47" s="11" t="n"/>
      <c r="S47">
        <f>IF($B47="","",IF($Y47=1,Settings!$C$6,Settings!$C$7)*1)</f>
        <v/>
      </c>
      <c r="T47" s="7">
        <f>IF($B47="","",S47*L47)</f>
        <v/>
      </c>
      <c r="U47" s="7">
        <f>IF($B47="","",L47-T47)</f>
        <v/>
      </c>
      <c r="V47" s="7">
        <f>IF($B47="","",U47-G47)</f>
        <v/>
      </c>
      <c r="W47">
        <f>IF($B47="","",IF(COUNTIF($B$2:$B47,$B47)=1,1,0))</f>
        <v/>
      </c>
      <c r="X47">
        <f>IF($W47=1,SUMPRODUCT(--($Z$2:$Z$501&lt;$Z47))+1,"")</f>
        <v/>
      </c>
      <c r="Y47">
        <f>IF($B47="","",IF(OR($R47=TRUE(),$R47="TRUE"),1,0))</f>
        <v/>
      </c>
      <c r="Z47">
        <f>IF($W47=1,IFERROR(IF(VALUE($B47)&lt;100000000,VALUE($B47),1000000000),IFERROR(IF(VALUE(MID($B47,2,20))&lt;100000000,VALUE(MID($B47,2,20)),1000000000),1000000000))+ROW()/100000,"")</f>
        <v/>
      </c>
    </row>
    <row r="48">
      <c r="A48">
        <f>IF($B48="","",IFERROR(IF(INDEX('Per Invoice'!$A$2:$A$201,MATCH($B48,'Per Invoice'!$B$2:$B$201,0))=0,"",INDEX('Per Invoice'!$A$2:$A$201,MATCH($B48,'Per Invoice'!$B$2:$B$201,0))),""))</f>
        <v/>
      </c>
      <c r="G48" s="7">
        <f>IF($B48="","",F48*L48/100)</f>
        <v/>
      </c>
      <c r="J48" s="7" t="n"/>
      <c r="L48" s="7" t="n"/>
      <c r="M48" s="7" t="n"/>
      <c r="P48" s="11" t="n"/>
      <c r="S48">
        <f>IF($B48="","",IF($Y48=1,Settings!$C$6,Settings!$C$7)*1)</f>
        <v/>
      </c>
      <c r="T48" s="7">
        <f>IF($B48="","",S48*L48)</f>
        <v/>
      </c>
      <c r="U48" s="7">
        <f>IF($B48="","",L48-T48)</f>
        <v/>
      </c>
      <c r="V48" s="7">
        <f>IF($B48="","",U48-G48)</f>
        <v/>
      </c>
      <c r="W48">
        <f>IF($B48="","",IF(COUNTIF($B$2:$B48,$B48)=1,1,0))</f>
        <v/>
      </c>
      <c r="X48">
        <f>IF($W48=1,SUMPRODUCT(--($Z$2:$Z$501&lt;$Z48))+1,"")</f>
        <v/>
      </c>
      <c r="Y48">
        <f>IF($B48="","",IF(OR($R48=TRUE(),$R48="TRUE"),1,0))</f>
        <v/>
      </c>
      <c r="Z48">
        <f>IF($W48=1,IFERROR(IF(VALUE($B48)&lt;100000000,VALUE($B48),1000000000),IFERROR(IF(VALUE(MID($B48,2,20))&lt;100000000,VALUE(MID($B48,2,20)),1000000000),1000000000))+ROW()/100000,"")</f>
        <v/>
      </c>
    </row>
    <row r="49">
      <c r="A49">
        <f>IF($B49="","",IFERROR(IF(INDEX('Per Invoice'!$A$2:$A$201,MATCH($B49,'Per Invoice'!$B$2:$B$201,0))=0,"",INDEX('Per Invoice'!$A$2:$A$201,MATCH($B49,'Per Invoice'!$B$2:$B$201,0))),""))</f>
        <v/>
      </c>
      <c r="G49" s="7">
        <f>IF($B49="","",F49*L49/100)</f>
        <v/>
      </c>
      <c r="J49" s="7" t="n"/>
      <c r="L49" s="7" t="n"/>
      <c r="M49" s="7" t="n"/>
      <c r="P49" s="11" t="n"/>
      <c r="S49">
        <f>IF($B49="","",IF($Y49=1,Settings!$C$6,Settings!$C$7)*1)</f>
        <v/>
      </c>
      <c r="T49" s="7">
        <f>IF($B49="","",S49*L49)</f>
        <v/>
      </c>
      <c r="U49" s="7">
        <f>IF($B49="","",L49-T49)</f>
        <v/>
      </c>
      <c r="V49" s="7">
        <f>IF($B49="","",U49-G49)</f>
        <v/>
      </c>
      <c r="W49">
        <f>IF($B49="","",IF(COUNTIF($B$2:$B49,$B49)=1,1,0))</f>
        <v/>
      </c>
      <c r="X49">
        <f>IF($W49=1,SUMPRODUCT(--($Z$2:$Z$501&lt;$Z49))+1,"")</f>
        <v/>
      </c>
      <c r="Y49">
        <f>IF($B49="","",IF(OR($R49=TRUE(),$R49="TRUE"),1,0))</f>
        <v/>
      </c>
      <c r="Z49">
        <f>IF($W49=1,IFERROR(IF(VALUE($B49)&lt;100000000,VALUE($B49),1000000000),IFERROR(IF(VALUE(MID($B49,2,20))&lt;100000000,VALUE(MID($B49,2,20)),1000000000),1000000000))+ROW()/100000,"")</f>
        <v/>
      </c>
    </row>
    <row r="50">
      <c r="A50">
        <f>IF($B50="","",IFERROR(IF(INDEX('Per Invoice'!$A$2:$A$201,MATCH($B50,'Per Invoice'!$B$2:$B$201,0))=0,"",INDEX('Per Invoice'!$A$2:$A$201,MATCH($B50,'Per Invoice'!$B$2:$B$201,0))),""))</f>
        <v/>
      </c>
      <c r="G50" s="7">
        <f>IF($B50="","",F50*L50/100)</f>
        <v/>
      </c>
      <c r="J50" s="7" t="n"/>
      <c r="L50" s="7" t="n"/>
      <c r="M50" s="7" t="n"/>
      <c r="P50" s="11" t="n"/>
      <c r="S50">
        <f>IF($B50="","",IF($Y50=1,Settings!$C$6,Settings!$C$7)*1)</f>
        <v/>
      </c>
      <c r="T50" s="7">
        <f>IF($B50="","",S50*L50)</f>
        <v/>
      </c>
      <c r="U50" s="7">
        <f>IF($B50="","",L50-T50)</f>
        <v/>
      </c>
      <c r="V50" s="7">
        <f>IF($B50="","",U50-G50)</f>
        <v/>
      </c>
      <c r="W50">
        <f>IF($B50="","",IF(COUNTIF($B$2:$B50,$B50)=1,1,0))</f>
        <v/>
      </c>
      <c r="X50">
        <f>IF($W50=1,SUMPRODUCT(--($Z$2:$Z$501&lt;$Z50))+1,"")</f>
        <v/>
      </c>
      <c r="Y50">
        <f>IF($B50="","",IF(OR($R50=TRUE(),$R50="TRUE"),1,0))</f>
        <v/>
      </c>
      <c r="Z50">
        <f>IF($W50=1,IFERROR(IF(VALUE($B50)&lt;100000000,VALUE($B50),1000000000),IFERROR(IF(VALUE(MID($B50,2,20))&lt;100000000,VALUE(MID($B50,2,20)),1000000000),1000000000))+ROW()/100000,"")</f>
        <v/>
      </c>
    </row>
    <row r="51">
      <c r="A51">
        <f>IF($B51="","",IFERROR(IF(INDEX('Per Invoice'!$A$2:$A$201,MATCH($B51,'Per Invoice'!$B$2:$B$201,0))=0,"",INDEX('Per Invoice'!$A$2:$A$201,MATCH($B51,'Per Invoice'!$B$2:$B$201,0))),""))</f>
        <v/>
      </c>
      <c r="G51" s="7">
        <f>IF($B51="","",F51*L51/100)</f>
        <v/>
      </c>
      <c r="J51" s="7" t="n"/>
      <c r="L51" s="7" t="n"/>
      <c r="M51" s="7" t="n"/>
      <c r="P51" s="11" t="n"/>
      <c r="S51">
        <f>IF($B51="","",IF($Y51=1,Settings!$C$6,Settings!$C$7)*1)</f>
        <v/>
      </c>
      <c r="T51" s="7">
        <f>IF($B51="","",S51*L51)</f>
        <v/>
      </c>
      <c r="U51" s="7">
        <f>IF($B51="","",L51-T51)</f>
        <v/>
      </c>
      <c r="V51" s="7">
        <f>IF($B51="","",U51-G51)</f>
        <v/>
      </c>
      <c r="W51">
        <f>IF($B51="","",IF(COUNTIF($B$2:$B51,$B51)=1,1,0))</f>
        <v/>
      </c>
      <c r="X51">
        <f>IF($W51=1,SUMPRODUCT(--($Z$2:$Z$501&lt;$Z51))+1,"")</f>
        <v/>
      </c>
      <c r="Y51">
        <f>IF($B51="","",IF(OR($R51=TRUE(),$R51="TRUE"),1,0))</f>
        <v/>
      </c>
      <c r="Z51">
        <f>IF($W51=1,IFERROR(IF(VALUE($B51)&lt;100000000,VALUE($B51),1000000000),IFERROR(IF(VALUE(MID($B51,2,20))&lt;100000000,VALUE(MID($B51,2,20)),1000000000),1000000000))+ROW()/100000,"")</f>
        <v/>
      </c>
    </row>
    <row r="52">
      <c r="A52">
        <f>IF($B52="","",IFERROR(IF(INDEX('Per Invoice'!$A$2:$A$201,MATCH($B52,'Per Invoice'!$B$2:$B$201,0))=0,"",INDEX('Per Invoice'!$A$2:$A$201,MATCH($B52,'Per Invoice'!$B$2:$B$201,0))),""))</f>
        <v/>
      </c>
      <c r="G52" s="7">
        <f>IF($B52="","",F52*L52/100)</f>
        <v/>
      </c>
      <c r="J52" s="7" t="n"/>
      <c r="L52" s="7" t="n"/>
      <c r="M52" s="7" t="n"/>
      <c r="P52" s="11" t="n"/>
      <c r="S52">
        <f>IF($B52="","",IF($Y52=1,Settings!$C$6,Settings!$C$7)*1)</f>
        <v/>
      </c>
      <c r="T52" s="7">
        <f>IF($B52="","",S52*L52)</f>
        <v/>
      </c>
      <c r="U52" s="7">
        <f>IF($B52="","",L52-T52)</f>
        <v/>
      </c>
      <c r="V52" s="7">
        <f>IF($B52="","",U52-G52)</f>
        <v/>
      </c>
      <c r="W52">
        <f>IF($B52="","",IF(COUNTIF($B$2:$B52,$B52)=1,1,0))</f>
        <v/>
      </c>
      <c r="X52">
        <f>IF($W52=1,SUMPRODUCT(--($Z$2:$Z$501&lt;$Z52))+1,"")</f>
        <v/>
      </c>
      <c r="Y52">
        <f>IF($B52="","",IF(OR($R52=TRUE(),$R52="TRUE"),1,0))</f>
        <v/>
      </c>
      <c r="Z52">
        <f>IF($W52=1,IFERROR(IF(VALUE($B52)&lt;100000000,VALUE($B52),1000000000),IFERROR(IF(VALUE(MID($B52,2,20))&lt;100000000,VALUE(MID($B52,2,20)),1000000000),1000000000))+ROW()/100000,"")</f>
        <v/>
      </c>
    </row>
    <row r="53">
      <c r="A53">
        <f>IF($B53="","",IFERROR(IF(INDEX('Per Invoice'!$A$2:$A$201,MATCH($B53,'Per Invoice'!$B$2:$B$201,0))=0,"",INDEX('Per Invoice'!$A$2:$A$201,MATCH($B53,'Per Invoice'!$B$2:$B$201,0))),""))</f>
        <v/>
      </c>
      <c r="G53" s="7">
        <f>IF($B53="","",F53*L53/100)</f>
        <v/>
      </c>
      <c r="J53" s="7" t="n"/>
      <c r="L53" s="7" t="n"/>
      <c r="M53" s="7" t="n"/>
      <c r="P53" s="11" t="n"/>
      <c r="S53">
        <f>IF($B53="","",IF($Y53=1,Settings!$C$6,Settings!$C$7)*1)</f>
        <v/>
      </c>
      <c r="T53" s="7">
        <f>IF($B53="","",S53*L53)</f>
        <v/>
      </c>
      <c r="U53" s="7">
        <f>IF($B53="","",L53-T53)</f>
        <v/>
      </c>
      <c r="V53" s="7">
        <f>IF($B53="","",U53-G53)</f>
        <v/>
      </c>
      <c r="W53">
        <f>IF($B53="","",IF(COUNTIF($B$2:$B53,$B53)=1,1,0))</f>
        <v/>
      </c>
      <c r="X53">
        <f>IF($W53=1,SUMPRODUCT(--($Z$2:$Z$501&lt;$Z53))+1,"")</f>
        <v/>
      </c>
      <c r="Y53">
        <f>IF($B53="","",IF(OR($R53=TRUE(),$R53="TRUE"),1,0))</f>
        <v/>
      </c>
      <c r="Z53">
        <f>IF($W53=1,IFERROR(IF(VALUE($B53)&lt;100000000,VALUE($B53),1000000000),IFERROR(IF(VALUE(MID($B53,2,20))&lt;100000000,VALUE(MID($B53,2,20)),1000000000),1000000000))+ROW()/100000,"")</f>
        <v/>
      </c>
    </row>
    <row r="54">
      <c r="A54">
        <f>IF($B54="","",IFERROR(IF(INDEX('Per Invoice'!$A$2:$A$201,MATCH($B54,'Per Invoice'!$B$2:$B$201,0))=0,"",INDEX('Per Invoice'!$A$2:$A$201,MATCH($B54,'Per Invoice'!$B$2:$B$201,0))),""))</f>
        <v/>
      </c>
      <c r="G54" s="7">
        <f>IF($B54="","",F54*L54/100)</f>
        <v/>
      </c>
      <c r="J54" s="7" t="n"/>
      <c r="L54" s="7" t="n"/>
      <c r="M54" s="7" t="n"/>
      <c r="P54" s="11" t="n"/>
      <c r="S54">
        <f>IF($B54="","",IF($Y54=1,Settings!$C$6,Settings!$C$7)*1)</f>
        <v/>
      </c>
      <c r="T54" s="7">
        <f>IF($B54="","",S54*L54)</f>
        <v/>
      </c>
      <c r="U54" s="7">
        <f>IF($B54="","",L54-T54)</f>
        <v/>
      </c>
      <c r="V54" s="7">
        <f>IF($B54="","",U54-G54)</f>
        <v/>
      </c>
      <c r="W54">
        <f>IF($B54="","",IF(COUNTIF($B$2:$B54,$B54)=1,1,0))</f>
        <v/>
      </c>
      <c r="X54">
        <f>IF($W54=1,SUMPRODUCT(--($Z$2:$Z$501&lt;$Z54))+1,"")</f>
        <v/>
      </c>
      <c r="Y54">
        <f>IF($B54="","",IF(OR($R54=TRUE(),$R54="TRUE"),1,0))</f>
        <v/>
      </c>
      <c r="Z54">
        <f>IF($W54=1,IFERROR(IF(VALUE($B54)&lt;100000000,VALUE($B54),1000000000),IFERROR(IF(VALUE(MID($B54,2,20))&lt;100000000,VALUE(MID($B54,2,20)),1000000000),1000000000))+ROW()/100000,"")</f>
        <v/>
      </c>
    </row>
    <row r="55">
      <c r="A55">
        <f>IF($B55="","",IFERROR(IF(INDEX('Per Invoice'!$A$2:$A$201,MATCH($B55,'Per Invoice'!$B$2:$B$201,0))=0,"",INDEX('Per Invoice'!$A$2:$A$201,MATCH($B55,'Per Invoice'!$B$2:$B$201,0))),""))</f>
        <v/>
      </c>
      <c r="G55" s="7">
        <f>IF($B55="","",F55*L55/100)</f>
        <v/>
      </c>
      <c r="J55" s="7" t="n"/>
      <c r="L55" s="7" t="n"/>
      <c r="M55" s="7" t="n"/>
      <c r="P55" s="11" t="n"/>
      <c r="S55">
        <f>IF($B55="","",IF($Y55=1,Settings!$C$6,Settings!$C$7)*1)</f>
        <v/>
      </c>
      <c r="T55" s="7">
        <f>IF($B55="","",S55*L55)</f>
        <v/>
      </c>
      <c r="U55" s="7">
        <f>IF($B55="","",L55-T55)</f>
        <v/>
      </c>
      <c r="V55" s="7">
        <f>IF($B55="","",U55-G55)</f>
        <v/>
      </c>
      <c r="W55">
        <f>IF($B55="","",IF(COUNTIF($B$2:$B55,$B55)=1,1,0))</f>
        <v/>
      </c>
      <c r="X55">
        <f>IF($W55=1,SUMPRODUCT(--($Z$2:$Z$501&lt;$Z55))+1,"")</f>
        <v/>
      </c>
      <c r="Y55">
        <f>IF($B55="","",IF(OR($R55=TRUE(),$R55="TRUE"),1,0))</f>
        <v/>
      </c>
      <c r="Z55">
        <f>IF($W55=1,IFERROR(IF(VALUE($B55)&lt;100000000,VALUE($B55),1000000000),IFERROR(IF(VALUE(MID($B55,2,20))&lt;100000000,VALUE(MID($B55,2,20)),1000000000),1000000000))+ROW()/100000,"")</f>
        <v/>
      </c>
    </row>
    <row r="56">
      <c r="A56">
        <f>IF($B56="","",IFERROR(IF(INDEX('Per Invoice'!$A$2:$A$201,MATCH($B56,'Per Invoice'!$B$2:$B$201,0))=0,"",INDEX('Per Invoice'!$A$2:$A$201,MATCH($B56,'Per Invoice'!$B$2:$B$201,0))),""))</f>
        <v/>
      </c>
      <c r="G56" s="7">
        <f>IF($B56="","",F56*L56/100)</f>
        <v/>
      </c>
      <c r="J56" s="7" t="n"/>
      <c r="L56" s="7" t="n"/>
      <c r="M56" s="7" t="n"/>
      <c r="P56" s="11" t="n"/>
      <c r="S56">
        <f>IF($B56="","",IF($Y56=1,Settings!$C$6,Settings!$C$7)*1)</f>
        <v/>
      </c>
      <c r="T56" s="7">
        <f>IF($B56="","",S56*L56)</f>
        <v/>
      </c>
      <c r="U56" s="7">
        <f>IF($B56="","",L56-T56)</f>
        <v/>
      </c>
      <c r="V56" s="7">
        <f>IF($B56="","",U56-G56)</f>
        <v/>
      </c>
      <c r="W56">
        <f>IF($B56="","",IF(COUNTIF($B$2:$B56,$B56)=1,1,0))</f>
        <v/>
      </c>
      <c r="X56">
        <f>IF($W56=1,SUMPRODUCT(--($Z$2:$Z$501&lt;$Z56))+1,"")</f>
        <v/>
      </c>
      <c r="Y56">
        <f>IF($B56="","",IF(OR($R56=TRUE(),$R56="TRUE"),1,0))</f>
        <v/>
      </c>
      <c r="Z56">
        <f>IF($W56=1,IFERROR(IF(VALUE($B56)&lt;100000000,VALUE($B56),1000000000),IFERROR(IF(VALUE(MID($B56,2,20))&lt;100000000,VALUE(MID($B56,2,20)),1000000000),1000000000))+ROW()/100000,"")</f>
        <v/>
      </c>
    </row>
    <row r="57">
      <c r="A57">
        <f>IF($B57="","",IFERROR(IF(INDEX('Per Invoice'!$A$2:$A$201,MATCH($B57,'Per Invoice'!$B$2:$B$201,0))=0,"",INDEX('Per Invoice'!$A$2:$A$201,MATCH($B57,'Per Invoice'!$B$2:$B$201,0))),""))</f>
        <v/>
      </c>
      <c r="G57" s="7">
        <f>IF($B57="","",F57*L57/100)</f>
        <v/>
      </c>
      <c r="J57" s="7" t="n"/>
      <c r="L57" s="7" t="n"/>
      <c r="M57" s="7" t="n"/>
      <c r="P57" s="11" t="n"/>
      <c r="S57">
        <f>IF($B57="","",IF($Y57=1,Settings!$C$6,Settings!$C$7)*1)</f>
        <v/>
      </c>
      <c r="T57" s="7">
        <f>IF($B57="","",S57*L57)</f>
        <v/>
      </c>
      <c r="U57" s="7">
        <f>IF($B57="","",L57-T57)</f>
        <v/>
      </c>
      <c r="V57" s="7">
        <f>IF($B57="","",U57-G57)</f>
        <v/>
      </c>
      <c r="W57">
        <f>IF($B57="","",IF(COUNTIF($B$2:$B57,$B57)=1,1,0))</f>
        <v/>
      </c>
      <c r="X57">
        <f>IF($W57=1,SUMPRODUCT(--($Z$2:$Z$501&lt;$Z57))+1,"")</f>
        <v/>
      </c>
      <c r="Y57">
        <f>IF($B57="","",IF(OR($R57=TRUE(),$R57="TRUE"),1,0))</f>
        <v/>
      </c>
      <c r="Z57">
        <f>IF($W57=1,IFERROR(IF(VALUE($B57)&lt;100000000,VALUE($B57),1000000000),IFERROR(IF(VALUE(MID($B57,2,20))&lt;100000000,VALUE(MID($B57,2,20)),1000000000),1000000000))+ROW()/100000,"")</f>
        <v/>
      </c>
    </row>
    <row r="58">
      <c r="A58">
        <f>IF($B58="","",IFERROR(IF(INDEX('Per Invoice'!$A$2:$A$201,MATCH($B58,'Per Invoice'!$B$2:$B$201,0))=0,"",INDEX('Per Invoice'!$A$2:$A$201,MATCH($B58,'Per Invoice'!$B$2:$B$201,0))),""))</f>
        <v/>
      </c>
      <c r="G58" s="7">
        <f>IF($B58="","",F58*L58/100)</f>
        <v/>
      </c>
      <c r="J58" s="7" t="n"/>
      <c r="L58" s="7" t="n"/>
      <c r="M58" s="7" t="n"/>
      <c r="P58" s="11" t="n"/>
      <c r="S58">
        <f>IF($B58="","",IF($Y58=1,Settings!$C$6,Settings!$C$7)*1)</f>
        <v/>
      </c>
      <c r="T58" s="7">
        <f>IF($B58="","",S58*L58)</f>
        <v/>
      </c>
      <c r="U58" s="7">
        <f>IF($B58="","",L58-T58)</f>
        <v/>
      </c>
      <c r="V58" s="7">
        <f>IF($B58="","",U58-G58)</f>
        <v/>
      </c>
      <c r="W58">
        <f>IF($B58="","",IF(COUNTIF($B$2:$B58,$B58)=1,1,0))</f>
        <v/>
      </c>
      <c r="X58">
        <f>IF($W58=1,SUMPRODUCT(--($Z$2:$Z$501&lt;$Z58))+1,"")</f>
        <v/>
      </c>
      <c r="Y58">
        <f>IF($B58="","",IF(OR($R58=TRUE(),$R58="TRUE"),1,0))</f>
        <v/>
      </c>
      <c r="Z58">
        <f>IF($W58=1,IFERROR(IF(VALUE($B58)&lt;100000000,VALUE($B58),1000000000),IFERROR(IF(VALUE(MID($B58,2,20))&lt;100000000,VALUE(MID($B58,2,20)),1000000000),1000000000))+ROW()/100000,"")</f>
        <v/>
      </c>
    </row>
    <row r="59">
      <c r="A59">
        <f>IF($B59="","",IFERROR(IF(INDEX('Per Invoice'!$A$2:$A$201,MATCH($B59,'Per Invoice'!$B$2:$B$201,0))=0,"",INDEX('Per Invoice'!$A$2:$A$201,MATCH($B59,'Per Invoice'!$B$2:$B$201,0))),""))</f>
        <v/>
      </c>
      <c r="G59" s="7">
        <f>IF($B59="","",F59*L59/100)</f>
        <v/>
      </c>
      <c r="J59" s="7" t="n"/>
      <c r="L59" s="7" t="n"/>
      <c r="M59" s="7" t="n"/>
      <c r="P59" s="11" t="n"/>
      <c r="S59">
        <f>IF($B59="","",IF($Y59=1,Settings!$C$6,Settings!$C$7)*1)</f>
        <v/>
      </c>
      <c r="T59" s="7">
        <f>IF($B59="","",S59*L59)</f>
        <v/>
      </c>
      <c r="U59" s="7">
        <f>IF($B59="","",L59-T59)</f>
        <v/>
      </c>
      <c r="V59" s="7">
        <f>IF($B59="","",U59-G59)</f>
        <v/>
      </c>
      <c r="W59">
        <f>IF($B59="","",IF(COUNTIF($B$2:$B59,$B59)=1,1,0))</f>
        <v/>
      </c>
      <c r="X59">
        <f>IF($W59=1,SUMPRODUCT(--($Z$2:$Z$501&lt;$Z59))+1,"")</f>
        <v/>
      </c>
      <c r="Y59">
        <f>IF($B59="","",IF(OR($R59=TRUE(),$R59="TRUE"),1,0))</f>
        <v/>
      </c>
      <c r="Z59">
        <f>IF($W59=1,IFERROR(IF(VALUE($B59)&lt;100000000,VALUE($B59),1000000000),IFERROR(IF(VALUE(MID($B59,2,20))&lt;100000000,VALUE(MID($B59,2,20)),1000000000),1000000000))+ROW()/100000,"")</f>
        <v/>
      </c>
    </row>
    <row r="60">
      <c r="A60">
        <f>IF($B60="","",IFERROR(IF(INDEX('Per Invoice'!$A$2:$A$201,MATCH($B60,'Per Invoice'!$B$2:$B$201,0))=0,"",INDEX('Per Invoice'!$A$2:$A$201,MATCH($B60,'Per Invoice'!$B$2:$B$201,0))),""))</f>
        <v/>
      </c>
      <c r="G60" s="7">
        <f>IF($B60="","",F60*L60/100)</f>
        <v/>
      </c>
      <c r="J60" s="7" t="n"/>
      <c r="L60" s="7" t="n"/>
      <c r="M60" s="7" t="n"/>
      <c r="P60" s="11" t="n"/>
      <c r="S60">
        <f>IF($B60="","",IF($Y60=1,Settings!$C$6,Settings!$C$7)*1)</f>
        <v/>
      </c>
      <c r="T60" s="7">
        <f>IF($B60="","",S60*L60)</f>
        <v/>
      </c>
      <c r="U60" s="7">
        <f>IF($B60="","",L60-T60)</f>
        <v/>
      </c>
      <c r="V60" s="7">
        <f>IF($B60="","",U60-G60)</f>
        <v/>
      </c>
      <c r="W60">
        <f>IF($B60="","",IF(COUNTIF($B$2:$B60,$B60)=1,1,0))</f>
        <v/>
      </c>
      <c r="X60">
        <f>IF($W60=1,SUMPRODUCT(--($Z$2:$Z$501&lt;$Z60))+1,"")</f>
        <v/>
      </c>
      <c r="Y60">
        <f>IF($B60="","",IF(OR($R60=TRUE(),$R60="TRUE"),1,0))</f>
        <v/>
      </c>
      <c r="Z60">
        <f>IF($W60=1,IFERROR(IF(VALUE($B60)&lt;100000000,VALUE($B60),1000000000),IFERROR(IF(VALUE(MID($B60,2,20))&lt;100000000,VALUE(MID($B60,2,20)),1000000000),1000000000))+ROW()/100000,"")</f>
        <v/>
      </c>
    </row>
    <row r="61">
      <c r="A61">
        <f>IF($B61="","",IFERROR(IF(INDEX('Per Invoice'!$A$2:$A$201,MATCH($B61,'Per Invoice'!$B$2:$B$201,0))=0,"",INDEX('Per Invoice'!$A$2:$A$201,MATCH($B61,'Per Invoice'!$B$2:$B$201,0))),""))</f>
        <v/>
      </c>
      <c r="G61" s="7">
        <f>IF($B61="","",F61*L61/100)</f>
        <v/>
      </c>
      <c r="J61" s="7" t="n"/>
      <c r="L61" s="7" t="n"/>
      <c r="M61" s="7" t="n"/>
      <c r="P61" s="11" t="n"/>
      <c r="S61">
        <f>IF($B61="","",IF($Y61=1,Settings!$C$6,Settings!$C$7)*1)</f>
        <v/>
      </c>
      <c r="T61" s="7">
        <f>IF($B61="","",S61*L61)</f>
        <v/>
      </c>
      <c r="U61" s="7">
        <f>IF($B61="","",L61-T61)</f>
        <v/>
      </c>
      <c r="V61" s="7">
        <f>IF($B61="","",U61-G61)</f>
        <v/>
      </c>
      <c r="W61">
        <f>IF($B61="","",IF(COUNTIF($B$2:$B61,$B61)=1,1,0))</f>
        <v/>
      </c>
      <c r="X61">
        <f>IF($W61=1,SUMPRODUCT(--($Z$2:$Z$501&lt;$Z61))+1,"")</f>
        <v/>
      </c>
      <c r="Y61">
        <f>IF($B61="","",IF(OR($R61=TRUE(),$R61="TRUE"),1,0))</f>
        <v/>
      </c>
      <c r="Z61">
        <f>IF($W61=1,IFERROR(IF(VALUE($B61)&lt;100000000,VALUE($B61),1000000000),IFERROR(IF(VALUE(MID($B61,2,20))&lt;100000000,VALUE(MID($B61,2,20)),1000000000),1000000000))+ROW()/100000,"")</f>
        <v/>
      </c>
    </row>
    <row r="62">
      <c r="A62">
        <f>IF($B62="","",IFERROR(IF(INDEX('Per Invoice'!$A$2:$A$201,MATCH($B62,'Per Invoice'!$B$2:$B$201,0))=0,"",INDEX('Per Invoice'!$A$2:$A$201,MATCH($B62,'Per Invoice'!$B$2:$B$201,0))),""))</f>
        <v/>
      </c>
      <c r="G62" s="7">
        <f>IF($B62="","",F62*L62/100)</f>
        <v/>
      </c>
      <c r="J62" s="7" t="n"/>
      <c r="L62" s="7" t="n"/>
      <c r="M62" s="7" t="n"/>
      <c r="P62" s="11" t="n"/>
      <c r="S62">
        <f>IF($B62="","",IF($Y62=1,Settings!$C$6,Settings!$C$7)*1)</f>
        <v/>
      </c>
      <c r="T62" s="7">
        <f>IF($B62="","",S62*L62)</f>
        <v/>
      </c>
      <c r="U62" s="7">
        <f>IF($B62="","",L62-T62)</f>
        <v/>
      </c>
      <c r="V62" s="7">
        <f>IF($B62="","",U62-G62)</f>
        <v/>
      </c>
      <c r="W62">
        <f>IF($B62="","",IF(COUNTIF($B$2:$B62,$B62)=1,1,0))</f>
        <v/>
      </c>
      <c r="X62">
        <f>IF($W62=1,SUMPRODUCT(--($Z$2:$Z$501&lt;$Z62))+1,"")</f>
        <v/>
      </c>
      <c r="Y62">
        <f>IF($B62="","",IF(OR($R62=TRUE(),$R62="TRUE"),1,0))</f>
        <v/>
      </c>
      <c r="Z62">
        <f>IF($W62=1,IFERROR(IF(VALUE($B62)&lt;100000000,VALUE($B62),1000000000),IFERROR(IF(VALUE(MID($B62,2,20))&lt;100000000,VALUE(MID($B62,2,20)),1000000000),1000000000))+ROW()/100000,"")</f>
        <v/>
      </c>
    </row>
    <row r="63">
      <c r="A63">
        <f>IF($B63="","",IFERROR(IF(INDEX('Per Invoice'!$A$2:$A$201,MATCH($B63,'Per Invoice'!$B$2:$B$201,0))=0,"",INDEX('Per Invoice'!$A$2:$A$201,MATCH($B63,'Per Invoice'!$B$2:$B$201,0))),""))</f>
        <v/>
      </c>
      <c r="G63" s="7">
        <f>IF($B63="","",F63*L63/100)</f>
        <v/>
      </c>
      <c r="J63" s="7" t="n"/>
      <c r="L63" s="7" t="n"/>
      <c r="M63" s="7" t="n"/>
      <c r="P63" s="11" t="n"/>
      <c r="S63">
        <f>IF($B63="","",IF($Y63=1,Settings!$C$6,Settings!$C$7)*1)</f>
        <v/>
      </c>
      <c r="T63" s="7">
        <f>IF($B63="","",S63*L63)</f>
        <v/>
      </c>
      <c r="U63" s="7">
        <f>IF($B63="","",L63-T63)</f>
        <v/>
      </c>
      <c r="V63" s="7">
        <f>IF($B63="","",U63-G63)</f>
        <v/>
      </c>
      <c r="W63">
        <f>IF($B63="","",IF(COUNTIF($B$2:$B63,$B63)=1,1,0))</f>
        <v/>
      </c>
      <c r="X63">
        <f>IF($W63=1,SUMPRODUCT(--($Z$2:$Z$501&lt;$Z63))+1,"")</f>
        <v/>
      </c>
      <c r="Y63">
        <f>IF($B63="","",IF(OR($R63=TRUE(),$R63="TRUE"),1,0))</f>
        <v/>
      </c>
      <c r="Z63">
        <f>IF($W63=1,IFERROR(IF(VALUE($B63)&lt;100000000,VALUE($B63),1000000000),IFERROR(IF(VALUE(MID($B63,2,20))&lt;100000000,VALUE(MID($B63,2,20)),1000000000),1000000000))+ROW()/100000,"")</f>
        <v/>
      </c>
    </row>
    <row r="64">
      <c r="A64">
        <f>IF($B64="","",IFERROR(IF(INDEX('Per Invoice'!$A$2:$A$201,MATCH($B64,'Per Invoice'!$B$2:$B$201,0))=0,"",INDEX('Per Invoice'!$A$2:$A$201,MATCH($B64,'Per Invoice'!$B$2:$B$201,0))),""))</f>
        <v/>
      </c>
      <c r="G64" s="7">
        <f>IF($B64="","",F64*L64/100)</f>
        <v/>
      </c>
      <c r="J64" s="7" t="n"/>
      <c r="L64" s="7" t="n"/>
      <c r="M64" s="7" t="n"/>
      <c r="P64" s="11" t="n"/>
      <c r="S64">
        <f>IF($B64="","",IF($Y64=1,Settings!$C$6,Settings!$C$7)*1)</f>
        <v/>
      </c>
      <c r="T64" s="7">
        <f>IF($B64="","",S64*L64)</f>
        <v/>
      </c>
      <c r="U64" s="7">
        <f>IF($B64="","",L64-T64)</f>
        <v/>
      </c>
      <c r="V64" s="7">
        <f>IF($B64="","",U64-G64)</f>
        <v/>
      </c>
      <c r="W64">
        <f>IF($B64="","",IF(COUNTIF($B$2:$B64,$B64)=1,1,0))</f>
        <v/>
      </c>
      <c r="X64">
        <f>IF($W64=1,SUMPRODUCT(--($Z$2:$Z$501&lt;$Z64))+1,"")</f>
        <v/>
      </c>
      <c r="Y64">
        <f>IF($B64="","",IF(OR($R64=TRUE(),$R64="TRUE"),1,0))</f>
        <v/>
      </c>
      <c r="Z64">
        <f>IF($W64=1,IFERROR(IF(VALUE($B64)&lt;100000000,VALUE($B64),1000000000),IFERROR(IF(VALUE(MID($B64,2,20))&lt;100000000,VALUE(MID($B64,2,20)),1000000000),1000000000))+ROW()/100000,"")</f>
        <v/>
      </c>
    </row>
    <row r="65">
      <c r="A65">
        <f>IF($B65="","",IFERROR(IF(INDEX('Per Invoice'!$A$2:$A$201,MATCH($B65,'Per Invoice'!$B$2:$B$201,0))=0,"",INDEX('Per Invoice'!$A$2:$A$201,MATCH($B65,'Per Invoice'!$B$2:$B$201,0))),""))</f>
        <v/>
      </c>
      <c r="G65" s="7">
        <f>IF($B65="","",F65*L65/100)</f>
        <v/>
      </c>
      <c r="J65" s="7" t="n"/>
      <c r="L65" s="7" t="n"/>
      <c r="M65" s="7" t="n"/>
      <c r="P65" s="11" t="n"/>
      <c r="S65">
        <f>IF($B65="","",IF($Y65=1,Settings!$C$6,Settings!$C$7)*1)</f>
        <v/>
      </c>
      <c r="T65" s="7">
        <f>IF($B65="","",S65*L65)</f>
        <v/>
      </c>
      <c r="U65" s="7">
        <f>IF($B65="","",L65-T65)</f>
        <v/>
      </c>
      <c r="V65" s="7">
        <f>IF($B65="","",U65-G65)</f>
        <v/>
      </c>
      <c r="W65">
        <f>IF($B65="","",IF(COUNTIF($B$2:$B65,$B65)=1,1,0))</f>
        <v/>
      </c>
      <c r="X65">
        <f>IF($W65=1,SUMPRODUCT(--($Z$2:$Z$501&lt;$Z65))+1,"")</f>
        <v/>
      </c>
      <c r="Y65">
        <f>IF($B65="","",IF(OR($R65=TRUE(),$R65="TRUE"),1,0))</f>
        <v/>
      </c>
      <c r="Z65">
        <f>IF($W65=1,IFERROR(IF(VALUE($B65)&lt;100000000,VALUE($B65),1000000000),IFERROR(IF(VALUE(MID($B65,2,20))&lt;100000000,VALUE(MID($B65,2,20)),1000000000),1000000000))+ROW()/100000,"")</f>
        <v/>
      </c>
    </row>
    <row r="66">
      <c r="A66">
        <f>IF($B66="","",IFERROR(IF(INDEX('Per Invoice'!$A$2:$A$201,MATCH($B66,'Per Invoice'!$B$2:$B$201,0))=0,"",INDEX('Per Invoice'!$A$2:$A$201,MATCH($B66,'Per Invoice'!$B$2:$B$201,0))),""))</f>
        <v/>
      </c>
      <c r="G66" s="7">
        <f>IF($B66="","",F66*L66/100)</f>
        <v/>
      </c>
      <c r="J66" s="7" t="n"/>
      <c r="L66" s="7" t="n"/>
      <c r="M66" s="7" t="n"/>
      <c r="P66" s="11" t="n"/>
      <c r="S66">
        <f>IF($B66="","",IF($Y66=1,Settings!$C$6,Settings!$C$7)*1)</f>
        <v/>
      </c>
      <c r="T66" s="7">
        <f>IF($B66="","",S66*L66)</f>
        <v/>
      </c>
      <c r="U66" s="7">
        <f>IF($B66="","",L66-T66)</f>
        <v/>
      </c>
      <c r="V66" s="7">
        <f>IF($B66="","",U66-G66)</f>
        <v/>
      </c>
      <c r="W66">
        <f>IF($B66="","",IF(COUNTIF($B$2:$B66,$B66)=1,1,0))</f>
        <v/>
      </c>
      <c r="X66">
        <f>IF($W66=1,SUMPRODUCT(--($Z$2:$Z$501&lt;$Z66))+1,"")</f>
        <v/>
      </c>
      <c r="Y66">
        <f>IF($B66="","",IF(OR($R66=TRUE(),$R66="TRUE"),1,0))</f>
        <v/>
      </c>
      <c r="Z66">
        <f>IF($W66=1,IFERROR(IF(VALUE($B66)&lt;100000000,VALUE($B66),1000000000),IFERROR(IF(VALUE(MID($B66,2,20))&lt;100000000,VALUE(MID($B66,2,20)),1000000000),1000000000))+ROW()/100000,"")</f>
        <v/>
      </c>
    </row>
    <row r="67">
      <c r="A67">
        <f>IF($B67="","",IFERROR(IF(INDEX('Per Invoice'!$A$2:$A$201,MATCH($B67,'Per Invoice'!$B$2:$B$201,0))=0,"",INDEX('Per Invoice'!$A$2:$A$201,MATCH($B67,'Per Invoice'!$B$2:$B$201,0))),""))</f>
        <v/>
      </c>
      <c r="G67" s="7">
        <f>IF($B67="","",F67*L67/100)</f>
        <v/>
      </c>
      <c r="J67" s="7" t="n"/>
      <c r="L67" s="7" t="n"/>
      <c r="M67" s="7" t="n"/>
      <c r="P67" s="11" t="n"/>
      <c r="S67">
        <f>IF($B67="","",IF($Y67=1,Settings!$C$6,Settings!$C$7)*1)</f>
        <v/>
      </c>
      <c r="T67" s="7">
        <f>IF($B67="","",S67*L67)</f>
        <v/>
      </c>
      <c r="U67" s="7">
        <f>IF($B67="","",L67-T67)</f>
        <v/>
      </c>
      <c r="V67" s="7">
        <f>IF($B67="","",U67-G67)</f>
        <v/>
      </c>
      <c r="W67">
        <f>IF($B67="","",IF(COUNTIF($B$2:$B67,$B67)=1,1,0))</f>
        <v/>
      </c>
      <c r="X67">
        <f>IF($W67=1,SUMPRODUCT(--($Z$2:$Z$501&lt;$Z67))+1,"")</f>
        <v/>
      </c>
      <c r="Y67">
        <f>IF($B67="","",IF(OR($R67=TRUE(),$R67="TRUE"),1,0))</f>
        <v/>
      </c>
      <c r="Z67">
        <f>IF($W67=1,IFERROR(IF(VALUE($B67)&lt;100000000,VALUE($B67),1000000000),IFERROR(IF(VALUE(MID($B67,2,20))&lt;100000000,VALUE(MID($B67,2,20)),1000000000),1000000000))+ROW()/100000,"")</f>
        <v/>
      </c>
    </row>
    <row r="68">
      <c r="A68">
        <f>IF($B68="","",IFERROR(IF(INDEX('Per Invoice'!$A$2:$A$201,MATCH($B68,'Per Invoice'!$B$2:$B$201,0))=0,"",INDEX('Per Invoice'!$A$2:$A$201,MATCH($B68,'Per Invoice'!$B$2:$B$201,0))),""))</f>
        <v/>
      </c>
      <c r="G68" s="7">
        <f>IF($B68="","",F68*L68/100)</f>
        <v/>
      </c>
      <c r="J68" s="7" t="n"/>
      <c r="L68" s="7" t="n"/>
      <c r="M68" s="7" t="n"/>
      <c r="P68" s="11" t="n"/>
      <c r="S68">
        <f>IF($B68="","",IF($Y68=1,Settings!$C$6,Settings!$C$7)*1)</f>
        <v/>
      </c>
      <c r="T68" s="7">
        <f>IF($B68="","",S68*L68)</f>
        <v/>
      </c>
      <c r="U68" s="7">
        <f>IF($B68="","",L68-T68)</f>
        <v/>
      </c>
      <c r="V68" s="7">
        <f>IF($B68="","",U68-G68)</f>
        <v/>
      </c>
      <c r="W68">
        <f>IF($B68="","",IF(COUNTIF($B$2:$B68,$B68)=1,1,0))</f>
        <v/>
      </c>
      <c r="X68">
        <f>IF($W68=1,SUMPRODUCT(--($Z$2:$Z$501&lt;$Z68))+1,"")</f>
        <v/>
      </c>
      <c r="Y68">
        <f>IF($B68="","",IF(OR($R68=TRUE(),$R68="TRUE"),1,0))</f>
        <v/>
      </c>
      <c r="Z68">
        <f>IF($W68=1,IFERROR(IF(VALUE($B68)&lt;100000000,VALUE($B68),1000000000),IFERROR(IF(VALUE(MID($B68,2,20))&lt;100000000,VALUE(MID($B68,2,20)),1000000000),1000000000))+ROW()/100000,"")</f>
        <v/>
      </c>
    </row>
    <row r="69">
      <c r="A69">
        <f>IF($B69="","",IFERROR(IF(INDEX('Per Invoice'!$A$2:$A$201,MATCH($B69,'Per Invoice'!$B$2:$B$201,0))=0,"",INDEX('Per Invoice'!$A$2:$A$201,MATCH($B69,'Per Invoice'!$B$2:$B$201,0))),""))</f>
        <v/>
      </c>
      <c r="G69" s="7">
        <f>IF($B69="","",F69*L69/100)</f>
        <v/>
      </c>
      <c r="J69" s="7" t="n"/>
      <c r="L69" s="7" t="n"/>
      <c r="M69" s="7" t="n"/>
      <c r="P69" s="11" t="n"/>
      <c r="S69">
        <f>IF($B69="","",IF($Y69=1,Settings!$C$6,Settings!$C$7)*1)</f>
        <v/>
      </c>
      <c r="T69" s="7">
        <f>IF($B69="","",S69*L69)</f>
        <v/>
      </c>
      <c r="U69" s="7">
        <f>IF($B69="","",L69-T69)</f>
        <v/>
      </c>
      <c r="V69" s="7">
        <f>IF($B69="","",U69-G69)</f>
        <v/>
      </c>
      <c r="W69">
        <f>IF($B69="","",IF(COUNTIF($B$2:$B69,$B69)=1,1,0))</f>
        <v/>
      </c>
      <c r="X69">
        <f>IF($W69=1,SUMPRODUCT(--($Z$2:$Z$501&lt;$Z69))+1,"")</f>
        <v/>
      </c>
      <c r="Y69">
        <f>IF($B69="","",IF(OR($R69=TRUE(),$R69="TRUE"),1,0))</f>
        <v/>
      </c>
      <c r="Z69">
        <f>IF($W69=1,IFERROR(IF(VALUE($B69)&lt;100000000,VALUE($B69),1000000000),IFERROR(IF(VALUE(MID($B69,2,20))&lt;100000000,VALUE(MID($B69,2,20)),1000000000),1000000000))+ROW()/100000,"")</f>
        <v/>
      </c>
    </row>
    <row r="70">
      <c r="A70">
        <f>IF($B70="","",IFERROR(IF(INDEX('Per Invoice'!$A$2:$A$201,MATCH($B70,'Per Invoice'!$B$2:$B$201,0))=0,"",INDEX('Per Invoice'!$A$2:$A$201,MATCH($B70,'Per Invoice'!$B$2:$B$201,0))),""))</f>
        <v/>
      </c>
      <c r="G70" s="7">
        <f>IF($B70="","",F70*L70/100)</f>
        <v/>
      </c>
      <c r="J70" s="7" t="n"/>
      <c r="L70" s="7" t="n"/>
      <c r="M70" s="7" t="n"/>
      <c r="P70" s="11" t="n"/>
      <c r="S70">
        <f>IF($B70="","",IF($Y70=1,Settings!$C$6,Settings!$C$7)*1)</f>
        <v/>
      </c>
      <c r="T70" s="7">
        <f>IF($B70="","",S70*L70)</f>
        <v/>
      </c>
      <c r="U70" s="7">
        <f>IF($B70="","",L70-T70)</f>
        <v/>
      </c>
      <c r="V70" s="7">
        <f>IF($B70="","",U70-G70)</f>
        <v/>
      </c>
      <c r="W70">
        <f>IF($B70="","",IF(COUNTIF($B$2:$B70,$B70)=1,1,0))</f>
        <v/>
      </c>
      <c r="X70">
        <f>IF($W70=1,SUMPRODUCT(--($Z$2:$Z$501&lt;$Z70))+1,"")</f>
        <v/>
      </c>
      <c r="Y70">
        <f>IF($B70="","",IF(OR($R70=TRUE(),$R70="TRUE"),1,0))</f>
        <v/>
      </c>
      <c r="Z70">
        <f>IF($W70=1,IFERROR(IF(VALUE($B70)&lt;100000000,VALUE($B70),1000000000),IFERROR(IF(VALUE(MID($B70,2,20))&lt;100000000,VALUE(MID($B70,2,20)),1000000000),1000000000))+ROW()/100000,"")</f>
        <v/>
      </c>
    </row>
    <row r="71">
      <c r="A71">
        <f>IF($B71="","",IFERROR(IF(INDEX('Per Invoice'!$A$2:$A$201,MATCH($B71,'Per Invoice'!$B$2:$B$201,0))=0,"",INDEX('Per Invoice'!$A$2:$A$201,MATCH($B71,'Per Invoice'!$B$2:$B$201,0))),""))</f>
        <v/>
      </c>
      <c r="G71" s="7">
        <f>IF($B71="","",F71*L71/100)</f>
        <v/>
      </c>
      <c r="J71" s="7" t="n"/>
      <c r="L71" s="7" t="n"/>
      <c r="M71" s="7" t="n"/>
      <c r="P71" s="11" t="n"/>
      <c r="S71">
        <f>IF($B71="","",IF($Y71=1,Settings!$C$6,Settings!$C$7)*1)</f>
        <v/>
      </c>
      <c r="T71" s="7">
        <f>IF($B71="","",S71*L71)</f>
        <v/>
      </c>
      <c r="U71" s="7">
        <f>IF($B71="","",L71-T71)</f>
        <v/>
      </c>
      <c r="V71" s="7">
        <f>IF($B71="","",U71-G71)</f>
        <v/>
      </c>
      <c r="W71">
        <f>IF($B71="","",IF(COUNTIF($B$2:$B71,$B71)=1,1,0))</f>
        <v/>
      </c>
      <c r="X71">
        <f>IF($W71=1,SUMPRODUCT(--($Z$2:$Z$501&lt;$Z71))+1,"")</f>
        <v/>
      </c>
      <c r="Y71">
        <f>IF($B71="","",IF(OR($R71=TRUE(),$R71="TRUE"),1,0))</f>
        <v/>
      </c>
      <c r="Z71">
        <f>IF($W71=1,IFERROR(IF(VALUE($B71)&lt;100000000,VALUE($B71),1000000000),IFERROR(IF(VALUE(MID($B71,2,20))&lt;100000000,VALUE(MID($B71,2,20)),1000000000),1000000000))+ROW()/100000,"")</f>
        <v/>
      </c>
    </row>
    <row r="72">
      <c r="A72">
        <f>IF($B72="","",IFERROR(IF(INDEX('Per Invoice'!$A$2:$A$201,MATCH($B72,'Per Invoice'!$B$2:$B$201,0))=0,"",INDEX('Per Invoice'!$A$2:$A$201,MATCH($B72,'Per Invoice'!$B$2:$B$201,0))),""))</f>
        <v/>
      </c>
      <c r="G72" s="7">
        <f>IF($B72="","",F72*L72/100)</f>
        <v/>
      </c>
      <c r="J72" s="7" t="n"/>
      <c r="L72" s="7" t="n"/>
      <c r="M72" s="7" t="n"/>
      <c r="P72" s="11" t="n"/>
      <c r="S72">
        <f>IF($B72="","",IF($Y72=1,Settings!$C$6,Settings!$C$7)*1)</f>
        <v/>
      </c>
      <c r="T72" s="7">
        <f>IF($B72="","",S72*L72)</f>
        <v/>
      </c>
      <c r="U72" s="7">
        <f>IF($B72="","",L72-T72)</f>
        <v/>
      </c>
      <c r="V72" s="7">
        <f>IF($B72="","",U72-G72)</f>
        <v/>
      </c>
      <c r="W72">
        <f>IF($B72="","",IF(COUNTIF($B$2:$B72,$B72)=1,1,0))</f>
        <v/>
      </c>
      <c r="X72">
        <f>IF($W72=1,SUMPRODUCT(--($Z$2:$Z$501&lt;$Z72))+1,"")</f>
        <v/>
      </c>
      <c r="Y72">
        <f>IF($B72="","",IF(OR($R72=TRUE(),$R72="TRUE"),1,0))</f>
        <v/>
      </c>
      <c r="Z72">
        <f>IF($W72=1,IFERROR(IF(VALUE($B72)&lt;100000000,VALUE($B72),1000000000),IFERROR(IF(VALUE(MID($B72,2,20))&lt;100000000,VALUE(MID($B72,2,20)),1000000000),1000000000))+ROW()/100000,"")</f>
        <v/>
      </c>
    </row>
    <row r="73">
      <c r="A73">
        <f>IF($B73="","",IFERROR(IF(INDEX('Per Invoice'!$A$2:$A$201,MATCH($B73,'Per Invoice'!$B$2:$B$201,0))=0,"",INDEX('Per Invoice'!$A$2:$A$201,MATCH($B73,'Per Invoice'!$B$2:$B$201,0))),""))</f>
        <v/>
      </c>
      <c r="G73" s="7">
        <f>IF($B73="","",F73*L73/100)</f>
        <v/>
      </c>
      <c r="J73" s="7" t="n"/>
      <c r="L73" s="7" t="n"/>
      <c r="M73" s="7" t="n"/>
      <c r="P73" s="11" t="n"/>
      <c r="S73">
        <f>IF($B73="","",IF($Y73=1,Settings!$C$6,Settings!$C$7)*1)</f>
        <v/>
      </c>
      <c r="T73" s="7">
        <f>IF($B73="","",S73*L73)</f>
        <v/>
      </c>
      <c r="U73" s="7">
        <f>IF($B73="","",L73-T73)</f>
        <v/>
      </c>
      <c r="V73" s="7">
        <f>IF($B73="","",U73-G73)</f>
        <v/>
      </c>
      <c r="W73">
        <f>IF($B73="","",IF(COUNTIF($B$2:$B73,$B73)=1,1,0))</f>
        <v/>
      </c>
      <c r="X73">
        <f>IF($W73=1,SUMPRODUCT(--($Z$2:$Z$501&lt;$Z73))+1,"")</f>
        <v/>
      </c>
      <c r="Y73">
        <f>IF($B73="","",IF(OR($R73=TRUE(),$R73="TRUE"),1,0))</f>
        <v/>
      </c>
      <c r="Z73">
        <f>IF($W73=1,IFERROR(IF(VALUE($B73)&lt;100000000,VALUE($B73),1000000000),IFERROR(IF(VALUE(MID($B73,2,20))&lt;100000000,VALUE(MID($B73,2,20)),1000000000),1000000000))+ROW()/100000,"")</f>
        <v/>
      </c>
    </row>
    <row r="74">
      <c r="A74">
        <f>IF($B74="","",IFERROR(IF(INDEX('Per Invoice'!$A$2:$A$201,MATCH($B74,'Per Invoice'!$B$2:$B$201,0))=0,"",INDEX('Per Invoice'!$A$2:$A$201,MATCH($B74,'Per Invoice'!$B$2:$B$201,0))),""))</f>
        <v/>
      </c>
      <c r="G74" s="7">
        <f>IF($B74="","",F74*L74/100)</f>
        <v/>
      </c>
      <c r="J74" s="7" t="n"/>
      <c r="L74" s="7" t="n"/>
      <c r="M74" s="7" t="n"/>
      <c r="P74" s="11" t="n"/>
      <c r="S74">
        <f>IF($B74="","",IF($Y74=1,Settings!$C$6,Settings!$C$7)*1)</f>
        <v/>
      </c>
      <c r="T74" s="7">
        <f>IF($B74="","",S74*L74)</f>
        <v/>
      </c>
      <c r="U74" s="7">
        <f>IF($B74="","",L74-T74)</f>
        <v/>
      </c>
      <c r="V74" s="7">
        <f>IF($B74="","",U74-G74)</f>
        <v/>
      </c>
      <c r="W74">
        <f>IF($B74="","",IF(COUNTIF($B$2:$B74,$B74)=1,1,0))</f>
        <v/>
      </c>
      <c r="X74">
        <f>IF($W74=1,SUMPRODUCT(--($Z$2:$Z$501&lt;$Z74))+1,"")</f>
        <v/>
      </c>
      <c r="Y74">
        <f>IF($B74="","",IF(OR($R74=TRUE(),$R74="TRUE"),1,0))</f>
        <v/>
      </c>
      <c r="Z74">
        <f>IF($W74=1,IFERROR(IF(VALUE($B74)&lt;100000000,VALUE($B74),1000000000),IFERROR(IF(VALUE(MID($B74,2,20))&lt;100000000,VALUE(MID($B74,2,20)),1000000000),1000000000))+ROW()/100000,"")</f>
        <v/>
      </c>
    </row>
    <row r="75">
      <c r="A75">
        <f>IF($B75="","",IFERROR(IF(INDEX('Per Invoice'!$A$2:$A$201,MATCH($B75,'Per Invoice'!$B$2:$B$201,0))=0,"",INDEX('Per Invoice'!$A$2:$A$201,MATCH($B75,'Per Invoice'!$B$2:$B$201,0))),""))</f>
        <v/>
      </c>
      <c r="G75" s="7">
        <f>IF($B75="","",F75*L75/100)</f>
        <v/>
      </c>
      <c r="J75" s="7" t="n"/>
      <c r="L75" s="7" t="n"/>
      <c r="M75" s="7" t="n"/>
      <c r="P75" s="11" t="n"/>
      <c r="S75">
        <f>IF($B75="","",IF($Y75=1,Settings!$C$6,Settings!$C$7)*1)</f>
        <v/>
      </c>
      <c r="T75" s="7">
        <f>IF($B75="","",S75*L75)</f>
        <v/>
      </c>
      <c r="U75" s="7">
        <f>IF($B75="","",L75-T75)</f>
        <v/>
      </c>
      <c r="V75" s="7">
        <f>IF($B75="","",U75-G75)</f>
        <v/>
      </c>
      <c r="W75">
        <f>IF($B75="","",IF(COUNTIF($B$2:$B75,$B75)=1,1,0))</f>
        <v/>
      </c>
      <c r="X75">
        <f>IF($W75=1,SUMPRODUCT(--($Z$2:$Z$501&lt;$Z75))+1,"")</f>
        <v/>
      </c>
      <c r="Y75">
        <f>IF($B75="","",IF(OR($R75=TRUE(),$R75="TRUE"),1,0))</f>
        <v/>
      </c>
      <c r="Z75">
        <f>IF($W75=1,IFERROR(IF(VALUE($B75)&lt;100000000,VALUE($B75),1000000000),IFERROR(IF(VALUE(MID($B75,2,20))&lt;100000000,VALUE(MID($B75,2,20)),1000000000),1000000000))+ROW()/100000,"")</f>
        <v/>
      </c>
    </row>
    <row r="76">
      <c r="A76">
        <f>IF($B76="","",IFERROR(IF(INDEX('Per Invoice'!$A$2:$A$201,MATCH($B76,'Per Invoice'!$B$2:$B$201,0))=0,"",INDEX('Per Invoice'!$A$2:$A$201,MATCH($B76,'Per Invoice'!$B$2:$B$201,0))),""))</f>
        <v/>
      </c>
      <c r="G76" s="7">
        <f>IF($B76="","",F76*L76/100)</f>
        <v/>
      </c>
      <c r="J76" s="7" t="n"/>
      <c r="L76" s="7" t="n"/>
      <c r="M76" s="7" t="n"/>
      <c r="P76" s="11" t="n"/>
      <c r="S76">
        <f>IF($B76="","",IF($Y76=1,Settings!$C$6,Settings!$C$7)*1)</f>
        <v/>
      </c>
      <c r="T76" s="7">
        <f>IF($B76="","",S76*L76)</f>
        <v/>
      </c>
      <c r="U76" s="7">
        <f>IF($B76="","",L76-T76)</f>
        <v/>
      </c>
      <c r="V76" s="7">
        <f>IF($B76="","",U76-G76)</f>
        <v/>
      </c>
      <c r="W76">
        <f>IF($B76="","",IF(COUNTIF($B$2:$B76,$B76)=1,1,0))</f>
        <v/>
      </c>
      <c r="X76">
        <f>IF($W76=1,SUMPRODUCT(--($Z$2:$Z$501&lt;$Z76))+1,"")</f>
        <v/>
      </c>
      <c r="Y76">
        <f>IF($B76="","",IF(OR($R76=TRUE(),$R76="TRUE"),1,0))</f>
        <v/>
      </c>
      <c r="Z76">
        <f>IF($W76=1,IFERROR(IF(VALUE($B76)&lt;100000000,VALUE($B76),1000000000),IFERROR(IF(VALUE(MID($B76,2,20))&lt;100000000,VALUE(MID($B76,2,20)),1000000000),1000000000))+ROW()/100000,"")</f>
        <v/>
      </c>
    </row>
    <row r="77">
      <c r="A77">
        <f>IF($B77="","",IFERROR(IF(INDEX('Per Invoice'!$A$2:$A$201,MATCH($B77,'Per Invoice'!$B$2:$B$201,0))=0,"",INDEX('Per Invoice'!$A$2:$A$201,MATCH($B77,'Per Invoice'!$B$2:$B$201,0))),""))</f>
        <v/>
      </c>
      <c r="G77" s="7">
        <f>IF($B77="","",F77*L77/100)</f>
        <v/>
      </c>
      <c r="J77" s="7" t="n"/>
      <c r="L77" s="7" t="n"/>
      <c r="M77" s="7" t="n"/>
      <c r="P77" s="11" t="n"/>
      <c r="S77">
        <f>IF($B77="","",IF($Y77=1,Settings!$C$6,Settings!$C$7)*1)</f>
        <v/>
      </c>
      <c r="T77" s="7">
        <f>IF($B77="","",S77*L77)</f>
        <v/>
      </c>
      <c r="U77" s="7">
        <f>IF($B77="","",L77-T77)</f>
        <v/>
      </c>
      <c r="V77" s="7">
        <f>IF($B77="","",U77-G77)</f>
        <v/>
      </c>
      <c r="W77">
        <f>IF($B77="","",IF(COUNTIF($B$2:$B77,$B77)=1,1,0))</f>
        <v/>
      </c>
      <c r="X77">
        <f>IF($W77=1,SUMPRODUCT(--($Z$2:$Z$501&lt;$Z77))+1,"")</f>
        <v/>
      </c>
      <c r="Y77">
        <f>IF($B77="","",IF(OR($R77=TRUE(),$R77="TRUE"),1,0))</f>
        <v/>
      </c>
      <c r="Z77">
        <f>IF($W77=1,IFERROR(IF(VALUE($B77)&lt;100000000,VALUE($B77),1000000000),IFERROR(IF(VALUE(MID($B77,2,20))&lt;100000000,VALUE(MID($B77,2,20)),1000000000),1000000000))+ROW()/100000,"")</f>
        <v/>
      </c>
    </row>
    <row r="78">
      <c r="A78">
        <f>IF($B78="","",IFERROR(IF(INDEX('Per Invoice'!$A$2:$A$201,MATCH($B78,'Per Invoice'!$B$2:$B$201,0))=0,"",INDEX('Per Invoice'!$A$2:$A$201,MATCH($B78,'Per Invoice'!$B$2:$B$201,0))),""))</f>
        <v/>
      </c>
      <c r="G78" s="7">
        <f>IF($B78="","",F78*L78/100)</f>
        <v/>
      </c>
      <c r="J78" s="7" t="n"/>
      <c r="L78" s="7" t="n"/>
      <c r="M78" s="7" t="n"/>
      <c r="P78" s="11" t="n"/>
      <c r="S78">
        <f>IF($B78="","",IF($Y78=1,Settings!$C$6,Settings!$C$7)*1)</f>
        <v/>
      </c>
      <c r="T78" s="7">
        <f>IF($B78="","",S78*L78)</f>
        <v/>
      </c>
      <c r="U78" s="7">
        <f>IF($B78="","",L78-T78)</f>
        <v/>
      </c>
      <c r="V78" s="7">
        <f>IF($B78="","",U78-G78)</f>
        <v/>
      </c>
      <c r="W78">
        <f>IF($B78="","",IF(COUNTIF($B$2:$B78,$B78)=1,1,0))</f>
        <v/>
      </c>
      <c r="X78">
        <f>IF($W78=1,SUMPRODUCT(--($Z$2:$Z$501&lt;$Z78))+1,"")</f>
        <v/>
      </c>
      <c r="Y78">
        <f>IF($B78="","",IF(OR($R78=TRUE(),$R78="TRUE"),1,0))</f>
        <v/>
      </c>
      <c r="Z78">
        <f>IF($W78=1,IFERROR(IF(VALUE($B78)&lt;100000000,VALUE($B78),1000000000),IFERROR(IF(VALUE(MID($B78,2,20))&lt;100000000,VALUE(MID($B78,2,20)),1000000000),1000000000))+ROW()/100000,"")</f>
        <v/>
      </c>
    </row>
    <row r="79">
      <c r="A79">
        <f>IF($B79="","",IFERROR(IF(INDEX('Per Invoice'!$A$2:$A$201,MATCH($B79,'Per Invoice'!$B$2:$B$201,0))=0,"",INDEX('Per Invoice'!$A$2:$A$201,MATCH($B79,'Per Invoice'!$B$2:$B$201,0))),""))</f>
        <v/>
      </c>
      <c r="G79" s="7">
        <f>IF($B79="","",F79*L79/100)</f>
        <v/>
      </c>
      <c r="J79" s="7" t="n"/>
      <c r="L79" s="7" t="n"/>
      <c r="M79" s="7" t="n"/>
      <c r="P79" s="11" t="n"/>
      <c r="S79">
        <f>IF($B79="","",IF($Y79=1,Settings!$C$6,Settings!$C$7)*1)</f>
        <v/>
      </c>
      <c r="T79" s="7">
        <f>IF($B79="","",S79*L79)</f>
        <v/>
      </c>
      <c r="U79" s="7">
        <f>IF($B79="","",L79-T79)</f>
        <v/>
      </c>
      <c r="V79" s="7">
        <f>IF($B79="","",U79-G79)</f>
        <v/>
      </c>
      <c r="W79">
        <f>IF($B79="","",IF(COUNTIF($B$2:$B79,$B79)=1,1,0))</f>
        <v/>
      </c>
      <c r="X79">
        <f>IF($W79=1,SUMPRODUCT(--($Z$2:$Z$501&lt;$Z79))+1,"")</f>
        <v/>
      </c>
      <c r="Y79">
        <f>IF($B79="","",IF(OR($R79=TRUE(),$R79="TRUE"),1,0))</f>
        <v/>
      </c>
      <c r="Z79">
        <f>IF($W79=1,IFERROR(IF(VALUE($B79)&lt;100000000,VALUE($B79),1000000000),IFERROR(IF(VALUE(MID($B79,2,20))&lt;100000000,VALUE(MID($B79,2,20)),1000000000),1000000000))+ROW()/100000,"")</f>
        <v/>
      </c>
    </row>
    <row r="80">
      <c r="A80">
        <f>IF($B80="","",IFERROR(IF(INDEX('Per Invoice'!$A$2:$A$201,MATCH($B80,'Per Invoice'!$B$2:$B$201,0))=0,"",INDEX('Per Invoice'!$A$2:$A$201,MATCH($B80,'Per Invoice'!$B$2:$B$201,0))),""))</f>
        <v/>
      </c>
      <c r="G80" s="7">
        <f>IF($B80="","",F80*L80/100)</f>
        <v/>
      </c>
      <c r="J80" s="7" t="n"/>
      <c r="L80" s="7" t="n"/>
      <c r="M80" s="7" t="n"/>
      <c r="P80" s="11" t="n"/>
      <c r="S80">
        <f>IF($B80="","",IF($Y80=1,Settings!$C$6,Settings!$C$7)*1)</f>
        <v/>
      </c>
      <c r="T80" s="7">
        <f>IF($B80="","",S80*L80)</f>
        <v/>
      </c>
      <c r="U80" s="7">
        <f>IF($B80="","",L80-T80)</f>
        <v/>
      </c>
      <c r="V80" s="7">
        <f>IF($B80="","",U80-G80)</f>
        <v/>
      </c>
      <c r="W80">
        <f>IF($B80="","",IF(COUNTIF($B$2:$B80,$B80)=1,1,0))</f>
        <v/>
      </c>
      <c r="X80">
        <f>IF($W80=1,SUMPRODUCT(--($Z$2:$Z$501&lt;$Z80))+1,"")</f>
        <v/>
      </c>
      <c r="Y80">
        <f>IF($B80="","",IF(OR($R80=TRUE(),$R80="TRUE"),1,0))</f>
        <v/>
      </c>
      <c r="Z80">
        <f>IF($W80=1,IFERROR(IF(VALUE($B80)&lt;100000000,VALUE($B80),1000000000),IFERROR(IF(VALUE(MID($B80,2,20))&lt;100000000,VALUE(MID($B80,2,20)),1000000000),1000000000))+ROW()/100000,"")</f>
        <v/>
      </c>
    </row>
    <row r="81">
      <c r="A81">
        <f>IF($B81="","",IFERROR(IF(INDEX('Per Invoice'!$A$2:$A$201,MATCH($B81,'Per Invoice'!$B$2:$B$201,0))=0,"",INDEX('Per Invoice'!$A$2:$A$201,MATCH($B81,'Per Invoice'!$B$2:$B$201,0))),""))</f>
        <v/>
      </c>
      <c r="G81" s="7">
        <f>IF($B81="","",F81*L81/100)</f>
        <v/>
      </c>
      <c r="J81" s="7" t="n"/>
      <c r="L81" s="7" t="n"/>
      <c r="M81" s="7" t="n"/>
      <c r="P81" s="11" t="n"/>
      <c r="S81">
        <f>IF($B81="","",IF($Y81=1,Settings!$C$6,Settings!$C$7)*1)</f>
        <v/>
      </c>
      <c r="T81" s="7">
        <f>IF($B81="","",S81*L81)</f>
        <v/>
      </c>
      <c r="U81" s="7">
        <f>IF($B81="","",L81-T81)</f>
        <v/>
      </c>
      <c r="V81" s="7">
        <f>IF($B81="","",U81-G81)</f>
        <v/>
      </c>
      <c r="W81">
        <f>IF($B81="","",IF(COUNTIF($B$2:$B81,$B81)=1,1,0))</f>
        <v/>
      </c>
      <c r="X81">
        <f>IF($W81=1,SUMPRODUCT(--($Z$2:$Z$501&lt;$Z81))+1,"")</f>
        <v/>
      </c>
      <c r="Y81">
        <f>IF($B81="","",IF(OR($R81=TRUE(),$R81="TRUE"),1,0))</f>
        <v/>
      </c>
      <c r="Z81">
        <f>IF($W81=1,IFERROR(IF(VALUE($B81)&lt;100000000,VALUE($B81),1000000000),IFERROR(IF(VALUE(MID($B81,2,20))&lt;100000000,VALUE(MID($B81,2,20)),1000000000),1000000000))+ROW()/100000,"")</f>
        <v/>
      </c>
    </row>
    <row r="82">
      <c r="A82">
        <f>IF($B82="","",IFERROR(IF(INDEX('Per Invoice'!$A$2:$A$201,MATCH($B82,'Per Invoice'!$B$2:$B$201,0))=0,"",INDEX('Per Invoice'!$A$2:$A$201,MATCH($B82,'Per Invoice'!$B$2:$B$201,0))),""))</f>
        <v/>
      </c>
      <c r="G82" s="7">
        <f>IF($B82="","",F82*L82/100)</f>
        <v/>
      </c>
      <c r="J82" s="7" t="n"/>
      <c r="L82" s="7" t="n"/>
      <c r="M82" s="7" t="n"/>
      <c r="P82" s="11" t="n"/>
      <c r="S82">
        <f>IF($B82="","",IF($Y82=1,Settings!$C$6,Settings!$C$7)*1)</f>
        <v/>
      </c>
      <c r="T82" s="7">
        <f>IF($B82="","",S82*L82)</f>
        <v/>
      </c>
      <c r="U82" s="7">
        <f>IF($B82="","",L82-T82)</f>
        <v/>
      </c>
      <c r="V82" s="7">
        <f>IF($B82="","",U82-G82)</f>
        <v/>
      </c>
      <c r="W82">
        <f>IF($B82="","",IF(COUNTIF($B$2:$B82,$B82)=1,1,0))</f>
        <v/>
      </c>
      <c r="X82">
        <f>IF($W82=1,SUMPRODUCT(--($Z$2:$Z$501&lt;$Z82))+1,"")</f>
        <v/>
      </c>
      <c r="Y82">
        <f>IF($B82="","",IF(OR($R82=TRUE(),$R82="TRUE"),1,0))</f>
        <v/>
      </c>
      <c r="Z82">
        <f>IF($W82=1,IFERROR(IF(VALUE($B82)&lt;100000000,VALUE($B82),1000000000),IFERROR(IF(VALUE(MID($B82,2,20))&lt;100000000,VALUE(MID($B82,2,20)),1000000000),1000000000))+ROW()/100000,"")</f>
        <v/>
      </c>
    </row>
    <row r="83">
      <c r="A83">
        <f>IF($B83="","",IFERROR(IF(INDEX('Per Invoice'!$A$2:$A$201,MATCH($B83,'Per Invoice'!$B$2:$B$201,0))=0,"",INDEX('Per Invoice'!$A$2:$A$201,MATCH($B83,'Per Invoice'!$B$2:$B$201,0))),""))</f>
        <v/>
      </c>
      <c r="G83" s="7">
        <f>IF($B83="","",F83*L83/100)</f>
        <v/>
      </c>
      <c r="J83" s="7" t="n"/>
      <c r="L83" s="7" t="n"/>
      <c r="M83" s="7" t="n"/>
      <c r="P83" s="11" t="n"/>
      <c r="S83">
        <f>IF($B83="","",IF($Y83=1,Settings!$C$6,Settings!$C$7)*1)</f>
        <v/>
      </c>
      <c r="T83" s="7">
        <f>IF($B83="","",S83*L83)</f>
        <v/>
      </c>
      <c r="U83" s="7">
        <f>IF($B83="","",L83-T83)</f>
        <v/>
      </c>
      <c r="V83" s="7">
        <f>IF($B83="","",U83-G83)</f>
        <v/>
      </c>
      <c r="W83">
        <f>IF($B83="","",IF(COUNTIF($B$2:$B83,$B83)=1,1,0))</f>
        <v/>
      </c>
      <c r="X83">
        <f>IF($W83=1,SUMPRODUCT(--($Z$2:$Z$501&lt;$Z83))+1,"")</f>
        <v/>
      </c>
      <c r="Y83">
        <f>IF($B83="","",IF(OR($R83=TRUE(),$R83="TRUE"),1,0))</f>
        <v/>
      </c>
      <c r="Z83">
        <f>IF($W83=1,IFERROR(IF(VALUE($B83)&lt;100000000,VALUE($B83),1000000000),IFERROR(IF(VALUE(MID($B83,2,20))&lt;100000000,VALUE(MID($B83,2,20)),1000000000),1000000000))+ROW()/100000,"")</f>
        <v/>
      </c>
    </row>
    <row r="84">
      <c r="A84">
        <f>IF($B84="","",IFERROR(IF(INDEX('Per Invoice'!$A$2:$A$201,MATCH($B84,'Per Invoice'!$B$2:$B$201,0))=0,"",INDEX('Per Invoice'!$A$2:$A$201,MATCH($B84,'Per Invoice'!$B$2:$B$201,0))),""))</f>
        <v/>
      </c>
      <c r="G84" s="7">
        <f>IF($B84="","",F84*L84/100)</f>
        <v/>
      </c>
      <c r="J84" s="7" t="n"/>
      <c r="L84" s="7" t="n"/>
      <c r="M84" s="7" t="n"/>
      <c r="P84" s="11" t="n"/>
      <c r="S84">
        <f>IF($B84="","",IF($Y84=1,Settings!$C$6,Settings!$C$7)*1)</f>
        <v/>
      </c>
      <c r="T84" s="7">
        <f>IF($B84="","",S84*L84)</f>
        <v/>
      </c>
      <c r="U84" s="7">
        <f>IF($B84="","",L84-T84)</f>
        <v/>
      </c>
      <c r="V84" s="7">
        <f>IF($B84="","",U84-G84)</f>
        <v/>
      </c>
      <c r="W84">
        <f>IF($B84="","",IF(COUNTIF($B$2:$B84,$B84)=1,1,0))</f>
        <v/>
      </c>
      <c r="X84">
        <f>IF($W84=1,SUMPRODUCT(--($Z$2:$Z$501&lt;$Z84))+1,"")</f>
        <v/>
      </c>
      <c r="Y84">
        <f>IF($B84="","",IF(OR($R84=TRUE(),$R84="TRUE"),1,0))</f>
        <v/>
      </c>
      <c r="Z84">
        <f>IF($W84=1,IFERROR(IF(VALUE($B84)&lt;100000000,VALUE($B84),1000000000),IFERROR(IF(VALUE(MID($B84,2,20))&lt;100000000,VALUE(MID($B84,2,20)),1000000000),1000000000))+ROW()/100000,"")</f>
        <v/>
      </c>
    </row>
    <row r="85">
      <c r="A85">
        <f>IF($B85="","",IFERROR(IF(INDEX('Per Invoice'!$A$2:$A$201,MATCH($B85,'Per Invoice'!$B$2:$B$201,0))=0,"",INDEX('Per Invoice'!$A$2:$A$201,MATCH($B85,'Per Invoice'!$B$2:$B$201,0))),""))</f>
        <v/>
      </c>
      <c r="G85" s="7">
        <f>IF($B85="","",F85*L85/100)</f>
        <v/>
      </c>
      <c r="J85" s="7" t="n"/>
      <c r="L85" s="7" t="n"/>
      <c r="M85" s="7" t="n"/>
      <c r="P85" s="11" t="n"/>
      <c r="S85">
        <f>IF($B85="","",IF($Y85=1,Settings!$C$6,Settings!$C$7)*1)</f>
        <v/>
      </c>
      <c r="T85" s="7">
        <f>IF($B85="","",S85*L85)</f>
        <v/>
      </c>
      <c r="U85" s="7">
        <f>IF($B85="","",L85-T85)</f>
        <v/>
      </c>
      <c r="V85" s="7">
        <f>IF($B85="","",U85-G85)</f>
        <v/>
      </c>
      <c r="W85">
        <f>IF($B85="","",IF(COUNTIF($B$2:$B85,$B85)=1,1,0))</f>
        <v/>
      </c>
      <c r="X85">
        <f>IF($W85=1,SUMPRODUCT(--($Z$2:$Z$501&lt;$Z85))+1,"")</f>
        <v/>
      </c>
      <c r="Y85">
        <f>IF($B85="","",IF(OR($R85=TRUE(),$R85="TRUE"),1,0))</f>
        <v/>
      </c>
      <c r="Z85">
        <f>IF($W85=1,IFERROR(IF(VALUE($B85)&lt;100000000,VALUE($B85),1000000000),IFERROR(IF(VALUE(MID($B85,2,20))&lt;100000000,VALUE(MID($B85,2,20)),1000000000),1000000000))+ROW()/100000,"")</f>
        <v/>
      </c>
    </row>
    <row r="86">
      <c r="A86">
        <f>IF($B86="","",IFERROR(IF(INDEX('Per Invoice'!$A$2:$A$201,MATCH($B86,'Per Invoice'!$B$2:$B$201,0))=0,"",INDEX('Per Invoice'!$A$2:$A$201,MATCH($B86,'Per Invoice'!$B$2:$B$201,0))),""))</f>
        <v/>
      </c>
      <c r="G86" s="7">
        <f>IF($B86="","",F86*L86/100)</f>
        <v/>
      </c>
      <c r="J86" s="7" t="n"/>
      <c r="L86" s="7" t="n"/>
      <c r="M86" s="7" t="n"/>
      <c r="P86" s="11" t="n"/>
      <c r="S86">
        <f>IF($B86="","",IF($Y86=1,Settings!$C$6,Settings!$C$7)*1)</f>
        <v/>
      </c>
      <c r="T86" s="7">
        <f>IF($B86="","",S86*L86)</f>
        <v/>
      </c>
      <c r="U86" s="7">
        <f>IF($B86="","",L86-T86)</f>
        <v/>
      </c>
      <c r="V86" s="7">
        <f>IF($B86="","",U86-G86)</f>
        <v/>
      </c>
      <c r="W86">
        <f>IF($B86="","",IF(COUNTIF($B$2:$B86,$B86)=1,1,0))</f>
        <v/>
      </c>
      <c r="X86">
        <f>IF($W86=1,SUMPRODUCT(--($Z$2:$Z$501&lt;$Z86))+1,"")</f>
        <v/>
      </c>
      <c r="Y86">
        <f>IF($B86="","",IF(OR($R86=TRUE(),$R86="TRUE"),1,0))</f>
        <v/>
      </c>
      <c r="Z86">
        <f>IF($W86=1,IFERROR(IF(VALUE($B86)&lt;100000000,VALUE($B86),1000000000),IFERROR(IF(VALUE(MID($B86,2,20))&lt;100000000,VALUE(MID($B86,2,20)),1000000000),1000000000))+ROW()/100000,"")</f>
        <v/>
      </c>
    </row>
    <row r="87">
      <c r="A87">
        <f>IF($B87="","",IFERROR(IF(INDEX('Per Invoice'!$A$2:$A$201,MATCH($B87,'Per Invoice'!$B$2:$B$201,0))=0,"",INDEX('Per Invoice'!$A$2:$A$201,MATCH($B87,'Per Invoice'!$B$2:$B$201,0))),""))</f>
        <v/>
      </c>
      <c r="G87" s="7">
        <f>IF($B87="","",F87*L87/100)</f>
        <v/>
      </c>
      <c r="J87" s="7" t="n"/>
      <c r="L87" s="7" t="n"/>
      <c r="M87" s="7" t="n"/>
      <c r="P87" s="11" t="n"/>
      <c r="S87">
        <f>IF($B87="","",IF($Y87=1,Settings!$C$6,Settings!$C$7)*1)</f>
        <v/>
      </c>
      <c r="T87" s="7">
        <f>IF($B87="","",S87*L87)</f>
        <v/>
      </c>
      <c r="U87" s="7">
        <f>IF($B87="","",L87-T87)</f>
        <v/>
      </c>
      <c r="V87" s="7">
        <f>IF($B87="","",U87-G87)</f>
        <v/>
      </c>
      <c r="W87">
        <f>IF($B87="","",IF(COUNTIF($B$2:$B87,$B87)=1,1,0))</f>
        <v/>
      </c>
      <c r="X87">
        <f>IF($W87=1,SUMPRODUCT(--($Z$2:$Z$501&lt;$Z87))+1,"")</f>
        <v/>
      </c>
      <c r="Y87">
        <f>IF($B87="","",IF(OR($R87=TRUE(),$R87="TRUE"),1,0))</f>
        <v/>
      </c>
      <c r="Z87">
        <f>IF($W87=1,IFERROR(IF(VALUE($B87)&lt;100000000,VALUE($B87),1000000000),IFERROR(IF(VALUE(MID($B87,2,20))&lt;100000000,VALUE(MID($B87,2,20)),1000000000),1000000000))+ROW()/100000,"")</f>
        <v/>
      </c>
    </row>
    <row r="88">
      <c r="A88">
        <f>IF($B88="","",IFERROR(IF(INDEX('Per Invoice'!$A$2:$A$201,MATCH($B88,'Per Invoice'!$B$2:$B$201,0))=0,"",INDEX('Per Invoice'!$A$2:$A$201,MATCH($B88,'Per Invoice'!$B$2:$B$201,0))),""))</f>
        <v/>
      </c>
      <c r="G88" s="7">
        <f>IF($B88="","",F88*L88/100)</f>
        <v/>
      </c>
      <c r="J88" s="7" t="n"/>
      <c r="L88" s="7" t="n"/>
      <c r="M88" s="7" t="n"/>
      <c r="P88" s="11" t="n"/>
      <c r="S88">
        <f>IF($B88="","",IF($Y88=1,Settings!$C$6,Settings!$C$7)*1)</f>
        <v/>
      </c>
      <c r="T88" s="7">
        <f>IF($B88="","",S88*L88)</f>
        <v/>
      </c>
      <c r="U88" s="7">
        <f>IF($B88="","",L88-T88)</f>
        <v/>
      </c>
      <c r="V88" s="7">
        <f>IF($B88="","",U88-G88)</f>
        <v/>
      </c>
      <c r="W88">
        <f>IF($B88="","",IF(COUNTIF($B$2:$B88,$B88)=1,1,0))</f>
        <v/>
      </c>
      <c r="X88">
        <f>IF($W88=1,SUMPRODUCT(--($Z$2:$Z$501&lt;$Z88))+1,"")</f>
        <v/>
      </c>
      <c r="Y88">
        <f>IF($B88="","",IF(OR($R88=TRUE(),$R88="TRUE"),1,0))</f>
        <v/>
      </c>
      <c r="Z88">
        <f>IF($W88=1,IFERROR(IF(VALUE($B88)&lt;100000000,VALUE($B88),1000000000),IFERROR(IF(VALUE(MID($B88,2,20))&lt;100000000,VALUE(MID($B88,2,20)),1000000000),1000000000))+ROW()/100000,"")</f>
        <v/>
      </c>
    </row>
    <row r="89">
      <c r="A89">
        <f>IF($B89="","",IFERROR(IF(INDEX('Per Invoice'!$A$2:$A$201,MATCH($B89,'Per Invoice'!$B$2:$B$201,0))=0,"",INDEX('Per Invoice'!$A$2:$A$201,MATCH($B89,'Per Invoice'!$B$2:$B$201,0))),""))</f>
        <v/>
      </c>
      <c r="G89" s="7">
        <f>IF($B89="","",F89*L89/100)</f>
        <v/>
      </c>
      <c r="J89" s="7" t="n"/>
      <c r="L89" s="7" t="n"/>
      <c r="M89" s="7" t="n"/>
      <c r="P89" s="11" t="n"/>
      <c r="S89">
        <f>IF($B89="","",IF($Y89=1,Settings!$C$6,Settings!$C$7)*1)</f>
        <v/>
      </c>
      <c r="T89" s="7">
        <f>IF($B89="","",S89*L89)</f>
        <v/>
      </c>
      <c r="U89" s="7">
        <f>IF($B89="","",L89-T89)</f>
        <v/>
      </c>
      <c r="V89" s="7">
        <f>IF($B89="","",U89-G89)</f>
        <v/>
      </c>
      <c r="W89">
        <f>IF($B89="","",IF(COUNTIF($B$2:$B89,$B89)=1,1,0))</f>
        <v/>
      </c>
      <c r="X89">
        <f>IF($W89=1,SUMPRODUCT(--($Z$2:$Z$501&lt;$Z89))+1,"")</f>
        <v/>
      </c>
      <c r="Y89">
        <f>IF($B89="","",IF(OR($R89=TRUE(),$R89="TRUE"),1,0))</f>
        <v/>
      </c>
      <c r="Z89">
        <f>IF($W89=1,IFERROR(IF(VALUE($B89)&lt;100000000,VALUE($B89),1000000000),IFERROR(IF(VALUE(MID($B89,2,20))&lt;100000000,VALUE(MID($B89,2,20)),1000000000),1000000000))+ROW()/100000,"")</f>
        <v/>
      </c>
    </row>
    <row r="90">
      <c r="A90">
        <f>IF($B90="","",IFERROR(IF(INDEX('Per Invoice'!$A$2:$A$201,MATCH($B90,'Per Invoice'!$B$2:$B$201,0))=0,"",INDEX('Per Invoice'!$A$2:$A$201,MATCH($B90,'Per Invoice'!$B$2:$B$201,0))),""))</f>
        <v/>
      </c>
      <c r="G90" s="7">
        <f>IF($B90="","",F90*L90/100)</f>
        <v/>
      </c>
      <c r="J90" s="7" t="n"/>
      <c r="L90" s="7" t="n"/>
      <c r="M90" s="7" t="n"/>
      <c r="P90" s="11" t="n"/>
      <c r="S90">
        <f>IF($B90="","",IF($Y90=1,Settings!$C$6,Settings!$C$7)*1)</f>
        <v/>
      </c>
      <c r="T90" s="7">
        <f>IF($B90="","",S90*L90)</f>
        <v/>
      </c>
      <c r="U90" s="7">
        <f>IF($B90="","",L90-T90)</f>
        <v/>
      </c>
      <c r="V90" s="7">
        <f>IF($B90="","",U90-G90)</f>
        <v/>
      </c>
      <c r="W90">
        <f>IF($B90="","",IF(COUNTIF($B$2:$B90,$B90)=1,1,0))</f>
        <v/>
      </c>
      <c r="X90">
        <f>IF($W90=1,SUMPRODUCT(--($Z$2:$Z$501&lt;$Z90))+1,"")</f>
        <v/>
      </c>
      <c r="Y90">
        <f>IF($B90="","",IF(OR($R90=TRUE(),$R90="TRUE"),1,0))</f>
        <v/>
      </c>
      <c r="Z90">
        <f>IF($W90=1,IFERROR(IF(VALUE($B90)&lt;100000000,VALUE($B90),1000000000),IFERROR(IF(VALUE(MID($B90,2,20))&lt;100000000,VALUE(MID($B90,2,20)),1000000000),1000000000))+ROW()/100000,"")</f>
        <v/>
      </c>
    </row>
    <row r="91">
      <c r="A91">
        <f>IF($B91="","",IFERROR(IF(INDEX('Per Invoice'!$A$2:$A$201,MATCH($B91,'Per Invoice'!$B$2:$B$201,0))=0,"",INDEX('Per Invoice'!$A$2:$A$201,MATCH($B91,'Per Invoice'!$B$2:$B$201,0))),""))</f>
        <v/>
      </c>
      <c r="G91" s="7">
        <f>IF($B91="","",F91*L91/100)</f>
        <v/>
      </c>
      <c r="J91" s="7" t="n"/>
      <c r="L91" s="7" t="n"/>
      <c r="M91" s="7" t="n"/>
      <c r="P91" s="11" t="n"/>
      <c r="S91">
        <f>IF($B91="","",IF($Y91=1,Settings!$C$6,Settings!$C$7)*1)</f>
        <v/>
      </c>
      <c r="T91" s="7">
        <f>IF($B91="","",S91*L91)</f>
        <v/>
      </c>
      <c r="U91" s="7">
        <f>IF($B91="","",L91-T91)</f>
        <v/>
      </c>
      <c r="V91" s="7">
        <f>IF($B91="","",U91-G91)</f>
        <v/>
      </c>
      <c r="W91">
        <f>IF($B91="","",IF(COUNTIF($B$2:$B91,$B91)=1,1,0))</f>
        <v/>
      </c>
      <c r="X91">
        <f>IF($W91=1,SUMPRODUCT(--($Z$2:$Z$501&lt;$Z91))+1,"")</f>
        <v/>
      </c>
      <c r="Y91">
        <f>IF($B91="","",IF(OR($R91=TRUE(),$R91="TRUE"),1,0))</f>
        <v/>
      </c>
      <c r="Z91">
        <f>IF($W91=1,IFERROR(IF(VALUE($B91)&lt;100000000,VALUE($B91),1000000000),IFERROR(IF(VALUE(MID($B91,2,20))&lt;100000000,VALUE(MID($B91,2,20)),1000000000),1000000000))+ROW()/100000,"")</f>
        <v/>
      </c>
    </row>
    <row r="92">
      <c r="A92">
        <f>IF($B92="","",IFERROR(IF(INDEX('Per Invoice'!$A$2:$A$201,MATCH($B92,'Per Invoice'!$B$2:$B$201,0))=0,"",INDEX('Per Invoice'!$A$2:$A$201,MATCH($B92,'Per Invoice'!$B$2:$B$201,0))),""))</f>
        <v/>
      </c>
      <c r="G92" s="7">
        <f>IF($B92="","",F92*L92/100)</f>
        <v/>
      </c>
      <c r="J92" s="7" t="n"/>
      <c r="L92" s="7" t="n"/>
      <c r="M92" s="7" t="n"/>
      <c r="P92" s="11" t="n"/>
      <c r="S92">
        <f>IF($B92="","",IF($Y92=1,Settings!$C$6,Settings!$C$7)*1)</f>
        <v/>
      </c>
      <c r="T92" s="7">
        <f>IF($B92="","",S92*L92)</f>
        <v/>
      </c>
      <c r="U92" s="7">
        <f>IF($B92="","",L92-T92)</f>
        <v/>
      </c>
      <c r="V92" s="7">
        <f>IF($B92="","",U92-G92)</f>
        <v/>
      </c>
      <c r="W92">
        <f>IF($B92="","",IF(COUNTIF($B$2:$B92,$B92)=1,1,0))</f>
        <v/>
      </c>
      <c r="X92">
        <f>IF($W92=1,SUMPRODUCT(--($Z$2:$Z$501&lt;$Z92))+1,"")</f>
        <v/>
      </c>
      <c r="Y92">
        <f>IF($B92="","",IF(OR($R92=TRUE(),$R92="TRUE"),1,0))</f>
        <v/>
      </c>
      <c r="Z92">
        <f>IF($W92=1,IFERROR(IF(VALUE($B92)&lt;100000000,VALUE($B92),1000000000),IFERROR(IF(VALUE(MID($B92,2,20))&lt;100000000,VALUE(MID($B92,2,20)),1000000000),1000000000))+ROW()/100000,"")</f>
        <v/>
      </c>
    </row>
    <row r="93">
      <c r="A93">
        <f>IF($B93="","",IFERROR(IF(INDEX('Per Invoice'!$A$2:$A$201,MATCH($B93,'Per Invoice'!$B$2:$B$201,0))=0,"",INDEX('Per Invoice'!$A$2:$A$201,MATCH($B93,'Per Invoice'!$B$2:$B$201,0))),""))</f>
        <v/>
      </c>
      <c r="G93" s="7">
        <f>IF($B93="","",F93*L93/100)</f>
        <v/>
      </c>
      <c r="J93" s="7" t="n"/>
      <c r="L93" s="7" t="n"/>
      <c r="M93" s="7" t="n"/>
      <c r="P93" s="11" t="n"/>
      <c r="S93">
        <f>IF($B93="","",IF($Y93=1,Settings!$C$6,Settings!$C$7)*1)</f>
        <v/>
      </c>
      <c r="T93" s="7">
        <f>IF($B93="","",S93*L93)</f>
        <v/>
      </c>
      <c r="U93" s="7">
        <f>IF($B93="","",L93-T93)</f>
        <v/>
      </c>
      <c r="V93" s="7">
        <f>IF($B93="","",U93-G93)</f>
        <v/>
      </c>
      <c r="W93">
        <f>IF($B93="","",IF(COUNTIF($B$2:$B93,$B93)=1,1,0))</f>
        <v/>
      </c>
      <c r="X93">
        <f>IF($W93=1,SUMPRODUCT(--($Z$2:$Z$501&lt;$Z93))+1,"")</f>
        <v/>
      </c>
      <c r="Y93">
        <f>IF($B93="","",IF(OR($R93=TRUE(),$R93="TRUE"),1,0))</f>
        <v/>
      </c>
      <c r="Z93">
        <f>IF($W93=1,IFERROR(IF(VALUE($B93)&lt;100000000,VALUE($B93),1000000000),IFERROR(IF(VALUE(MID($B93,2,20))&lt;100000000,VALUE(MID($B93,2,20)),1000000000),1000000000))+ROW()/100000,"")</f>
        <v/>
      </c>
    </row>
    <row r="94">
      <c r="A94">
        <f>IF($B94="","",IFERROR(IF(INDEX('Per Invoice'!$A$2:$A$201,MATCH($B94,'Per Invoice'!$B$2:$B$201,0))=0,"",INDEX('Per Invoice'!$A$2:$A$201,MATCH($B94,'Per Invoice'!$B$2:$B$201,0))),""))</f>
        <v/>
      </c>
      <c r="G94" s="7">
        <f>IF($B94="","",F94*L94/100)</f>
        <v/>
      </c>
      <c r="J94" s="7" t="n"/>
      <c r="L94" s="7" t="n"/>
      <c r="M94" s="7" t="n"/>
      <c r="P94" s="11" t="n"/>
      <c r="S94">
        <f>IF($B94="","",IF($Y94=1,Settings!$C$6,Settings!$C$7)*1)</f>
        <v/>
      </c>
      <c r="T94" s="7">
        <f>IF($B94="","",S94*L94)</f>
        <v/>
      </c>
      <c r="U94" s="7">
        <f>IF($B94="","",L94-T94)</f>
        <v/>
      </c>
      <c r="V94" s="7">
        <f>IF($B94="","",U94-G94)</f>
        <v/>
      </c>
      <c r="W94">
        <f>IF($B94="","",IF(COUNTIF($B$2:$B94,$B94)=1,1,0))</f>
        <v/>
      </c>
      <c r="X94">
        <f>IF($W94=1,SUMPRODUCT(--($Z$2:$Z$501&lt;$Z94))+1,"")</f>
        <v/>
      </c>
      <c r="Y94">
        <f>IF($B94="","",IF(OR($R94=TRUE(),$R94="TRUE"),1,0))</f>
        <v/>
      </c>
      <c r="Z94">
        <f>IF($W94=1,IFERROR(IF(VALUE($B94)&lt;100000000,VALUE($B94),1000000000),IFERROR(IF(VALUE(MID($B94,2,20))&lt;100000000,VALUE(MID($B94,2,20)),1000000000),1000000000))+ROW()/100000,"")</f>
        <v/>
      </c>
    </row>
    <row r="95">
      <c r="A95">
        <f>IF($B95="","",IFERROR(IF(INDEX('Per Invoice'!$A$2:$A$201,MATCH($B95,'Per Invoice'!$B$2:$B$201,0))=0,"",INDEX('Per Invoice'!$A$2:$A$201,MATCH($B95,'Per Invoice'!$B$2:$B$201,0))),""))</f>
        <v/>
      </c>
      <c r="G95" s="7">
        <f>IF($B95="","",F95*L95/100)</f>
        <v/>
      </c>
      <c r="J95" s="7" t="n"/>
      <c r="L95" s="7" t="n"/>
      <c r="M95" s="7" t="n"/>
      <c r="P95" s="11" t="n"/>
      <c r="S95">
        <f>IF($B95="","",IF($Y95=1,Settings!$C$6,Settings!$C$7)*1)</f>
        <v/>
      </c>
      <c r="T95" s="7">
        <f>IF($B95="","",S95*L95)</f>
        <v/>
      </c>
      <c r="U95" s="7">
        <f>IF($B95="","",L95-T95)</f>
        <v/>
      </c>
      <c r="V95" s="7">
        <f>IF($B95="","",U95-G95)</f>
        <v/>
      </c>
      <c r="W95">
        <f>IF($B95="","",IF(COUNTIF($B$2:$B95,$B95)=1,1,0))</f>
        <v/>
      </c>
      <c r="X95">
        <f>IF($W95=1,SUMPRODUCT(--($Z$2:$Z$501&lt;$Z95))+1,"")</f>
        <v/>
      </c>
      <c r="Y95">
        <f>IF($B95="","",IF(OR($R95=TRUE(),$R95="TRUE"),1,0))</f>
        <v/>
      </c>
      <c r="Z95">
        <f>IF($W95=1,IFERROR(IF(VALUE($B95)&lt;100000000,VALUE($B95),1000000000),IFERROR(IF(VALUE(MID($B95,2,20))&lt;100000000,VALUE(MID($B95,2,20)),1000000000),1000000000))+ROW()/100000,"")</f>
        <v/>
      </c>
    </row>
    <row r="96">
      <c r="A96">
        <f>IF($B96="","",IFERROR(IF(INDEX('Per Invoice'!$A$2:$A$201,MATCH($B96,'Per Invoice'!$B$2:$B$201,0))=0,"",INDEX('Per Invoice'!$A$2:$A$201,MATCH($B96,'Per Invoice'!$B$2:$B$201,0))),""))</f>
        <v/>
      </c>
      <c r="G96" s="7">
        <f>IF($B96="","",F96*L96/100)</f>
        <v/>
      </c>
      <c r="J96" s="7" t="n"/>
      <c r="L96" s="7" t="n"/>
      <c r="M96" s="7" t="n"/>
      <c r="P96" s="11" t="n"/>
      <c r="S96">
        <f>IF($B96="","",IF($Y96=1,Settings!$C$6,Settings!$C$7)*1)</f>
        <v/>
      </c>
      <c r="T96" s="7">
        <f>IF($B96="","",S96*L96)</f>
        <v/>
      </c>
      <c r="U96" s="7">
        <f>IF($B96="","",L96-T96)</f>
        <v/>
      </c>
      <c r="V96" s="7">
        <f>IF($B96="","",U96-G96)</f>
        <v/>
      </c>
      <c r="W96">
        <f>IF($B96="","",IF(COUNTIF($B$2:$B96,$B96)=1,1,0))</f>
        <v/>
      </c>
      <c r="X96">
        <f>IF($W96=1,SUMPRODUCT(--($Z$2:$Z$501&lt;$Z96))+1,"")</f>
        <v/>
      </c>
      <c r="Y96">
        <f>IF($B96="","",IF(OR($R96=TRUE(),$R96="TRUE"),1,0))</f>
        <v/>
      </c>
      <c r="Z96">
        <f>IF($W96=1,IFERROR(IF(VALUE($B96)&lt;100000000,VALUE($B96),1000000000),IFERROR(IF(VALUE(MID($B96,2,20))&lt;100000000,VALUE(MID($B96,2,20)),1000000000),1000000000))+ROW()/100000,"")</f>
        <v/>
      </c>
    </row>
    <row r="97">
      <c r="A97">
        <f>IF($B97="","",IFERROR(IF(INDEX('Per Invoice'!$A$2:$A$201,MATCH($B97,'Per Invoice'!$B$2:$B$201,0))=0,"",INDEX('Per Invoice'!$A$2:$A$201,MATCH($B97,'Per Invoice'!$B$2:$B$201,0))),""))</f>
        <v/>
      </c>
      <c r="G97" s="7">
        <f>IF($B97="","",F97*L97/100)</f>
        <v/>
      </c>
      <c r="J97" s="7" t="n"/>
      <c r="L97" s="7" t="n"/>
      <c r="M97" s="7" t="n"/>
      <c r="P97" s="11" t="n"/>
      <c r="S97">
        <f>IF($B97="","",IF($Y97=1,Settings!$C$6,Settings!$C$7)*1)</f>
        <v/>
      </c>
      <c r="T97" s="7">
        <f>IF($B97="","",S97*L97)</f>
        <v/>
      </c>
      <c r="U97" s="7">
        <f>IF($B97="","",L97-T97)</f>
        <v/>
      </c>
      <c r="V97" s="7">
        <f>IF($B97="","",U97-G97)</f>
        <v/>
      </c>
      <c r="W97">
        <f>IF($B97="","",IF(COUNTIF($B$2:$B97,$B97)=1,1,0))</f>
        <v/>
      </c>
      <c r="X97">
        <f>IF($W97=1,SUMPRODUCT(--($Z$2:$Z$501&lt;$Z97))+1,"")</f>
        <v/>
      </c>
      <c r="Y97">
        <f>IF($B97="","",IF(OR($R97=TRUE(),$R97="TRUE"),1,0))</f>
        <v/>
      </c>
      <c r="Z97">
        <f>IF($W97=1,IFERROR(IF(VALUE($B97)&lt;100000000,VALUE($B97),1000000000),IFERROR(IF(VALUE(MID($B97,2,20))&lt;100000000,VALUE(MID($B97,2,20)),1000000000),1000000000))+ROW()/100000,"")</f>
        <v/>
      </c>
    </row>
    <row r="98">
      <c r="A98">
        <f>IF($B98="","",IFERROR(IF(INDEX('Per Invoice'!$A$2:$A$201,MATCH($B98,'Per Invoice'!$B$2:$B$201,0))=0,"",INDEX('Per Invoice'!$A$2:$A$201,MATCH($B98,'Per Invoice'!$B$2:$B$201,0))),""))</f>
        <v/>
      </c>
      <c r="G98" s="7">
        <f>IF($B98="","",F98*L98/100)</f>
        <v/>
      </c>
      <c r="J98" s="7" t="n"/>
      <c r="L98" s="7" t="n"/>
      <c r="M98" s="7" t="n"/>
      <c r="P98" s="11" t="n"/>
      <c r="S98">
        <f>IF($B98="","",IF($Y98=1,Settings!$C$6,Settings!$C$7)*1)</f>
        <v/>
      </c>
      <c r="T98" s="7">
        <f>IF($B98="","",S98*L98)</f>
        <v/>
      </c>
      <c r="U98" s="7">
        <f>IF($B98="","",L98-T98)</f>
        <v/>
      </c>
      <c r="V98" s="7">
        <f>IF($B98="","",U98-G98)</f>
        <v/>
      </c>
      <c r="W98">
        <f>IF($B98="","",IF(COUNTIF($B$2:$B98,$B98)=1,1,0))</f>
        <v/>
      </c>
      <c r="X98">
        <f>IF($W98=1,SUMPRODUCT(--($Z$2:$Z$501&lt;$Z98))+1,"")</f>
        <v/>
      </c>
      <c r="Y98">
        <f>IF($B98="","",IF(OR($R98=TRUE(),$R98="TRUE"),1,0))</f>
        <v/>
      </c>
      <c r="Z98">
        <f>IF($W98=1,IFERROR(IF(VALUE($B98)&lt;100000000,VALUE($B98),1000000000),IFERROR(IF(VALUE(MID($B98,2,20))&lt;100000000,VALUE(MID($B98,2,20)),1000000000),1000000000))+ROW()/100000,"")</f>
        <v/>
      </c>
    </row>
    <row r="99">
      <c r="A99">
        <f>IF($B99="","",IFERROR(IF(INDEX('Per Invoice'!$A$2:$A$201,MATCH($B99,'Per Invoice'!$B$2:$B$201,0))=0,"",INDEX('Per Invoice'!$A$2:$A$201,MATCH($B99,'Per Invoice'!$B$2:$B$201,0))),""))</f>
        <v/>
      </c>
      <c r="G99" s="7">
        <f>IF($B99="","",F99*L99/100)</f>
        <v/>
      </c>
      <c r="J99" s="7" t="n"/>
      <c r="L99" s="7" t="n"/>
      <c r="M99" s="7" t="n"/>
      <c r="P99" s="11" t="n"/>
      <c r="S99">
        <f>IF($B99="","",IF($Y99=1,Settings!$C$6,Settings!$C$7)*1)</f>
        <v/>
      </c>
      <c r="T99" s="7">
        <f>IF($B99="","",S99*L99)</f>
        <v/>
      </c>
      <c r="U99" s="7">
        <f>IF($B99="","",L99-T99)</f>
        <v/>
      </c>
      <c r="V99" s="7">
        <f>IF($B99="","",U99-G99)</f>
        <v/>
      </c>
      <c r="W99">
        <f>IF($B99="","",IF(COUNTIF($B$2:$B99,$B99)=1,1,0))</f>
        <v/>
      </c>
      <c r="X99">
        <f>IF($W99=1,SUMPRODUCT(--($Z$2:$Z$501&lt;$Z99))+1,"")</f>
        <v/>
      </c>
      <c r="Y99">
        <f>IF($B99="","",IF(OR($R99=TRUE(),$R99="TRUE"),1,0))</f>
        <v/>
      </c>
      <c r="Z99">
        <f>IF($W99=1,IFERROR(IF(VALUE($B99)&lt;100000000,VALUE($B99),1000000000),IFERROR(IF(VALUE(MID($B99,2,20))&lt;100000000,VALUE(MID($B99,2,20)),1000000000),1000000000))+ROW()/100000,"")</f>
        <v/>
      </c>
    </row>
    <row r="100">
      <c r="A100">
        <f>IF($B100="","",IFERROR(IF(INDEX('Per Invoice'!$A$2:$A$201,MATCH($B100,'Per Invoice'!$B$2:$B$201,0))=0,"",INDEX('Per Invoice'!$A$2:$A$201,MATCH($B100,'Per Invoice'!$B$2:$B$201,0))),""))</f>
        <v/>
      </c>
      <c r="G100" s="7">
        <f>IF($B100="","",F100*L100/100)</f>
        <v/>
      </c>
      <c r="J100" s="7" t="n"/>
      <c r="L100" s="7" t="n"/>
      <c r="M100" s="7" t="n"/>
      <c r="P100" s="11" t="n"/>
      <c r="S100">
        <f>IF($B100="","",IF($Y100=1,Settings!$C$6,Settings!$C$7)*1)</f>
        <v/>
      </c>
      <c r="T100" s="7">
        <f>IF($B100="","",S100*L100)</f>
        <v/>
      </c>
      <c r="U100" s="7">
        <f>IF($B100="","",L100-T100)</f>
        <v/>
      </c>
      <c r="V100" s="7">
        <f>IF($B100="","",U100-G100)</f>
        <v/>
      </c>
      <c r="W100">
        <f>IF($B100="","",IF(COUNTIF($B$2:$B100,$B100)=1,1,0))</f>
        <v/>
      </c>
      <c r="X100">
        <f>IF($W100=1,SUMPRODUCT(--($Z$2:$Z$501&lt;$Z100))+1,"")</f>
        <v/>
      </c>
      <c r="Y100">
        <f>IF($B100="","",IF(OR($R100=TRUE(),$R100="TRUE"),1,0))</f>
        <v/>
      </c>
      <c r="Z100">
        <f>IF($W100=1,IFERROR(IF(VALUE($B100)&lt;100000000,VALUE($B100),1000000000),IFERROR(IF(VALUE(MID($B100,2,20))&lt;100000000,VALUE(MID($B100,2,20)),1000000000),1000000000))+ROW()/100000,"")</f>
        <v/>
      </c>
    </row>
    <row r="101">
      <c r="A101">
        <f>IF($B101="","",IFERROR(IF(INDEX('Per Invoice'!$A$2:$A$201,MATCH($B101,'Per Invoice'!$B$2:$B$201,0))=0,"",INDEX('Per Invoice'!$A$2:$A$201,MATCH($B101,'Per Invoice'!$B$2:$B$201,0))),""))</f>
        <v/>
      </c>
      <c r="G101" s="7">
        <f>IF($B101="","",F101*L101/100)</f>
        <v/>
      </c>
      <c r="J101" s="7" t="n"/>
      <c r="L101" s="7" t="n"/>
      <c r="M101" s="7" t="n"/>
      <c r="P101" s="11" t="n"/>
      <c r="S101">
        <f>IF($B101="","",IF($Y101=1,Settings!$C$6,Settings!$C$7)*1)</f>
        <v/>
      </c>
      <c r="T101" s="7">
        <f>IF($B101="","",S101*L101)</f>
        <v/>
      </c>
      <c r="U101" s="7">
        <f>IF($B101="","",L101-T101)</f>
        <v/>
      </c>
      <c r="V101" s="7">
        <f>IF($B101="","",U101-G101)</f>
        <v/>
      </c>
      <c r="W101">
        <f>IF($B101="","",IF(COUNTIF($B$2:$B101,$B101)=1,1,0))</f>
        <v/>
      </c>
      <c r="X101">
        <f>IF($W101=1,SUMPRODUCT(--($Z$2:$Z$501&lt;$Z101))+1,"")</f>
        <v/>
      </c>
      <c r="Y101">
        <f>IF($B101="","",IF(OR($R101=TRUE(),$R101="TRUE"),1,0))</f>
        <v/>
      </c>
      <c r="Z101">
        <f>IF($W101=1,IFERROR(IF(VALUE($B101)&lt;100000000,VALUE($B101),1000000000),IFERROR(IF(VALUE(MID($B101,2,20))&lt;100000000,VALUE(MID($B101,2,20)),1000000000),1000000000))+ROW()/100000,"")</f>
        <v/>
      </c>
    </row>
    <row r="102">
      <c r="A102">
        <f>IF($B102="","",IFERROR(IF(INDEX('Per Invoice'!$A$2:$A$201,MATCH($B102,'Per Invoice'!$B$2:$B$201,0))=0,"",INDEX('Per Invoice'!$A$2:$A$201,MATCH($B102,'Per Invoice'!$B$2:$B$201,0))),""))</f>
        <v/>
      </c>
      <c r="G102" s="7">
        <f>IF($B102="","",F102*L102/100)</f>
        <v/>
      </c>
      <c r="J102" s="7" t="n"/>
      <c r="L102" s="7" t="n"/>
      <c r="M102" s="7" t="n"/>
      <c r="P102" s="11" t="n"/>
      <c r="S102">
        <f>IF($B102="","",IF($Y102=1,Settings!$C$6,Settings!$C$7)*1)</f>
        <v/>
      </c>
      <c r="T102" s="7">
        <f>IF($B102="","",S102*L102)</f>
        <v/>
      </c>
      <c r="U102" s="7">
        <f>IF($B102="","",L102-T102)</f>
        <v/>
      </c>
      <c r="V102" s="7">
        <f>IF($B102="","",U102-G102)</f>
        <v/>
      </c>
      <c r="W102">
        <f>IF($B102="","",IF(COUNTIF($B$2:$B102,$B102)=1,1,0))</f>
        <v/>
      </c>
      <c r="X102">
        <f>IF($W102=1,SUMPRODUCT(--($Z$2:$Z$501&lt;$Z102))+1,"")</f>
        <v/>
      </c>
      <c r="Y102">
        <f>IF($B102="","",IF(OR($R102=TRUE(),$R102="TRUE"),1,0))</f>
        <v/>
      </c>
      <c r="Z102">
        <f>IF($W102=1,IFERROR(IF(VALUE($B102)&lt;100000000,VALUE($B102),1000000000),IFERROR(IF(VALUE(MID($B102,2,20))&lt;100000000,VALUE(MID($B102,2,20)),1000000000),1000000000))+ROW()/100000,"")</f>
        <v/>
      </c>
    </row>
    <row r="103">
      <c r="A103">
        <f>IF($B103="","",IFERROR(IF(INDEX('Per Invoice'!$A$2:$A$201,MATCH($B103,'Per Invoice'!$B$2:$B$201,0))=0,"",INDEX('Per Invoice'!$A$2:$A$201,MATCH($B103,'Per Invoice'!$B$2:$B$201,0))),""))</f>
        <v/>
      </c>
      <c r="G103" s="7">
        <f>IF($B103="","",F103*L103/100)</f>
        <v/>
      </c>
      <c r="J103" s="7" t="n"/>
      <c r="L103" s="7" t="n"/>
      <c r="M103" s="7" t="n"/>
      <c r="P103" s="11" t="n"/>
      <c r="S103">
        <f>IF($B103="","",IF($Y103=1,Settings!$C$6,Settings!$C$7)*1)</f>
        <v/>
      </c>
      <c r="T103" s="7">
        <f>IF($B103="","",S103*L103)</f>
        <v/>
      </c>
      <c r="U103" s="7">
        <f>IF($B103="","",L103-T103)</f>
        <v/>
      </c>
      <c r="V103" s="7">
        <f>IF($B103="","",U103-G103)</f>
        <v/>
      </c>
      <c r="W103">
        <f>IF($B103="","",IF(COUNTIF($B$2:$B103,$B103)=1,1,0))</f>
        <v/>
      </c>
      <c r="X103">
        <f>IF($W103=1,SUMPRODUCT(--($Z$2:$Z$501&lt;$Z103))+1,"")</f>
        <v/>
      </c>
      <c r="Y103">
        <f>IF($B103="","",IF(OR($R103=TRUE(),$R103="TRUE"),1,0))</f>
        <v/>
      </c>
      <c r="Z103">
        <f>IF($W103=1,IFERROR(IF(VALUE($B103)&lt;100000000,VALUE($B103),1000000000),IFERROR(IF(VALUE(MID($B103,2,20))&lt;100000000,VALUE(MID($B103,2,20)),1000000000),1000000000))+ROW()/100000,"")</f>
        <v/>
      </c>
    </row>
    <row r="104">
      <c r="A104">
        <f>IF($B104="","",IFERROR(IF(INDEX('Per Invoice'!$A$2:$A$201,MATCH($B104,'Per Invoice'!$B$2:$B$201,0))=0,"",INDEX('Per Invoice'!$A$2:$A$201,MATCH($B104,'Per Invoice'!$B$2:$B$201,0))),""))</f>
        <v/>
      </c>
      <c r="G104" s="7">
        <f>IF($B104="","",F104*L104/100)</f>
        <v/>
      </c>
      <c r="J104" s="7" t="n"/>
      <c r="L104" s="7" t="n"/>
      <c r="M104" s="7" t="n"/>
      <c r="P104" s="11" t="n"/>
      <c r="S104">
        <f>IF($B104="","",IF($Y104=1,Settings!$C$6,Settings!$C$7)*1)</f>
        <v/>
      </c>
      <c r="T104" s="7">
        <f>IF($B104="","",S104*L104)</f>
        <v/>
      </c>
      <c r="U104" s="7">
        <f>IF($B104="","",L104-T104)</f>
        <v/>
      </c>
      <c r="V104" s="7">
        <f>IF($B104="","",U104-G104)</f>
        <v/>
      </c>
      <c r="W104">
        <f>IF($B104="","",IF(COUNTIF($B$2:$B104,$B104)=1,1,0))</f>
        <v/>
      </c>
      <c r="X104">
        <f>IF($W104=1,SUMPRODUCT(--($Z$2:$Z$501&lt;$Z104))+1,"")</f>
        <v/>
      </c>
      <c r="Y104">
        <f>IF($B104="","",IF(OR($R104=TRUE(),$R104="TRUE"),1,0))</f>
        <v/>
      </c>
      <c r="Z104">
        <f>IF($W104=1,IFERROR(IF(VALUE($B104)&lt;100000000,VALUE($B104),1000000000),IFERROR(IF(VALUE(MID($B104,2,20))&lt;100000000,VALUE(MID($B104,2,20)),1000000000),1000000000))+ROW()/100000,"")</f>
        <v/>
      </c>
    </row>
    <row r="105">
      <c r="A105">
        <f>IF($B105="","",IFERROR(IF(INDEX('Per Invoice'!$A$2:$A$201,MATCH($B105,'Per Invoice'!$B$2:$B$201,0))=0,"",INDEX('Per Invoice'!$A$2:$A$201,MATCH($B105,'Per Invoice'!$B$2:$B$201,0))),""))</f>
        <v/>
      </c>
      <c r="G105" s="7">
        <f>IF($B105="","",F105*L105/100)</f>
        <v/>
      </c>
      <c r="J105" s="7" t="n"/>
      <c r="L105" s="7" t="n"/>
      <c r="M105" s="7" t="n"/>
      <c r="P105" s="11" t="n"/>
      <c r="S105">
        <f>IF($B105="","",IF($Y105=1,Settings!$C$6,Settings!$C$7)*1)</f>
        <v/>
      </c>
      <c r="T105" s="7">
        <f>IF($B105="","",S105*L105)</f>
        <v/>
      </c>
      <c r="U105" s="7">
        <f>IF($B105="","",L105-T105)</f>
        <v/>
      </c>
      <c r="V105" s="7">
        <f>IF($B105="","",U105-G105)</f>
        <v/>
      </c>
      <c r="W105">
        <f>IF($B105="","",IF(COUNTIF($B$2:$B105,$B105)=1,1,0))</f>
        <v/>
      </c>
      <c r="X105">
        <f>IF($W105=1,SUMPRODUCT(--($Z$2:$Z$501&lt;$Z105))+1,"")</f>
        <v/>
      </c>
      <c r="Y105">
        <f>IF($B105="","",IF(OR($R105=TRUE(),$R105="TRUE"),1,0))</f>
        <v/>
      </c>
      <c r="Z105">
        <f>IF($W105=1,IFERROR(IF(VALUE($B105)&lt;100000000,VALUE($B105),1000000000),IFERROR(IF(VALUE(MID($B105,2,20))&lt;100000000,VALUE(MID($B105,2,20)),1000000000),1000000000))+ROW()/100000,"")</f>
        <v/>
      </c>
    </row>
    <row r="106">
      <c r="A106">
        <f>IF($B106="","",IFERROR(IF(INDEX('Per Invoice'!$A$2:$A$201,MATCH($B106,'Per Invoice'!$B$2:$B$201,0))=0,"",INDEX('Per Invoice'!$A$2:$A$201,MATCH($B106,'Per Invoice'!$B$2:$B$201,0))),""))</f>
        <v/>
      </c>
      <c r="G106" s="7">
        <f>IF($B106="","",F106*L106/100)</f>
        <v/>
      </c>
      <c r="J106" s="7" t="n"/>
      <c r="L106" s="7" t="n"/>
      <c r="M106" s="7" t="n"/>
      <c r="P106" s="11" t="n"/>
      <c r="S106">
        <f>IF($B106="","",IF($Y106=1,Settings!$C$6,Settings!$C$7)*1)</f>
        <v/>
      </c>
      <c r="T106" s="7">
        <f>IF($B106="","",S106*L106)</f>
        <v/>
      </c>
      <c r="U106" s="7">
        <f>IF($B106="","",L106-T106)</f>
        <v/>
      </c>
      <c r="V106" s="7">
        <f>IF($B106="","",U106-G106)</f>
        <v/>
      </c>
      <c r="W106">
        <f>IF($B106="","",IF(COUNTIF($B$2:$B106,$B106)=1,1,0))</f>
        <v/>
      </c>
      <c r="X106">
        <f>IF($W106=1,SUMPRODUCT(--($Z$2:$Z$501&lt;$Z106))+1,"")</f>
        <v/>
      </c>
      <c r="Y106">
        <f>IF($B106="","",IF(OR($R106=TRUE(),$R106="TRUE"),1,0))</f>
        <v/>
      </c>
      <c r="Z106">
        <f>IF($W106=1,IFERROR(IF(VALUE($B106)&lt;100000000,VALUE($B106),1000000000),IFERROR(IF(VALUE(MID($B106,2,20))&lt;100000000,VALUE(MID($B106,2,20)),1000000000),1000000000))+ROW()/100000,"")</f>
        <v/>
      </c>
    </row>
    <row r="107">
      <c r="A107">
        <f>IF($B107="","",IFERROR(IF(INDEX('Per Invoice'!$A$2:$A$201,MATCH($B107,'Per Invoice'!$B$2:$B$201,0))=0,"",INDEX('Per Invoice'!$A$2:$A$201,MATCH($B107,'Per Invoice'!$B$2:$B$201,0))),""))</f>
        <v/>
      </c>
      <c r="G107" s="7">
        <f>IF($B107="","",F107*L107/100)</f>
        <v/>
      </c>
      <c r="J107" s="7" t="n"/>
      <c r="L107" s="7" t="n"/>
      <c r="M107" s="7" t="n"/>
      <c r="P107" s="11" t="n"/>
      <c r="S107">
        <f>IF($B107="","",IF($Y107=1,Settings!$C$6,Settings!$C$7)*1)</f>
        <v/>
      </c>
      <c r="T107" s="7">
        <f>IF($B107="","",S107*L107)</f>
        <v/>
      </c>
      <c r="U107" s="7">
        <f>IF($B107="","",L107-T107)</f>
        <v/>
      </c>
      <c r="V107" s="7">
        <f>IF($B107="","",U107-G107)</f>
        <v/>
      </c>
      <c r="W107">
        <f>IF($B107="","",IF(COUNTIF($B$2:$B107,$B107)=1,1,0))</f>
        <v/>
      </c>
      <c r="X107">
        <f>IF($W107=1,SUMPRODUCT(--($Z$2:$Z$501&lt;$Z107))+1,"")</f>
        <v/>
      </c>
      <c r="Y107">
        <f>IF($B107="","",IF(OR($R107=TRUE(),$R107="TRUE"),1,0))</f>
        <v/>
      </c>
      <c r="Z107">
        <f>IF($W107=1,IFERROR(IF(VALUE($B107)&lt;100000000,VALUE($B107),1000000000),IFERROR(IF(VALUE(MID($B107,2,20))&lt;100000000,VALUE(MID($B107,2,20)),1000000000),1000000000))+ROW()/100000,"")</f>
        <v/>
      </c>
    </row>
    <row r="108">
      <c r="A108">
        <f>IF($B108="","",IFERROR(IF(INDEX('Per Invoice'!$A$2:$A$201,MATCH($B108,'Per Invoice'!$B$2:$B$201,0))=0,"",INDEX('Per Invoice'!$A$2:$A$201,MATCH($B108,'Per Invoice'!$B$2:$B$201,0))),""))</f>
        <v/>
      </c>
      <c r="G108" s="7">
        <f>IF($B108="","",F108*L108/100)</f>
        <v/>
      </c>
      <c r="J108" s="7" t="n"/>
      <c r="L108" s="7" t="n"/>
      <c r="M108" s="7" t="n"/>
      <c r="P108" s="11" t="n"/>
      <c r="S108">
        <f>IF($B108="","",IF($Y108=1,Settings!$C$6,Settings!$C$7)*1)</f>
        <v/>
      </c>
      <c r="T108" s="7">
        <f>IF($B108="","",S108*L108)</f>
        <v/>
      </c>
      <c r="U108" s="7">
        <f>IF($B108="","",L108-T108)</f>
        <v/>
      </c>
      <c r="V108" s="7">
        <f>IF($B108="","",U108-G108)</f>
        <v/>
      </c>
      <c r="W108">
        <f>IF($B108="","",IF(COUNTIF($B$2:$B108,$B108)=1,1,0))</f>
        <v/>
      </c>
      <c r="X108">
        <f>IF($W108=1,SUMPRODUCT(--($Z$2:$Z$501&lt;$Z108))+1,"")</f>
        <v/>
      </c>
      <c r="Y108">
        <f>IF($B108="","",IF(OR($R108=TRUE(),$R108="TRUE"),1,0))</f>
        <v/>
      </c>
      <c r="Z108">
        <f>IF($W108=1,IFERROR(IF(VALUE($B108)&lt;100000000,VALUE($B108),1000000000),IFERROR(IF(VALUE(MID($B108,2,20))&lt;100000000,VALUE(MID($B108,2,20)),1000000000),1000000000))+ROW()/100000,"")</f>
        <v/>
      </c>
    </row>
    <row r="109">
      <c r="A109">
        <f>IF($B109="","",IFERROR(IF(INDEX('Per Invoice'!$A$2:$A$201,MATCH($B109,'Per Invoice'!$B$2:$B$201,0))=0,"",INDEX('Per Invoice'!$A$2:$A$201,MATCH($B109,'Per Invoice'!$B$2:$B$201,0))),""))</f>
        <v/>
      </c>
      <c r="G109" s="7">
        <f>IF($B109="","",F109*L109/100)</f>
        <v/>
      </c>
      <c r="J109" s="7" t="n"/>
      <c r="L109" s="7" t="n"/>
      <c r="M109" s="7" t="n"/>
      <c r="P109" s="11" t="n"/>
      <c r="S109">
        <f>IF($B109="","",IF($Y109=1,Settings!$C$6,Settings!$C$7)*1)</f>
        <v/>
      </c>
      <c r="T109" s="7">
        <f>IF($B109="","",S109*L109)</f>
        <v/>
      </c>
      <c r="U109" s="7">
        <f>IF($B109="","",L109-T109)</f>
        <v/>
      </c>
      <c r="V109" s="7">
        <f>IF($B109="","",U109-G109)</f>
        <v/>
      </c>
      <c r="W109">
        <f>IF($B109="","",IF(COUNTIF($B$2:$B109,$B109)=1,1,0))</f>
        <v/>
      </c>
      <c r="X109">
        <f>IF($W109=1,SUMPRODUCT(--($Z$2:$Z$501&lt;$Z109))+1,"")</f>
        <v/>
      </c>
      <c r="Y109">
        <f>IF($B109="","",IF(OR($R109=TRUE(),$R109="TRUE"),1,0))</f>
        <v/>
      </c>
      <c r="Z109">
        <f>IF($W109=1,IFERROR(IF(VALUE($B109)&lt;100000000,VALUE($B109),1000000000),IFERROR(IF(VALUE(MID($B109,2,20))&lt;100000000,VALUE(MID($B109,2,20)),1000000000),1000000000))+ROW()/100000,"")</f>
        <v/>
      </c>
    </row>
    <row r="110">
      <c r="A110">
        <f>IF($B110="","",IFERROR(IF(INDEX('Per Invoice'!$A$2:$A$201,MATCH($B110,'Per Invoice'!$B$2:$B$201,0))=0,"",INDEX('Per Invoice'!$A$2:$A$201,MATCH($B110,'Per Invoice'!$B$2:$B$201,0))),""))</f>
        <v/>
      </c>
      <c r="G110" s="7">
        <f>IF($B110="","",F110*L110/100)</f>
        <v/>
      </c>
      <c r="J110" s="7" t="n"/>
      <c r="L110" s="7" t="n"/>
      <c r="M110" s="7" t="n"/>
      <c r="P110" s="11" t="n"/>
      <c r="S110">
        <f>IF($B110="","",IF($Y110=1,Settings!$C$6,Settings!$C$7)*1)</f>
        <v/>
      </c>
      <c r="T110" s="7">
        <f>IF($B110="","",S110*L110)</f>
        <v/>
      </c>
      <c r="U110" s="7">
        <f>IF($B110="","",L110-T110)</f>
        <v/>
      </c>
      <c r="V110" s="7">
        <f>IF($B110="","",U110-G110)</f>
        <v/>
      </c>
      <c r="W110">
        <f>IF($B110="","",IF(COUNTIF($B$2:$B110,$B110)=1,1,0))</f>
        <v/>
      </c>
      <c r="X110">
        <f>IF($W110=1,SUMPRODUCT(--($Z$2:$Z$501&lt;$Z110))+1,"")</f>
        <v/>
      </c>
      <c r="Y110">
        <f>IF($B110="","",IF(OR($R110=TRUE(),$R110="TRUE"),1,0))</f>
        <v/>
      </c>
      <c r="Z110">
        <f>IF($W110=1,IFERROR(IF(VALUE($B110)&lt;100000000,VALUE($B110),1000000000),IFERROR(IF(VALUE(MID($B110,2,20))&lt;100000000,VALUE(MID($B110,2,20)),1000000000),1000000000))+ROW()/100000,"")</f>
        <v/>
      </c>
    </row>
    <row r="111">
      <c r="A111">
        <f>IF($B111="","",IFERROR(IF(INDEX('Per Invoice'!$A$2:$A$201,MATCH($B111,'Per Invoice'!$B$2:$B$201,0))=0,"",INDEX('Per Invoice'!$A$2:$A$201,MATCH($B111,'Per Invoice'!$B$2:$B$201,0))),""))</f>
        <v/>
      </c>
      <c r="G111" s="7">
        <f>IF($B111="","",F111*L111/100)</f>
        <v/>
      </c>
      <c r="J111" s="7" t="n"/>
      <c r="L111" s="7" t="n"/>
      <c r="M111" s="7" t="n"/>
      <c r="P111" s="11" t="n"/>
      <c r="S111">
        <f>IF($B111="","",IF($Y111=1,Settings!$C$6,Settings!$C$7)*1)</f>
        <v/>
      </c>
      <c r="T111" s="7">
        <f>IF($B111="","",S111*L111)</f>
        <v/>
      </c>
      <c r="U111" s="7">
        <f>IF($B111="","",L111-T111)</f>
        <v/>
      </c>
      <c r="V111" s="7">
        <f>IF($B111="","",U111-G111)</f>
        <v/>
      </c>
      <c r="W111">
        <f>IF($B111="","",IF(COUNTIF($B$2:$B111,$B111)=1,1,0))</f>
        <v/>
      </c>
      <c r="X111">
        <f>IF($W111=1,SUMPRODUCT(--($Z$2:$Z$501&lt;$Z111))+1,"")</f>
        <v/>
      </c>
      <c r="Y111">
        <f>IF($B111="","",IF(OR($R111=TRUE(),$R111="TRUE"),1,0))</f>
        <v/>
      </c>
      <c r="Z111">
        <f>IF($W111=1,IFERROR(IF(VALUE($B111)&lt;100000000,VALUE($B111),1000000000),IFERROR(IF(VALUE(MID($B111,2,20))&lt;100000000,VALUE(MID($B111,2,20)),1000000000),1000000000))+ROW()/100000,"")</f>
        <v/>
      </c>
    </row>
    <row r="112">
      <c r="A112">
        <f>IF($B112="","",IFERROR(IF(INDEX('Per Invoice'!$A$2:$A$201,MATCH($B112,'Per Invoice'!$B$2:$B$201,0))=0,"",INDEX('Per Invoice'!$A$2:$A$201,MATCH($B112,'Per Invoice'!$B$2:$B$201,0))),""))</f>
        <v/>
      </c>
      <c r="G112" s="7">
        <f>IF($B112="","",F112*L112/100)</f>
        <v/>
      </c>
      <c r="J112" s="7" t="n"/>
      <c r="L112" s="7" t="n"/>
      <c r="M112" s="7" t="n"/>
      <c r="P112" s="11" t="n"/>
      <c r="S112">
        <f>IF($B112="","",IF($Y112=1,Settings!$C$6,Settings!$C$7)*1)</f>
        <v/>
      </c>
      <c r="T112" s="7">
        <f>IF($B112="","",S112*L112)</f>
        <v/>
      </c>
      <c r="U112" s="7">
        <f>IF($B112="","",L112-T112)</f>
        <v/>
      </c>
      <c r="V112" s="7">
        <f>IF($B112="","",U112-G112)</f>
        <v/>
      </c>
      <c r="W112">
        <f>IF($B112="","",IF(COUNTIF($B$2:$B112,$B112)=1,1,0))</f>
        <v/>
      </c>
      <c r="X112">
        <f>IF($W112=1,SUMPRODUCT(--($Z$2:$Z$501&lt;$Z112))+1,"")</f>
        <v/>
      </c>
      <c r="Y112">
        <f>IF($B112="","",IF(OR($R112=TRUE(),$R112="TRUE"),1,0))</f>
        <v/>
      </c>
      <c r="Z112">
        <f>IF($W112=1,IFERROR(IF(VALUE($B112)&lt;100000000,VALUE($B112),1000000000),IFERROR(IF(VALUE(MID($B112,2,20))&lt;100000000,VALUE(MID($B112,2,20)),1000000000),1000000000))+ROW()/100000,"")</f>
        <v/>
      </c>
    </row>
    <row r="113">
      <c r="A113">
        <f>IF($B113="","",IFERROR(IF(INDEX('Per Invoice'!$A$2:$A$201,MATCH($B113,'Per Invoice'!$B$2:$B$201,0))=0,"",INDEX('Per Invoice'!$A$2:$A$201,MATCH($B113,'Per Invoice'!$B$2:$B$201,0))),""))</f>
        <v/>
      </c>
      <c r="G113" s="7">
        <f>IF($B113="","",F113*L113/100)</f>
        <v/>
      </c>
      <c r="J113" s="7" t="n"/>
      <c r="L113" s="7" t="n"/>
      <c r="M113" s="7" t="n"/>
      <c r="P113" s="11" t="n"/>
      <c r="S113">
        <f>IF($B113="","",IF($Y113=1,Settings!$C$6,Settings!$C$7)*1)</f>
        <v/>
      </c>
      <c r="T113" s="7">
        <f>IF($B113="","",S113*L113)</f>
        <v/>
      </c>
      <c r="U113" s="7">
        <f>IF($B113="","",L113-T113)</f>
        <v/>
      </c>
      <c r="V113" s="7">
        <f>IF($B113="","",U113-G113)</f>
        <v/>
      </c>
      <c r="W113">
        <f>IF($B113="","",IF(COUNTIF($B$2:$B113,$B113)=1,1,0))</f>
        <v/>
      </c>
      <c r="X113">
        <f>IF($W113=1,SUMPRODUCT(--($Z$2:$Z$501&lt;$Z113))+1,"")</f>
        <v/>
      </c>
      <c r="Y113">
        <f>IF($B113="","",IF(OR($R113=TRUE(),$R113="TRUE"),1,0))</f>
        <v/>
      </c>
      <c r="Z113">
        <f>IF($W113=1,IFERROR(IF(VALUE($B113)&lt;100000000,VALUE($B113),1000000000),IFERROR(IF(VALUE(MID($B113,2,20))&lt;100000000,VALUE(MID($B113,2,20)),1000000000),1000000000))+ROW()/100000,"")</f>
        <v/>
      </c>
    </row>
    <row r="114">
      <c r="A114">
        <f>IF($B114="","",IFERROR(IF(INDEX('Per Invoice'!$A$2:$A$201,MATCH($B114,'Per Invoice'!$B$2:$B$201,0))=0,"",INDEX('Per Invoice'!$A$2:$A$201,MATCH($B114,'Per Invoice'!$B$2:$B$201,0))),""))</f>
        <v/>
      </c>
      <c r="G114" s="7">
        <f>IF($B114="","",F114*L114/100)</f>
        <v/>
      </c>
      <c r="J114" s="7" t="n"/>
      <c r="L114" s="7" t="n"/>
      <c r="M114" s="7" t="n"/>
      <c r="P114" s="11" t="n"/>
      <c r="S114">
        <f>IF($B114="","",IF($Y114=1,Settings!$C$6,Settings!$C$7)*1)</f>
        <v/>
      </c>
      <c r="T114" s="7">
        <f>IF($B114="","",S114*L114)</f>
        <v/>
      </c>
      <c r="U114" s="7">
        <f>IF($B114="","",L114-T114)</f>
        <v/>
      </c>
      <c r="V114" s="7">
        <f>IF($B114="","",U114-G114)</f>
        <v/>
      </c>
      <c r="W114">
        <f>IF($B114="","",IF(COUNTIF($B$2:$B114,$B114)=1,1,0))</f>
        <v/>
      </c>
      <c r="X114">
        <f>IF($W114=1,SUMPRODUCT(--($Z$2:$Z$501&lt;$Z114))+1,"")</f>
        <v/>
      </c>
      <c r="Y114">
        <f>IF($B114="","",IF(OR($R114=TRUE(),$R114="TRUE"),1,0))</f>
        <v/>
      </c>
      <c r="Z114">
        <f>IF($W114=1,IFERROR(IF(VALUE($B114)&lt;100000000,VALUE($B114),1000000000),IFERROR(IF(VALUE(MID($B114,2,20))&lt;100000000,VALUE(MID($B114,2,20)),1000000000),1000000000))+ROW()/100000,"")</f>
        <v/>
      </c>
    </row>
    <row r="115">
      <c r="A115">
        <f>IF($B115="","",IFERROR(IF(INDEX('Per Invoice'!$A$2:$A$201,MATCH($B115,'Per Invoice'!$B$2:$B$201,0))=0,"",INDEX('Per Invoice'!$A$2:$A$201,MATCH($B115,'Per Invoice'!$B$2:$B$201,0))),""))</f>
        <v/>
      </c>
      <c r="G115" s="7">
        <f>IF($B115="","",F115*L115/100)</f>
        <v/>
      </c>
      <c r="J115" s="7" t="n"/>
      <c r="L115" s="7" t="n"/>
      <c r="M115" s="7" t="n"/>
      <c r="P115" s="11" t="n"/>
      <c r="S115">
        <f>IF($B115="","",IF($Y115=1,Settings!$C$6,Settings!$C$7)*1)</f>
        <v/>
      </c>
      <c r="T115" s="7">
        <f>IF($B115="","",S115*L115)</f>
        <v/>
      </c>
      <c r="U115" s="7">
        <f>IF($B115="","",L115-T115)</f>
        <v/>
      </c>
      <c r="V115" s="7">
        <f>IF($B115="","",U115-G115)</f>
        <v/>
      </c>
      <c r="W115">
        <f>IF($B115="","",IF(COUNTIF($B$2:$B115,$B115)=1,1,0))</f>
        <v/>
      </c>
      <c r="X115">
        <f>IF($W115=1,SUMPRODUCT(--($Z$2:$Z$501&lt;$Z115))+1,"")</f>
        <v/>
      </c>
      <c r="Y115">
        <f>IF($B115="","",IF(OR($R115=TRUE(),$R115="TRUE"),1,0))</f>
        <v/>
      </c>
      <c r="Z115">
        <f>IF($W115=1,IFERROR(IF(VALUE($B115)&lt;100000000,VALUE($B115),1000000000),IFERROR(IF(VALUE(MID($B115,2,20))&lt;100000000,VALUE(MID($B115,2,20)),1000000000),1000000000))+ROW()/100000,"")</f>
        <v/>
      </c>
    </row>
    <row r="116">
      <c r="A116">
        <f>IF($B116="","",IFERROR(IF(INDEX('Per Invoice'!$A$2:$A$201,MATCH($B116,'Per Invoice'!$B$2:$B$201,0))=0,"",INDEX('Per Invoice'!$A$2:$A$201,MATCH($B116,'Per Invoice'!$B$2:$B$201,0))),""))</f>
        <v/>
      </c>
      <c r="G116" s="7">
        <f>IF($B116="","",F116*L116/100)</f>
        <v/>
      </c>
      <c r="J116" s="7" t="n"/>
      <c r="L116" s="7" t="n"/>
      <c r="M116" s="7" t="n"/>
      <c r="P116" s="11" t="n"/>
      <c r="S116">
        <f>IF($B116="","",IF($Y116=1,Settings!$C$6,Settings!$C$7)*1)</f>
        <v/>
      </c>
      <c r="T116" s="7">
        <f>IF($B116="","",S116*L116)</f>
        <v/>
      </c>
      <c r="U116" s="7">
        <f>IF($B116="","",L116-T116)</f>
        <v/>
      </c>
      <c r="V116" s="7">
        <f>IF($B116="","",U116-G116)</f>
        <v/>
      </c>
      <c r="W116">
        <f>IF($B116="","",IF(COUNTIF($B$2:$B116,$B116)=1,1,0))</f>
        <v/>
      </c>
      <c r="X116">
        <f>IF($W116=1,SUMPRODUCT(--($Z$2:$Z$501&lt;$Z116))+1,"")</f>
        <v/>
      </c>
      <c r="Y116">
        <f>IF($B116="","",IF(OR($R116=TRUE(),$R116="TRUE"),1,0))</f>
        <v/>
      </c>
      <c r="Z116">
        <f>IF($W116=1,IFERROR(IF(VALUE($B116)&lt;100000000,VALUE($B116),1000000000),IFERROR(IF(VALUE(MID($B116,2,20))&lt;100000000,VALUE(MID($B116,2,20)),1000000000),1000000000))+ROW()/100000,"")</f>
        <v/>
      </c>
    </row>
    <row r="117">
      <c r="A117">
        <f>IF($B117="","",IFERROR(IF(INDEX('Per Invoice'!$A$2:$A$201,MATCH($B117,'Per Invoice'!$B$2:$B$201,0))=0,"",INDEX('Per Invoice'!$A$2:$A$201,MATCH($B117,'Per Invoice'!$B$2:$B$201,0))),""))</f>
        <v/>
      </c>
      <c r="G117" s="7">
        <f>IF($B117="","",F117*L117/100)</f>
        <v/>
      </c>
      <c r="J117" s="7" t="n"/>
      <c r="L117" s="7" t="n"/>
      <c r="M117" s="7" t="n"/>
      <c r="P117" s="11" t="n"/>
      <c r="S117">
        <f>IF($B117="","",IF($Y117=1,Settings!$C$6,Settings!$C$7)*1)</f>
        <v/>
      </c>
      <c r="T117" s="7">
        <f>IF($B117="","",S117*L117)</f>
        <v/>
      </c>
      <c r="U117" s="7">
        <f>IF($B117="","",L117-T117)</f>
        <v/>
      </c>
      <c r="V117" s="7">
        <f>IF($B117="","",U117-G117)</f>
        <v/>
      </c>
      <c r="W117">
        <f>IF($B117="","",IF(COUNTIF($B$2:$B117,$B117)=1,1,0))</f>
        <v/>
      </c>
      <c r="X117">
        <f>IF($W117=1,SUMPRODUCT(--($Z$2:$Z$501&lt;$Z117))+1,"")</f>
        <v/>
      </c>
      <c r="Y117">
        <f>IF($B117="","",IF(OR($R117=TRUE(),$R117="TRUE"),1,0))</f>
        <v/>
      </c>
      <c r="Z117">
        <f>IF($W117=1,IFERROR(IF(VALUE($B117)&lt;100000000,VALUE($B117),1000000000),IFERROR(IF(VALUE(MID($B117,2,20))&lt;100000000,VALUE(MID($B117,2,20)),1000000000),1000000000))+ROW()/100000,"")</f>
        <v/>
      </c>
    </row>
    <row r="118">
      <c r="A118">
        <f>IF($B118="","",IFERROR(IF(INDEX('Per Invoice'!$A$2:$A$201,MATCH($B118,'Per Invoice'!$B$2:$B$201,0))=0,"",INDEX('Per Invoice'!$A$2:$A$201,MATCH($B118,'Per Invoice'!$B$2:$B$201,0))),""))</f>
        <v/>
      </c>
      <c r="G118" s="7">
        <f>IF($B118="","",F118*L118/100)</f>
        <v/>
      </c>
      <c r="J118" s="7" t="n"/>
      <c r="L118" s="7" t="n"/>
      <c r="M118" s="7" t="n"/>
      <c r="P118" s="11" t="n"/>
      <c r="S118">
        <f>IF($B118="","",IF($Y118=1,Settings!$C$6,Settings!$C$7)*1)</f>
        <v/>
      </c>
      <c r="T118" s="7">
        <f>IF($B118="","",S118*L118)</f>
        <v/>
      </c>
      <c r="U118" s="7">
        <f>IF($B118="","",L118-T118)</f>
        <v/>
      </c>
      <c r="V118" s="7">
        <f>IF($B118="","",U118-G118)</f>
        <v/>
      </c>
      <c r="W118">
        <f>IF($B118="","",IF(COUNTIF($B$2:$B118,$B118)=1,1,0))</f>
        <v/>
      </c>
      <c r="X118">
        <f>IF($W118=1,SUMPRODUCT(--($Z$2:$Z$501&lt;$Z118))+1,"")</f>
        <v/>
      </c>
      <c r="Y118">
        <f>IF($B118="","",IF(OR($R118=TRUE(),$R118="TRUE"),1,0))</f>
        <v/>
      </c>
      <c r="Z118">
        <f>IF($W118=1,IFERROR(IF(VALUE($B118)&lt;100000000,VALUE($B118),1000000000),IFERROR(IF(VALUE(MID($B118,2,20))&lt;100000000,VALUE(MID($B118,2,20)),1000000000),1000000000))+ROW()/100000,"")</f>
        <v/>
      </c>
    </row>
    <row r="119">
      <c r="A119">
        <f>IF($B119="","",IFERROR(IF(INDEX('Per Invoice'!$A$2:$A$201,MATCH($B119,'Per Invoice'!$B$2:$B$201,0))=0,"",INDEX('Per Invoice'!$A$2:$A$201,MATCH($B119,'Per Invoice'!$B$2:$B$201,0))),""))</f>
        <v/>
      </c>
      <c r="G119" s="7">
        <f>IF($B119="","",F119*L119/100)</f>
        <v/>
      </c>
      <c r="J119" s="7" t="n"/>
      <c r="L119" s="7" t="n"/>
      <c r="M119" s="7" t="n"/>
      <c r="P119" s="11" t="n"/>
      <c r="S119">
        <f>IF($B119="","",IF($Y119=1,Settings!$C$6,Settings!$C$7)*1)</f>
        <v/>
      </c>
      <c r="T119" s="7">
        <f>IF($B119="","",S119*L119)</f>
        <v/>
      </c>
      <c r="U119" s="7">
        <f>IF($B119="","",L119-T119)</f>
        <v/>
      </c>
      <c r="V119" s="7">
        <f>IF($B119="","",U119-G119)</f>
        <v/>
      </c>
      <c r="W119">
        <f>IF($B119="","",IF(COUNTIF($B$2:$B119,$B119)=1,1,0))</f>
        <v/>
      </c>
      <c r="X119">
        <f>IF($W119=1,SUMPRODUCT(--($Z$2:$Z$501&lt;$Z119))+1,"")</f>
        <v/>
      </c>
      <c r="Y119">
        <f>IF($B119="","",IF(OR($R119=TRUE(),$R119="TRUE"),1,0))</f>
        <v/>
      </c>
      <c r="Z119">
        <f>IF($W119=1,IFERROR(IF(VALUE($B119)&lt;100000000,VALUE($B119),1000000000),IFERROR(IF(VALUE(MID($B119,2,20))&lt;100000000,VALUE(MID($B119,2,20)),1000000000),1000000000))+ROW()/100000,"")</f>
        <v/>
      </c>
    </row>
    <row r="120">
      <c r="A120">
        <f>IF($B120="","",IFERROR(IF(INDEX('Per Invoice'!$A$2:$A$201,MATCH($B120,'Per Invoice'!$B$2:$B$201,0))=0,"",INDEX('Per Invoice'!$A$2:$A$201,MATCH($B120,'Per Invoice'!$B$2:$B$201,0))),""))</f>
        <v/>
      </c>
      <c r="G120" s="7">
        <f>IF($B120="","",F120*L120/100)</f>
        <v/>
      </c>
      <c r="J120" s="7" t="n"/>
      <c r="L120" s="7" t="n"/>
      <c r="M120" s="7" t="n"/>
      <c r="P120" s="11" t="n"/>
      <c r="S120">
        <f>IF($B120="","",IF($Y120=1,Settings!$C$6,Settings!$C$7)*1)</f>
        <v/>
      </c>
      <c r="T120" s="7">
        <f>IF($B120="","",S120*L120)</f>
        <v/>
      </c>
      <c r="U120" s="7">
        <f>IF($B120="","",L120-T120)</f>
        <v/>
      </c>
      <c r="V120" s="7">
        <f>IF($B120="","",U120-G120)</f>
        <v/>
      </c>
      <c r="W120">
        <f>IF($B120="","",IF(COUNTIF($B$2:$B120,$B120)=1,1,0))</f>
        <v/>
      </c>
      <c r="X120">
        <f>IF($W120=1,SUMPRODUCT(--($Z$2:$Z$501&lt;$Z120))+1,"")</f>
        <v/>
      </c>
      <c r="Y120">
        <f>IF($B120="","",IF(OR($R120=TRUE(),$R120="TRUE"),1,0))</f>
        <v/>
      </c>
      <c r="Z120">
        <f>IF($W120=1,IFERROR(IF(VALUE($B120)&lt;100000000,VALUE($B120),1000000000),IFERROR(IF(VALUE(MID($B120,2,20))&lt;100000000,VALUE(MID($B120,2,20)),1000000000),1000000000))+ROW()/100000,"")</f>
        <v/>
      </c>
    </row>
    <row r="121">
      <c r="A121">
        <f>IF($B121="","",IFERROR(IF(INDEX('Per Invoice'!$A$2:$A$201,MATCH($B121,'Per Invoice'!$B$2:$B$201,0))=0,"",INDEX('Per Invoice'!$A$2:$A$201,MATCH($B121,'Per Invoice'!$B$2:$B$201,0))),""))</f>
        <v/>
      </c>
      <c r="G121" s="7">
        <f>IF($B121="","",F121*L121/100)</f>
        <v/>
      </c>
      <c r="J121" s="7" t="n"/>
      <c r="L121" s="7" t="n"/>
      <c r="M121" s="7" t="n"/>
      <c r="P121" s="11" t="n"/>
      <c r="S121">
        <f>IF($B121="","",IF($Y121=1,Settings!$C$6,Settings!$C$7)*1)</f>
        <v/>
      </c>
      <c r="T121" s="7">
        <f>IF($B121="","",S121*L121)</f>
        <v/>
      </c>
      <c r="U121" s="7">
        <f>IF($B121="","",L121-T121)</f>
        <v/>
      </c>
      <c r="V121" s="7">
        <f>IF($B121="","",U121-G121)</f>
        <v/>
      </c>
      <c r="W121">
        <f>IF($B121="","",IF(COUNTIF($B$2:$B121,$B121)=1,1,0))</f>
        <v/>
      </c>
      <c r="X121">
        <f>IF($W121=1,SUMPRODUCT(--($Z$2:$Z$501&lt;$Z121))+1,"")</f>
        <v/>
      </c>
      <c r="Y121">
        <f>IF($B121="","",IF(OR($R121=TRUE(),$R121="TRUE"),1,0))</f>
        <v/>
      </c>
      <c r="Z121">
        <f>IF($W121=1,IFERROR(IF(VALUE($B121)&lt;100000000,VALUE($B121),1000000000),IFERROR(IF(VALUE(MID($B121,2,20))&lt;100000000,VALUE(MID($B121,2,20)),1000000000),1000000000))+ROW()/100000,"")</f>
        <v/>
      </c>
    </row>
    <row r="122">
      <c r="A122">
        <f>IF($B122="","",IFERROR(IF(INDEX('Per Invoice'!$A$2:$A$201,MATCH($B122,'Per Invoice'!$B$2:$B$201,0))=0,"",INDEX('Per Invoice'!$A$2:$A$201,MATCH($B122,'Per Invoice'!$B$2:$B$201,0))),""))</f>
        <v/>
      </c>
      <c r="G122" s="7">
        <f>IF($B122="","",F122*L122/100)</f>
        <v/>
      </c>
      <c r="J122" s="7" t="n"/>
      <c r="L122" s="7" t="n"/>
      <c r="M122" s="7" t="n"/>
      <c r="P122" s="11" t="n"/>
      <c r="S122">
        <f>IF($B122="","",IF($Y122=1,Settings!$C$6,Settings!$C$7)*1)</f>
        <v/>
      </c>
      <c r="T122" s="7">
        <f>IF($B122="","",S122*L122)</f>
        <v/>
      </c>
      <c r="U122" s="7">
        <f>IF($B122="","",L122-T122)</f>
        <v/>
      </c>
      <c r="V122" s="7">
        <f>IF($B122="","",U122-G122)</f>
        <v/>
      </c>
      <c r="W122">
        <f>IF($B122="","",IF(COUNTIF($B$2:$B122,$B122)=1,1,0))</f>
        <v/>
      </c>
      <c r="X122">
        <f>IF($W122=1,SUMPRODUCT(--($Z$2:$Z$501&lt;$Z122))+1,"")</f>
        <v/>
      </c>
      <c r="Y122">
        <f>IF($B122="","",IF(OR($R122=TRUE(),$R122="TRUE"),1,0))</f>
        <v/>
      </c>
      <c r="Z122">
        <f>IF($W122=1,IFERROR(IF(VALUE($B122)&lt;100000000,VALUE($B122),1000000000),IFERROR(IF(VALUE(MID($B122,2,20))&lt;100000000,VALUE(MID($B122,2,20)),1000000000),1000000000))+ROW()/100000,"")</f>
        <v/>
      </c>
    </row>
    <row r="123">
      <c r="A123">
        <f>IF($B123="","",IFERROR(IF(INDEX('Per Invoice'!$A$2:$A$201,MATCH($B123,'Per Invoice'!$B$2:$B$201,0))=0,"",INDEX('Per Invoice'!$A$2:$A$201,MATCH($B123,'Per Invoice'!$B$2:$B$201,0))),""))</f>
        <v/>
      </c>
      <c r="G123" s="7">
        <f>IF($B123="","",F123*L123/100)</f>
        <v/>
      </c>
      <c r="J123" s="7" t="n"/>
      <c r="L123" s="7" t="n"/>
      <c r="M123" s="7" t="n"/>
      <c r="P123" s="11" t="n"/>
      <c r="S123">
        <f>IF($B123="","",IF($Y123=1,Settings!$C$6,Settings!$C$7)*1)</f>
        <v/>
      </c>
      <c r="T123" s="7">
        <f>IF($B123="","",S123*L123)</f>
        <v/>
      </c>
      <c r="U123" s="7">
        <f>IF($B123="","",L123-T123)</f>
        <v/>
      </c>
      <c r="V123" s="7">
        <f>IF($B123="","",U123-G123)</f>
        <v/>
      </c>
      <c r="W123">
        <f>IF($B123="","",IF(COUNTIF($B$2:$B123,$B123)=1,1,0))</f>
        <v/>
      </c>
      <c r="X123">
        <f>IF($W123=1,SUMPRODUCT(--($Z$2:$Z$501&lt;$Z123))+1,"")</f>
        <v/>
      </c>
      <c r="Y123">
        <f>IF($B123="","",IF(OR($R123=TRUE(),$R123="TRUE"),1,0))</f>
        <v/>
      </c>
      <c r="Z123">
        <f>IF($W123=1,IFERROR(IF(VALUE($B123)&lt;100000000,VALUE($B123),1000000000),IFERROR(IF(VALUE(MID($B123,2,20))&lt;100000000,VALUE(MID($B123,2,20)),1000000000),1000000000))+ROW()/100000,"")</f>
        <v/>
      </c>
    </row>
    <row r="124">
      <c r="A124">
        <f>IF($B124="","",IFERROR(IF(INDEX('Per Invoice'!$A$2:$A$201,MATCH($B124,'Per Invoice'!$B$2:$B$201,0))=0,"",INDEX('Per Invoice'!$A$2:$A$201,MATCH($B124,'Per Invoice'!$B$2:$B$201,0))),""))</f>
        <v/>
      </c>
      <c r="G124" s="7">
        <f>IF($B124="","",F124*L124/100)</f>
        <v/>
      </c>
      <c r="J124" s="7" t="n"/>
      <c r="L124" s="7" t="n"/>
      <c r="M124" s="7" t="n"/>
      <c r="P124" s="11" t="n"/>
      <c r="S124">
        <f>IF($B124="","",IF($Y124=1,Settings!$C$6,Settings!$C$7)*1)</f>
        <v/>
      </c>
      <c r="T124" s="7">
        <f>IF($B124="","",S124*L124)</f>
        <v/>
      </c>
      <c r="U124" s="7">
        <f>IF($B124="","",L124-T124)</f>
        <v/>
      </c>
      <c r="V124" s="7">
        <f>IF($B124="","",U124-G124)</f>
        <v/>
      </c>
      <c r="W124">
        <f>IF($B124="","",IF(COUNTIF($B$2:$B124,$B124)=1,1,0))</f>
        <v/>
      </c>
      <c r="X124">
        <f>IF($W124=1,SUMPRODUCT(--($Z$2:$Z$501&lt;$Z124))+1,"")</f>
        <v/>
      </c>
      <c r="Y124">
        <f>IF($B124="","",IF(OR($R124=TRUE(),$R124="TRUE"),1,0))</f>
        <v/>
      </c>
      <c r="Z124">
        <f>IF($W124=1,IFERROR(IF(VALUE($B124)&lt;100000000,VALUE($B124),1000000000),IFERROR(IF(VALUE(MID($B124,2,20))&lt;100000000,VALUE(MID($B124,2,20)),1000000000),1000000000))+ROW()/100000,"")</f>
        <v/>
      </c>
    </row>
    <row r="125">
      <c r="A125">
        <f>IF($B125="","",IFERROR(IF(INDEX('Per Invoice'!$A$2:$A$201,MATCH($B125,'Per Invoice'!$B$2:$B$201,0))=0,"",INDEX('Per Invoice'!$A$2:$A$201,MATCH($B125,'Per Invoice'!$B$2:$B$201,0))),""))</f>
        <v/>
      </c>
      <c r="G125" s="7">
        <f>IF($B125="","",F125*L125/100)</f>
        <v/>
      </c>
      <c r="J125" s="7" t="n"/>
      <c r="L125" s="7" t="n"/>
      <c r="M125" s="7" t="n"/>
      <c r="P125" s="11" t="n"/>
      <c r="S125">
        <f>IF($B125="","",IF($Y125=1,Settings!$C$6,Settings!$C$7)*1)</f>
        <v/>
      </c>
      <c r="T125" s="7">
        <f>IF($B125="","",S125*L125)</f>
        <v/>
      </c>
      <c r="U125" s="7">
        <f>IF($B125="","",L125-T125)</f>
        <v/>
      </c>
      <c r="V125" s="7">
        <f>IF($B125="","",U125-G125)</f>
        <v/>
      </c>
      <c r="W125">
        <f>IF($B125="","",IF(COUNTIF($B$2:$B125,$B125)=1,1,0))</f>
        <v/>
      </c>
      <c r="X125">
        <f>IF($W125=1,SUMPRODUCT(--($Z$2:$Z$501&lt;$Z125))+1,"")</f>
        <v/>
      </c>
      <c r="Y125">
        <f>IF($B125="","",IF(OR($R125=TRUE(),$R125="TRUE"),1,0))</f>
        <v/>
      </c>
      <c r="Z125">
        <f>IF($W125=1,IFERROR(IF(VALUE($B125)&lt;100000000,VALUE($B125),1000000000),IFERROR(IF(VALUE(MID($B125,2,20))&lt;100000000,VALUE(MID($B125,2,20)),1000000000),1000000000))+ROW()/100000,"")</f>
        <v/>
      </c>
    </row>
    <row r="126">
      <c r="A126">
        <f>IF($B126="","",IFERROR(IF(INDEX('Per Invoice'!$A$2:$A$201,MATCH($B126,'Per Invoice'!$B$2:$B$201,0))=0,"",INDEX('Per Invoice'!$A$2:$A$201,MATCH($B126,'Per Invoice'!$B$2:$B$201,0))),""))</f>
        <v/>
      </c>
      <c r="G126" s="7">
        <f>IF($B126="","",F126*L126/100)</f>
        <v/>
      </c>
      <c r="J126" s="7" t="n"/>
      <c r="L126" s="7" t="n"/>
      <c r="M126" s="7" t="n"/>
      <c r="P126" s="11" t="n"/>
      <c r="S126">
        <f>IF($B126="","",IF($Y126=1,Settings!$C$6,Settings!$C$7)*1)</f>
        <v/>
      </c>
      <c r="T126" s="7">
        <f>IF($B126="","",S126*L126)</f>
        <v/>
      </c>
      <c r="U126" s="7">
        <f>IF($B126="","",L126-T126)</f>
        <v/>
      </c>
      <c r="V126" s="7">
        <f>IF($B126="","",U126-G126)</f>
        <v/>
      </c>
      <c r="W126">
        <f>IF($B126="","",IF(COUNTIF($B$2:$B126,$B126)=1,1,0))</f>
        <v/>
      </c>
      <c r="X126">
        <f>IF($W126=1,SUMPRODUCT(--($Z$2:$Z$501&lt;$Z126))+1,"")</f>
        <v/>
      </c>
      <c r="Y126">
        <f>IF($B126="","",IF(OR($R126=TRUE(),$R126="TRUE"),1,0))</f>
        <v/>
      </c>
      <c r="Z126">
        <f>IF($W126=1,IFERROR(IF(VALUE($B126)&lt;100000000,VALUE($B126),1000000000),IFERROR(IF(VALUE(MID($B126,2,20))&lt;100000000,VALUE(MID($B126,2,20)),1000000000),1000000000))+ROW()/100000,"")</f>
        <v/>
      </c>
    </row>
    <row r="127">
      <c r="A127">
        <f>IF($B127="","",IFERROR(IF(INDEX('Per Invoice'!$A$2:$A$201,MATCH($B127,'Per Invoice'!$B$2:$B$201,0))=0,"",INDEX('Per Invoice'!$A$2:$A$201,MATCH($B127,'Per Invoice'!$B$2:$B$201,0))),""))</f>
        <v/>
      </c>
      <c r="G127" s="7">
        <f>IF($B127="","",F127*L127/100)</f>
        <v/>
      </c>
      <c r="J127" s="7" t="n"/>
      <c r="L127" s="7" t="n"/>
      <c r="M127" s="7" t="n"/>
      <c r="P127" s="11" t="n"/>
      <c r="S127">
        <f>IF($B127="","",IF($Y127=1,Settings!$C$6,Settings!$C$7)*1)</f>
        <v/>
      </c>
      <c r="T127" s="7">
        <f>IF($B127="","",S127*L127)</f>
        <v/>
      </c>
      <c r="U127" s="7">
        <f>IF($B127="","",L127-T127)</f>
        <v/>
      </c>
      <c r="V127" s="7">
        <f>IF($B127="","",U127-G127)</f>
        <v/>
      </c>
      <c r="W127">
        <f>IF($B127="","",IF(COUNTIF($B$2:$B127,$B127)=1,1,0))</f>
        <v/>
      </c>
      <c r="X127">
        <f>IF($W127=1,SUMPRODUCT(--($Z$2:$Z$501&lt;$Z127))+1,"")</f>
        <v/>
      </c>
      <c r="Y127">
        <f>IF($B127="","",IF(OR($R127=TRUE(),$R127="TRUE"),1,0))</f>
        <v/>
      </c>
      <c r="Z127">
        <f>IF($W127=1,IFERROR(IF(VALUE($B127)&lt;100000000,VALUE($B127),1000000000),IFERROR(IF(VALUE(MID($B127,2,20))&lt;100000000,VALUE(MID($B127,2,20)),1000000000),1000000000))+ROW()/100000,"")</f>
        <v/>
      </c>
    </row>
    <row r="128">
      <c r="A128">
        <f>IF($B128="","",IFERROR(IF(INDEX('Per Invoice'!$A$2:$A$201,MATCH($B128,'Per Invoice'!$B$2:$B$201,0))=0,"",INDEX('Per Invoice'!$A$2:$A$201,MATCH($B128,'Per Invoice'!$B$2:$B$201,0))),""))</f>
        <v/>
      </c>
      <c r="G128" s="7">
        <f>IF($B128="","",F128*L128/100)</f>
        <v/>
      </c>
      <c r="J128" s="7" t="n"/>
      <c r="L128" s="7" t="n"/>
      <c r="M128" s="7" t="n"/>
      <c r="P128" s="11" t="n"/>
      <c r="S128">
        <f>IF($B128="","",IF($Y128=1,Settings!$C$6,Settings!$C$7)*1)</f>
        <v/>
      </c>
      <c r="T128" s="7">
        <f>IF($B128="","",S128*L128)</f>
        <v/>
      </c>
      <c r="U128" s="7">
        <f>IF($B128="","",L128-T128)</f>
        <v/>
      </c>
      <c r="V128" s="7">
        <f>IF($B128="","",U128-G128)</f>
        <v/>
      </c>
      <c r="W128">
        <f>IF($B128="","",IF(COUNTIF($B$2:$B128,$B128)=1,1,0))</f>
        <v/>
      </c>
      <c r="X128">
        <f>IF($W128=1,SUMPRODUCT(--($Z$2:$Z$501&lt;$Z128))+1,"")</f>
        <v/>
      </c>
      <c r="Y128">
        <f>IF($B128="","",IF(OR($R128=TRUE(),$R128="TRUE"),1,0))</f>
        <v/>
      </c>
      <c r="Z128">
        <f>IF($W128=1,IFERROR(IF(VALUE($B128)&lt;100000000,VALUE($B128),1000000000),IFERROR(IF(VALUE(MID($B128,2,20))&lt;100000000,VALUE(MID($B128,2,20)),1000000000),1000000000))+ROW()/100000,"")</f>
        <v/>
      </c>
    </row>
    <row r="129">
      <c r="A129">
        <f>IF($B129="","",IFERROR(IF(INDEX('Per Invoice'!$A$2:$A$201,MATCH($B129,'Per Invoice'!$B$2:$B$201,0))=0,"",INDEX('Per Invoice'!$A$2:$A$201,MATCH($B129,'Per Invoice'!$B$2:$B$201,0))),""))</f>
        <v/>
      </c>
      <c r="G129" s="7">
        <f>IF($B129="","",F129*L129/100)</f>
        <v/>
      </c>
      <c r="J129" s="7" t="n"/>
      <c r="L129" s="7" t="n"/>
      <c r="M129" s="7" t="n"/>
      <c r="P129" s="11" t="n"/>
      <c r="S129">
        <f>IF($B129="","",IF($Y129=1,Settings!$C$6,Settings!$C$7)*1)</f>
        <v/>
      </c>
      <c r="T129" s="7">
        <f>IF($B129="","",S129*L129)</f>
        <v/>
      </c>
      <c r="U129" s="7">
        <f>IF($B129="","",L129-T129)</f>
        <v/>
      </c>
      <c r="V129" s="7">
        <f>IF($B129="","",U129-G129)</f>
        <v/>
      </c>
      <c r="W129">
        <f>IF($B129="","",IF(COUNTIF($B$2:$B129,$B129)=1,1,0))</f>
        <v/>
      </c>
      <c r="X129">
        <f>IF($W129=1,SUMPRODUCT(--($Z$2:$Z$501&lt;$Z129))+1,"")</f>
        <v/>
      </c>
      <c r="Y129">
        <f>IF($B129="","",IF(OR($R129=TRUE(),$R129="TRUE"),1,0))</f>
        <v/>
      </c>
      <c r="Z129">
        <f>IF($W129=1,IFERROR(IF(VALUE($B129)&lt;100000000,VALUE($B129),1000000000),IFERROR(IF(VALUE(MID($B129,2,20))&lt;100000000,VALUE(MID($B129,2,20)),1000000000),1000000000))+ROW()/100000,"")</f>
        <v/>
      </c>
    </row>
    <row r="130">
      <c r="A130">
        <f>IF($B130="","",IFERROR(IF(INDEX('Per Invoice'!$A$2:$A$201,MATCH($B130,'Per Invoice'!$B$2:$B$201,0))=0,"",INDEX('Per Invoice'!$A$2:$A$201,MATCH($B130,'Per Invoice'!$B$2:$B$201,0))),""))</f>
        <v/>
      </c>
      <c r="G130" s="7">
        <f>IF($B130="","",F130*L130/100)</f>
        <v/>
      </c>
      <c r="J130" s="7" t="n"/>
      <c r="L130" s="7" t="n"/>
      <c r="M130" s="7" t="n"/>
      <c r="P130" s="11" t="n"/>
      <c r="S130">
        <f>IF($B130="","",IF($Y130=1,Settings!$C$6,Settings!$C$7)*1)</f>
        <v/>
      </c>
      <c r="T130" s="7">
        <f>IF($B130="","",S130*L130)</f>
        <v/>
      </c>
      <c r="U130" s="7">
        <f>IF($B130="","",L130-T130)</f>
        <v/>
      </c>
      <c r="V130" s="7">
        <f>IF($B130="","",U130-G130)</f>
        <v/>
      </c>
      <c r="W130">
        <f>IF($B130="","",IF(COUNTIF($B$2:$B130,$B130)=1,1,0))</f>
        <v/>
      </c>
      <c r="X130">
        <f>IF($W130=1,SUMPRODUCT(--($Z$2:$Z$501&lt;$Z130))+1,"")</f>
        <v/>
      </c>
      <c r="Y130">
        <f>IF($B130="","",IF(OR($R130=TRUE(),$R130="TRUE"),1,0))</f>
        <v/>
      </c>
      <c r="Z130">
        <f>IF($W130=1,IFERROR(IF(VALUE($B130)&lt;100000000,VALUE($B130),1000000000),IFERROR(IF(VALUE(MID($B130,2,20))&lt;100000000,VALUE(MID($B130,2,20)),1000000000),1000000000))+ROW()/100000,"")</f>
        <v/>
      </c>
    </row>
    <row r="131">
      <c r="A131">
        <f>IF($B131="","",IFERROR(IF(INDEX('Per Invoice'!$A$2:$A$201,MATCH($B131,'Per Invoice'!$B$2:$B$201,0))=0,"",INDEX('Per Invoice'!$A$2:$A$201,MATCH($B131,'Per Invoice'!$B$2:$B$201,0))),""))</f>
        <v/>
      </c>
      <c r="G131" s="7">
        <f>IF($B131="","",F131*L131/100)</f>
        <v/>
      </c>
      <c r="J131" s="7" t="n"/>
      <c r="L131" s="7" t="n"/>
      <c r="M131" s="7" t="n"/>
      <c r="P131" s="11" t="n"/>
      <c r="S131">
        <f>IF($B131="","",IF($Y131=1,Settings!$C$6,Settings!$C$7)*1)</f>
        <v/>
      </c>
      <c r="T131" s="7">
        <f>IF($B131="","",S131*L131)</f>
        <v/>
      </c>
      <c r="U131" s="7">
        <f>IF($B131="","",L131-T131)</f>
        <v/>
      </c>
      <c r="V131" s="7">
        <f>IF($B131="","",U131-G131)</f>
        <v/>
      </c>
      <c r="W131">
        <f>IF($B131="","",IF(COUNTIF($B$2:$B131,$B131)=1,1,0))</f>
        <v/>
      </c>
      <c r="X131">
        <f>IF($W131=1,SUMPRODUCT(--($Z$2:$Z$501&lt;$Z131))+1,"")</f>
        <v/>
      </c>
      <c r="Y131">
        <f>IF($B131="","",IF(OR($R131=TRUE(),$R131="TRUE"),1,0))</f>
        <v/>
      </c>
      <c r="Z131">
        <f>IF($W131=1,IFERROR(IF(VALUE($B131)&lt;100000000,VALUE($B131),1000000000),IFERROR(IF(VALUE(MID($B131,2,20))&lt;100000000,VALUE(MID($B131,2,20)),1000000000),1000000000))+ROW()/100000,"")</f>
        <v/>
      </c>
    </row>
    <row r="132">
      <c r="A132">
        <f>IF($B132="","",IFERROR(IF(INDEX('Per Invoice'!$A$2:$A$201,MATCH($B132,'Per Invoice'!$B$2:$B$201,0))=0,"",INDEX('Per Invoice'!$A$2:$A$201,MATCH($B132,'Per Invoice'!$B$2:$B$201,0))),""))</f>
        <v/>
      </c>
      <c r="G132" s="7">
        <f>IF($B132="","",F132*L132/100)</f>
        <v/>
      </c>
      <c r="J132" s="7" t="n"/>
      <c r="L132" s="7" t="n"/>
      <c r="M132" s="7" t="n"/>
      <c r="P132" s="11" t="n"/>
      <c r="S132">
        <f>IF($B132="","",IF($Y132=1,Settings!$C$6,Settings!$C$7)*1)</f>
        <v/>
      </c>
      <c r="T132" s="7">
        <f>IF($B132="","",S132*L132)</f>
        <v/>
      </c>
      <c r="U132" s="7">
        <f>IF($B132="","",L132-T132)</f>
        <v/>
      </c>
      <c r="V132" s="7">
        <f>IF($B132="","",U132-G132)</f>
        <v/>
      </c>
      <c r="W132">
        <f>IF($B132="","",IF(COUNTIF($B$2:$B132,$B132)=1,1,0))</f>
        <v/>
      </c>
      <c r="X132">
        <f>IF($W132=1,SUMPRODUCT(--($Z$2:$Z$501&lt;$Z132))+1,"")</f>
        <v/>
      </c>
      <c r="Y132">
        <f>IF($B132="","",IF(OR($R132=TRUE(),$R132="TRUE"),1,0))</f>
        <v/>
      </c>
      <c r="Z132">
        <f>IF($W132=1,IFERROR(IF(VALUE($B132)&lt;100000000,VALUE($B132),1000000000),IFERROR(IF(VALUE(MID($B132,2,20))&lt;100000000,VALUE(MID($B132,2,20)),1000000000),1000000000))+ROW()/100000,"")</f>
        <v/>
      </c>
    </row>
    <row r="133">
      <c r="A133">
        <f>IF($B133="","",IFERROR(IF(INDEX('Per Invoice'!$A$2:$A$201,MATCH($B133,'Per Invoice'!$B$2:$B$201,0))=0,"",INDEX('Per Invoice'!$A$2:$A$201,MATCH($B133,'Per Invoice'!$B$2:$B$201,0))),""))</f>
        <v/>
      </c>
      <c r="G133" s="7">
        <f>IF($B133="","",F133*L133/100)</f>
        <v/>
      </c>
      <c r="J133" s="7" t="n"/>
      <c r="L133" s="7" t="n"/>
      <c r="M133" s="7" t="n"/>
      <c r="P133" s="11" t="n"/>
      <c r="S133">
        <f>IF($B133="","",IF($Y133=1,Settings!$C$6,Settings!$C$7)*1)</f>
        <v/>
      </c>
      <c r="T133" s="7">
        <f>IF($B133="","",S133*L133)</f>
        <v/>
      </c>
      <c r="U133" s="7">
        <f>IF($B133="","",L133-T133)</f>
        <v/>
      </c>
      <c r="V133" s="7">
        <f>IF($B133="","",U133-G133)</f>
        <v/>
      </c>
      <c r="W133">
        <f>IF($B133="","",IF(COUNTIF($B$2:$B133,$B133)=1,1,0))</f>
        <v/>
      </c>
      <c r="X133">
        <f>IF($W133=1,SUMPRODUCT(--($Z$2:$Z$501&lt;$Z133))+1,"")</f>
        <v/>
      </c>
      <c r="Y133">
        <f>IF($B133="","",IF(OR($R133=TRUE(),$R133="TRUE"),1,0))</f>
        <v/>
      </c>
      <c r="Z133">
        <f>IF($W133=1,IFERROR(IF(VALUE($B133)&lt;100000000,VALUE($B133),1000000000),IFERROR(IF(VALUE(MID($B133,2,20))&lt;100000000,VALUE(MID($B133,2,20)),1000000000),1000000000))+ROW()/100000,"")</f>
        <v/>
      </c>
    </row>
    <row r="134">
      <c r="A134">
        <f>IF($B134="","",IFERROR(IF(INDEX('Per Invoice'!$A$2:$A$201,MATCH($B134,'Per Invoice'!$B$2:$B$201,0))=0,"",INDEX('Per Invoice'!$A$2:$A$201,MATCH($B134,'Per Invoice'!$B$2:$B$201,0))),""))</f>
        <v/>
      </c>
      <c r="G134" s="7">
        <f>IF($B134="","",F134*L134/100)</f>
        <v/>
      </c>
      <c r="J134" s="7" t="n"/>
      <c r="L134" s="7" t="n"/>
      <c r="M134" s="7" t="n"/>
      <c r="P134" s="11" t="n"/>
      <c r="S134">
        <f>IF($B134="","",IF($Y134=1,Settings!$C$6,Settings!$C$7)*1)</f>
        <v/>
      </c>
      <c r="T134" s="7">
        <f>IF($B134="","",S134*L134)</f>
        <v/>
      </c>
      <c r="U134" s="7">
        <f>IF($B134="","",L134-T134)</f>
        <v/>
      </c>
      <c r="V134" s="7">
        <f>IF($B134="","",U134-G134)</f>
        <v/>
      </c>
      <c r="W134">
        <f>IF($B134="","",IF(COUNTIF($B$2:$B134,$B134)=1,1,0))</f>
        <v/>
      </c>
      <c r="X134">
        <f>IF($W134=1,SUMPRODUCT(--($Z$2:$Z$501&lt;$Z134))+1,"")</f>
        <v/>
      </c>
      <c r="Y134">
        <f>IF($B134="","",IF(OR($R134=TRUE(),$R134="TRUE"),1,0))</f>
        <v/>
      </c>
      <c r="Z134">
        <f>IF($W134=1,IFERROR(IF(VALUE($B134)&lt;100000000,VALUE($B134),1000000000),IFERROR(IF(VALUE(MID($B134,2,20))&lt;100000000,VALUE(MID($B134,2,20)),1000000000),1000000000))+ROW()/100000,"")</f>
        <v/>
      </c>
    </row>
    <row r="135">
      <c r="A135">
        <f>IF($B135="","",IFERROR(IF(INDEX('Per Invoice'!$A$2:$A$201,MATCH($B135,'Per Invoice'!$B$2:$B$201,0))=0,"",INDEX('Per Invoice'!$A$2:$A$201,MATCH($B135,'Per Invoice'!$B$2:$B$201,0))),""))</f>
        <v/>
      </c>
      <c r="G135" s="7">
        <f>IF($B135="","",F135*L135/100)</f>
        <v/>
      </c>
      <c r="J135" s="7" t="n"/>
      <c r="L135" s="7" t="n"/>
      <c r="M135" s="7" t="n"/>
      <c r="P135" s="11" t="n"/>
      <c r="S135">
        <f>IF($B135="","",IF($Y135=1,Settings!$C$6,Settings!$C$7)*1)</f>
        <v/>
      </c>
      <c r="T135" s="7">
        <f>IF($B135="","",S135*L135)</f>
        <v/>
      </c>
      <c r="U135" s="7">
        <f>IF($B135="","",L135-T135)</f>
        <v/>
      </c>
      <c r="V135" s="7">
        <f>IF($B135="","",U135-G135)</f>
        <v/>
      </c>
      <c r="W135">
        <f>IF($B135="","",IF(COUNTIF($B$2:$B135,$B135)=1,1,0))</f>
        <v/>
      </c>
      <c r="X135">
        <f>IF($W135=1,SUMPRODUCT(--($Z$2:$Z$501&lt;$Z135))+1,"")</f>
        <v/>
      </c>
      <c r="Y135">
        <f>IF($B135="","",IF(OR($R135=TRUE(),$R135="TRUE"),1,0))</f>
        <v/>
      </c>
      <c r="Z135">
        <f>IF($W135=1,IFERROR(IF(VALUE($B135)&lt;100000000,VALUE($B135),1000000000),IFERROR(IF(VALUE(MID($B135,2,20))&lt;100000000,VALUE(MID($B135,2,20)),1000000000),1000000000))+ROW()/100000,"")</f>
        <v/>
      </c>
    </row>
    <row r="136">
      <c r="A136">
        <f>IF($B136="","",IFERROR(IF(INDEX('Per Invoice'!$A$2:$A$201,MATCH($B136,'Per Invoice'!$B$2:$B$201,0))=0,"",INDEX('Per Invoice'!$A$2:$A$201,MATCH($B136,'Per Invoice'!$B$2:$B$201,0))),""))</f>
        <v/>
      </c>
      <c r="G136" s="7">
        <f>IF($B136="","",F136*L136/100)</f>
        <v/>
      </c>
      <c r="J136" s="7" t="n"/>
      <c r="L136" s="7" t="n"/>
      <c r="M136" s="7" t="n"/>
      <c r="P136" s="11" t="n"/>
      <c r="S136">
        <f>IF($B136="","",IF($Y136=1,Settings!$C$6,Settings!$C$7)*1)</f>
        <v/>
      </c>
      <c r="T136" s="7">
        <f>IF($B136="","",S136*L136)</f>
        <v/>
      </c>
      <c r="U136" s="7">
        <f>IF($B136="","",L136-T136)</f>
        <v/>
      </c>
      <c r="V136" s="7">
        <f>IF($B136="","",U136-G136)</f>
        <v/>
      </c>
      <c r="W136">
        <f>IF($B136="","",IF(COUNTIF($B$2:$B136,$B136)=1,1,0))</f>
        <v/>
      </c>
      <c r="X136">
        <f>IF($W136=1,SUMPRODUCT(--($Z$2:$Z$501&lt;$Z136))+1,"")</f>
        <v/>
      </c>
      <c r="Y136">
        <f>IF($B136="","",IF(OR($R136=TRUE(),$R136="TRUE"),1,0))</f>
        <v/>
      </c>
      <c r="Z136">
        <f>IF($W136=1,IFERROR(IF(VALUE($B136)&lt;100000000,VALUE($B136),1000000000),IFERROR(IF(VALUE(MID($B136,2,20))&lt;100000000,VALUE(MID($B136,2,20)),1000000000),1000000000))+ROW()/100000,"")</f>
        <v/>
      </c>
    </row>
    <row r="137">
      <c r="A137">
        <f>IF($B137="","",IFERROR(IF(INDEX('Per Invoice'!$A$2:$A$201,MATCH($B137,'Per Invoice'!$B$2:$B$201,0))=0,"",INDEX('Per Invoice'!$A$2:$A$201,MATCH($B137,'Per Invoice'!$B$2:$B$201,0))),""))</f>
        <v/>
      </c>
      <c r="G137" s="7">
        <f>IF($B137="","",F137*L137/100)</f>
        <v/>
      </c>
      <c r="J137" s="7" t="n"/>
      <c r="L137" s="7" t="n"/>
      <c r="M137" s="7" t="n"/>
      <c r="P137" s="11" t="n"/>
      <c r="S137">
        <f>IF($B137="","",IF($Y137=1,Settings!$C$6,Settings!$C$7)*1)</f>
        <v/>
      </c>
      <c r="T137" s="7">
        <f>IF($B137="","",S137*L137)</f>
        <v/>
      </c>
      <c r="U137" s="7">
        <f>IF($B137="","",L137-T137)</f>
        <v/>
      </c>
      <c r="V137" s="7">
        <f>IF($B137="","",U137-G137)</f>
        <v/>
      </c>
      <c r="W137">
        <f>IF($B137="","",IF(COUNTIF($B$2:$B137,$B137)=1,1,0))</f>
        <v/>
      </c>
      <c r="X137">
        <f>IF($W137=1,SUMPRODUCT(--($Z$2:$Z$501&lt;$Z137))+1,"")</f>
        <v/>
      </c>
      <c r="Y137">
        <f>IF($B137="","",IF(OR($R137=TRUE(),$R137="TRUE"),1,0))</f>
        <v/>
      </c>
      <c r="Z137">
        <f>IF($W137=1,IFERROR(IF(VALUE($B137)&lt;100000000,VALUE($B137),1000000000),IFERROR(IF(VALUE(MID($B137,2,20))&lt;100000000,VALUE(MID($B137,2,20)),1000000000),1000000000))+ROW()/100000,"")</f>
        <v/>
      </c>
    </row>
    <row r="138">
      <c r="A138">
        <f>IF($B138="","",IFERROR(IF(INDEX('Per Invoice'!$A$2:$A$201,MATCH($B138,'Per Invoice'!$B$2:$B$201,0))=0,"",INDEX('Per Invoice'!$A$2:$A$201,MATCH($B138,'Per Invoice'!$B$2:$B$201,0))),""))</f>
        <v/>
      </c>
      <c r="G138" s="7">
        <f>IF($B138="","",F138*L138/100)</f>
        <v/>
      </c>
      <c r="J138" s="7" t="n"/>
      <c r="L138" s="7" t="n"/>
      <c r="M138" s="7" t="n"/>
      <c r="P138" s="11" t="n"/>
      <c r="S138">
        <f>IF($B138="","",IF($Y138=1,Settings!$C$6,Settings!$C$7)*1)</f>
        <v/>
      </c>
      <c r="T138" s="7">
        <f>IF($B138="","",S138*L138)</f>
        <v/>
      </c>
      <c r="U138" s="7">
        <f>IF($B138="","",L138-T138)</f>
        <v/>
      </c>
      <c r="V138" s="7">
        <f>IF($B138="","",U138-G138)</f>
        <v/>
      </c>
      <c r="W138">
        <f>IF($B138="","",IF(COUNTIF($B$2:$B138,$B138)=1,1,0))</f>
        <v/>
      </c>
      <c r="X138">
        <f>IF($W138=1,SUMPRODUCT(--($Z$2:$Z$501&lt;$Z138))+1,"")</f>
        <v/>
      </c>
      <c r="Y138">
        <f>IF($B138="","",IF(OR($R138=TRUE(),$R138="TRUE"),1,0))</f>
        <v/>
      </c>
      <c r="Z138">
        <f>IF($W138=1,IFERROR(IF(VALUE($B138)&lt;100000000,VALUE($B138),1000000000),IFERROR(IF(VALUE(MID($B138,2,20))&lt;100000000,VALUE(MID($B138,2,20)),1000000000),1000000000))+ROW()/100000,"")</f>
        <v/>
      </c>
    </row>
    <row r="139">
      <c r="A139">
        <f>IF($B139="","",IFERROR(IF(INDEX('Per Invoice'!$A$2:$A$201,MATCH($B139,'Per Invoice'!$B$2:$B$201,0))=0,"",INDEX('Per Invoice'!$A$2:$A$201,MATCH($B139,'Per Invoice'!$B$2:$B$201,0))),""))</f>
        <v/>
      </c>
      <c r="G139" s="7">
        <f>IF($B139="","",F139*L139/100)</f>
        <v/>
      </c>
      <c r="J139" s="7" t="n"/>
      <c r="L139" s="7" t="n"/>
      <c r="M139" s="7" t="n"/>
      <c r="P139" s="11" t="n"/>
      <c r="S139">
        <f>IF($B139="","",IF($Y139=1,Settings!$C$6,Settings!$C$7)*1)</f>
        <v/>
      </c>
      <c r="T139" s="7">
        <f>IF($B139="","",S139*L139)</f>
        <v/>
      </c>
      <c r="U139" s="7">
        <f>IF($B139="","",L139-T139)</f>
        <v/>
      </c>
      <c r="V139" s="7">
        <f>IF($B139="","",U139-G139)</f>
        <v/>
      </c>
      <c r="W139">
        <f>IF($B139="","",IF(COUNTIF($B$2:$B139,$B139)=1,1,0))</f>
        <v/>
      </c>
      <c r="X139">
        <f>IF($W139=1,SUMPRODUCT(--($Z$2:$Z$501&lt;$Z139))+1,"")</f>
        <v/>
      </c>
      <c r="Y139">
        <f>IF($B139="","",IF(OR($R139=TRUE(),$R139="TRUE"),1,0))</f>
        <v/>
      </c>
      <c r="Z139">
        <f>IF($W139=1,IFERROR(IF(VALUE($B139)&lt;100000000,VALUE($B139),1000000000),IFERROR(IF(VALUE(MID($B139,2,20))&lt;100000000,VALUE(MID($B139,2,20)),1000000000),1000000000))+ROW()/100000,"")</f>
        <v/>
      </c>
    </row>
    <row r="140">
      <c r="A140">
        <f>IF($B140="","",IFERROR(IF(INDEX('Per Invoice'!$A$2:$A$201,MATCH($B140,'Per Invoice'!$B$2:$B$201,0))=0,"",INDEX('Per Invoice'!$A$2:$A$201,MATCH($B140,'Per Invoice'!$B$2:$B$201,0))),""))</f>
        <v/>
      </c>
      <c r="G140" s="7">
        <f>IF($B140="","",F140*L140/100)</f>
        <v/>
      </c>
      <c r="J140" s="7" t="n"/>
      <c r="L140" s="7" t="n"/>
      <c r="M140" s="7" t="n"/>
      <c r="P140" s="11" t="n"/>
      <c r="S140">
        <f>IF($B140="","",IF($Y140=1,Settings!$C$6,Settings!$C$7)*1)</f>
        <v/>
      </c>
      <c r="T140" s="7">
        <f>IF($B140="","",S140*L140)</f>
        <v/>
      </c>
      <c r="U140" s="7">
        <f>IF($B140="","",L140-T140)</f>
        <v/>
      </c>
      <c r="V140" s="7">
        <f>IF($B140="","",U140-G140)</f>
        <v/>
      </c>
      <c r="W140">
        <f>IF($B140="","",IF(COUNTIF($B$2:$B140,$B140)=1,1,0))</f>
        <v/>
      </c>
      <c r="X140">
        <f>IF($W140=1,SUMPRODUCT(--($Z$2:$Z$501&lt;$Z140))+1,"")</f>
        <v/>
      </c>
      <c r="Y140">
        <f>IF($B140="","",IF(OR($R140=TRUE(),$R140="TRUE"),1,0))</f>
        <v/>
      </c>
      <c r="Z140">
        <f>IF($W140=1,IFERROR(IF(VALUE($B140)&lt;100000000,VALUE($B140),1000000000),IFERROR(IF(VALUE(MID($B140,2,20))&lt;100000000,VALUE(MID($B140,2,20)),1000000000),1000000000))+ROW()/100000,"")</f>
        <v/>
      </c>
    </row>
    <row r="141">
      <c r="A141">
        <f>IF($B141="","",IFERROR(IF(INDEX('Per Invoice'!$A$2:$A$201,MATCH($B141,'Per Invoice'!$B$2:$B$201,0))=0,"",INDEX('Per Invoice'!$A$2:$A$201,MATCH($B141,'Per Invoice'!$B$2:$B$201,0))),""))</f>
        <v/>
      </c>
      <c r="G141" s="7">
        <f>IF($B141="","",F141*L141/100)</f>
        <v/>
      </c>
      <c r="J141" s="7" t="n"/>
      <c r="L141" s="7" t="n"/>
      <c r="M141" s="7" t="n"/>
      <c r="P141" s="11" t="n"/>
      <c r="S141">
        <f>IF($B141="","",IF($Y141=1,Settings!$C$6,Settings!$C$7)*1)</f>
        <v/>
      </c>
      <c r="T141" s="7">
        <f>IF($B141="","",S141*L141)</f>
        <v/>
      </c>
      <c r="U141" s="7">
        <f>IF($B141="","",L141-T141)</f>
        <v/>
      </c>
      <c r="V141" s="7">
        <f>IF($B141="","",U141-G141)</f>
        <v/>
      </c>
      <c r="W141">
        <f>IF($B141="","",IF(COUNTIF($B$2:$B141,$B141)=1,1,0))</f>
        <v/>
      </c>
      <c r="X141">
        <f>IF($W141=1,SUMPRODUCT(--($Z$2:$Z$501&lt;$Z141))+1,"")</f>
        <v/>
      </c>
      <c r="Y141">
        <f>IF($B141="","",IF(OR($R141=TRUE(),$R141="TRUE"),1,0))</f>
        <v/>
      </c>
      <c r="Z141">
        <f>IF($W141=1,IFERROR(IF(VALUE($B141)&lt;100000000,VALUE($B141),1000000000),IFERROR(IF(VALUE(MID($B141,2,20))&lt;100000000,VALUE(MID($B141,2,20)),1000000000),1000000000))+ROW()/100000,"")</f>
        <v/>
      </c>
    </row>
    <row r="142">
      <c r="A142">
        <f>IF($B142="","",IFERROR(IF(INDEX('Per Invoice'!$A$2:$A$201,MATCH($B142,'Per Invoice'!$B$2:$B$201,0))=0,"",INDEX('Per Invoice'!$A$2:$A$201,MATCH($B142,'Per Invoice'!$B$2:$B$201,0))),""))</f>
        <v/>
      </c>
      <c r="G142" s="7">
        <f>IF($B142="","",F142*L142/100)</f>
        <v/>
      </c>
      <c r="J142" s="7" t="n"/>
      <c r="L142" s="7" t="n"/>
      <c r="M142" s="7" t="n"/>
      <c r="P142" s="11" t="n"/>
      <c r="S142">
        <f>IF($B142="","",IF($Y142=1,Settings!$C$6,Settings!$C$7)*1)</f>
        <v/>
      </c>
      <c r="T142" s="7">
        <f>IF($B142="","",S142*L142)</f>
        <v/>
      </c>
      <c r="U142" s="7">
        <f>IF($B142="","",L142-T142)</f>
        <v/>
      </c>
      <c r="V142" s="7">
        <f>IF($B142="","",U142-G142)</f>
        <v/>
      </c>
      <c r="W142">
        <f>IF($B142="","",IF(COUNTIF($B$2:$B142,$B142)=1,1,0))</f>
        <v/>
      </c>
      <c r="X142">
        <f>IF($W142=1,SUMPRODUCT(--($Z$2:$Z$501&lt;$Z142))+1,"")</f>
        <v/>
      </c>
      <c r="Y142">
        <f>IF($B142="","",IF(OR($R142=TRUE(),$R142="TRUE"),1,0))</f>
        <v/>
      </c>
      <c r="Z142">
        <f>IF($W142=1,IFERROR(IF(VALUE($B142)&lt;100000000,VALUE($B142),1000000000),IFERROR(IF(VALUE(MID($B142,2,20))&lt;100000000,VALUE(MID($B142,2,20)),1000000000),1000000000))+ROW()/100000,"")</f>
        <v/>
      </c>
    </row>
    <row r="143">
      <c r="A143">
        <f>IF($B143="","",IFERROR(IF(INDEX('Per Invoice'!$A$2:$A$201,MATCH($B143,'Per Invoice'!$B$2:$B$201,0))=0,"",INDEX('Per Invoice'!$A$2:$A$201,MATCH($B143,'Per Invoice'!$B$2:$B$201,0))),""))</f>
        <v/>
      </c>
      <c r="G143" s="7">
        <f>IF($B143="","",F143*L143/100)</f>
        <v/>
      </c>
      <c r="J143" s="7" t="n"/>
      <c r="L143" s="7" t="n"/>
      <c r="M143" s="7" t="n"/>
      <c r="P143" s="11" t="n"/>
      <c r="S143">
        <f>IF($B143="","",IF($Y143=1,Settings!$C$6,Settings!$C$7)*1)</f>
        <v/>
      </c>
      <c r="T143" s="7">
        <f>IF($B143="","",S143*L143)</f>
        <v/>
      </c>
      <c r="U143" s="7">
        <f>IF($B143="","",L143-T143)</f>
        <v/>
      </c>
      <c r="V143" s="7">
        <f>IF($B143="","",U143-G143)</f>
        <v/>
      </c>
      <c r="W143">
        <f>IF($B143="","",IF(COUNTIF($B$2:$B143,$B143)=1,1,0))</f>
        <v/>
      </c>
      <c r="X143">
        <f>IF($W143=1,SUMPRODUCT(--($Z$2:$Z$501&lt;$Z143))+1,"")</f>
        <v/>
      </c>
      <c r="Y143">
        <f>IF($B143="","",IF(OR($R143=TRUE(),$R143="TRUE"),1,0))</f>
        <v/>
      </c>
      <c r="Z143">
        <f>IF($W143=1,IFERROR(IF(VALUE($B143)&lt;100000000,VALUE($B143),1000000000),IFERROR(IF(VALUE(MID($B143,2,20))&lt;100000000,VALUE(MID($B143,2,20)),1000000000),1000000000))+ROW()/100000,"")</f>
        <v/>
      </c>
    </row>
    <row r="144">
      <c r="A144">
        <f>IF($B144="","",IFERROR(IF(INDEX('Per Invoice'!$A$2:$A$201,MATCH($B144,'Per Invoice'!$B$2:$B$201,0))=0,"",INDEX('Per Invoice'!$A$2:$A$201,MATCH($B144,'Per Invoice'!$B$2:$B$201,0))),""))</f>
        <v/>
      </c>
      <c r="G144" s="7">
        <f>IF($B144="","",F144*L144/100)</f>
        <v/>
      </c>
      <c r="J144" s="7" t="n"/>
      <c r="L144" s="7" t="n"/>
      <c r="M144" s="7" t="n"/>
      <c r="P144" s="11" t="n"/>
      <c r="S144">
        <f>IF($B144="","",IF($Y144=1,Settings!$C$6,Settings!$C$7)*1)</f>
        <v/>
      </c>
      <c r="T144" s="7">
        <f>IF($B144="","",S144*L144)</f>
        <v/>
      </c>
      <c r="U144" s="7">
        <f>IF($B144="","",L144-T144)</f>
        <v/>
      </c>
      <c r="V144" s="7">
        <f>IF($B144="","",U144-G144)</f>
        <v/>
      </c>
      <c r="W144">
        <f>IF($B144="","",IF(COUNTIF($B$2:$B144,$B144)=1,1,0))</f>
        <v/>
      </c>
      <c r="X144">
        <f>IF($W144=1,SUMPRODUCT(--($Z$2:$Z$501&lt;$Z144))+1,"")</f>
        <v/>
      </c>
      <c r="Y144">
        <f>IF($B144="","",IF(OR($R144=TRUE(),$R144="TRUE"),1,0))</f>
        <v/>
      </c>
      <c r="Z144">
        <f>IF($W144=1,IFERROR(IF(VALUE($B144)&lt;100000000,VALUE($B144),1000000000),IFERROR(IF(VALUE(MID($B144,2,20))&lt;100000000,VALUE(MID($B144,2,20)),1000000000),1000000000))+ROW()/100000,"")</f>
        <v/>
      </c>
    </row>
    <row r="145">
      <c r="A145">
        <f>IF($B145="","",IFERROR(IF(INDEX('Per Invoice'!$A$2:$A$201,MATCH($B145,'Per Invoice'!$B$2:$B$201,0))=0,"",INDEX('Per Invoice'!$A$2:$A$201,MATCH($B145,'Per Invoice'!$B$2:$B$201,0))),""))</f>
        <v/>
      </c>
      <c r="G145" s="7">
        <f>IF($B145="","",F145*L145/100)</f>
        <v/>
      </c>
      <c r="J145" s="7" t="n"/>
      <c r="L145" s="7" t="n"/>
      <c r="M145" s="7" t="n"/>
      <c r="P145" s="11" t="n"/>
      <c r="S145">
        <f>IF($B145="","",IF($Y145=1,Settings!$C$6,Settings!$C$7)*1)</f>
        <v/>
      </c>
      <c r="T145" s="7">
        <f>IF($B145="","",S145*L145)</f>
        <v/>
      </c>
      <c r="U145" s="7">
        <f>IF($B145="","",L145-T145)</f>
        <v/>
      </c>
      <c r="V145" s="7">
        <f>IF($B145="","",U145-G145)</f>
        <v/>
      </c>
      <c r="W145">
        <f>IF($B145="","",IF(COUNTIF($B$2:$B145,$B145)=1,1,0))</f>
        <v/>
      </c>
      <c r="X145">
        <f>IF($W145=1,SUMPRODUCT(--($Z$2:$Z$501&lt;$Z145))+1,"")</f>
        <v/>
      </c>
      <c r="Y145">
        <f>IF($B145="","",IF(OR($R145=TRUE(),$R145="TRUE"),1,0))</f>
        <v/>
      </c>
      <c r="Z145">
        <f>IF($W145=1,IFERROR(IF(VALUE($B145)&lt;100000000,VALUE($B145),1000000000),IFERROR(IF(VALUE(MID($B145,2,20))&lt;100000000,VALUE(MID($B145,2,20)),1000000000),1000000000))+ROW()/100000,"")</f>
        <v/>
      </c>
    </row>
    <row r="146">
      <c r="A146">
        <f>IF($B146="","",IFERROR(IF(INDEX('Per Invoice'!$A$2:$A$201,MATCH($B146,'Per Invoice'!$B$2:$B$201,0))=0,"",INDEX('Per Invoice'!$A$2:$A$201,MATCH($B146,'Per Invoice'!$B$2:$B$201,0))),""))</f>
        <v/>
      </c>
      <c r="G146" s="7">
        <f>IF($B146="","",F146*L146/100)</f>
        <v/>
      </c>
      <c r="J146" s="7" t="n"/>
      <c r="L146" s="7" t="n"/>
      <c r="M146" s="7" t="n"/>
      <c r="P146" s="11" t="n"/>
      <c r="S146">
        <f>IF($B146="","",IF($Y146=1,Settings!$C$6,Settings!$C$7)*1)</f>
        <v/>
      </c>
      <c r="T146" s="7">
        <f>IF($B146="","",S146*L146)</f>
        <v/>
      </c>
      <c r="U146" s="7">
        <f>IF($B146="","",L146-T146)</f>
        <v/>
      </c>
      <c r="V146" s="7">
        <f>IF($B146="","",U146-G146)</f>
        <v/>
      </c>
      <c r="W146">
        <f>IF($B146="","",IF(COUNTIF($B$2:$B146,$B146)=1,1,0))</f>
        <v/>
      </c>
      <c r="X146">
        <f>IF($W146=1,SUMPRODUCT(--($Z$2:$Z$501&lt;$Z146))+1,"")</f>
        <v/>
      </c>
      <c r="Y146">
        <f>IF($B146="","",IF(OR($R146=TRUE(),$R146="TRUE"),1,0))</f>
        <v/>
      </c>
      <c r="Z146">
        <f>IF($W146=1,IFERROR(IF(VALUE($B146)&lt;100000000,VALUE($B146),1000000000),IFERROR(IF(VALUE(MID($B146,2,20))&lt;100000000,VALUE(MID($B146,2,20)),1000000000),1000000000))+ROW()/100000,"")</f>
        <v/>
      </c>
    </row>
    <row r="147">
      <c r="A147">
        <f>IF($B147="","",IFERROR(IF(INDEX('Per Invoice'!$A$2:$A$201,MATCH($B147,'Per Invoice'!$B$2:$B$201,0))=0,"",INDEX('Per Invoice'!$A$2:$A$201,MATCH($B147,'Per Invoice'!$B$2:$B$201,0))),""))</f>
        <v/>
      </c>
      <c r="G147" s="7">
        <f>IF($B147="","",F147*L147/100)</f>
        <v/>
      </c>
      <c r="J147" s="7" t="n"/>
      <c r="L147" s="7" t="n"/>
      <c r="M147" s="7" t="n"/>
      <c r="P147" s="11" t="n"/>
      <c r="S147">
        <f>IF($B147="","",IF($Y147=1,Settings!$C$6,Settings!$C$7)*1)</f>
        <v/>
      </c>
      <c r="T147" s="7">
        <f>IF($B147="","",S147*L147)</f>
        <v/>
      </c>
      <c r="U147" s="7">
        <f>IF($B147="","",L147-T147)</f>
        <v/>
      </c>
      <c r="V147" s="7">
        <f>IF($B147="","",U147-G147)</f>
        <v/>
      </c>
      <c r="W147">
        <f>IF($B147="","",IF(COUNTIF($B$2:$B147,$B147)=1,1,0))</f>
        <v/>
      </c>
      <c r="X147">
        <f>IF($W147=1,SUMPRODUCT(--($Z$2:$Z$501&lt;$Z147))+1,"")</f>
        <v/>
      </c>
      <c r="Y147">
        <f>IF($B147="","",IF(OR($R147=TRUE(),$R147="TRUE"),1,0))</f>
        <v/>
      </c>
      <c r="Z147">
        <f>IF($W147=1,IFERROR(IF(VALUE($B147)&lt;100000000,VALUE($B147),1000000000),IFERROR(IF(VALUE(MID($B147,2,20))&lt;100000000,VALUE(MID($B147,2,20)),1000000000),1000000000))+ROW()/100000,"")</f>
        <v/>
      </c>
    </row>
    <row r="148">
      <c r="A148">
        <f>IF($B148="","",IFERROR(IF(INDEX('Per Invoice'!$A$2:$A$201,MATCH($B148,'Per Invoice'!$B$2:$B$201,0))=0,"",INDEX('Per Invoice'!$A$2:$A$201,MATCH($B148,'Per Invoice'!$B$2:$B$201,0))),""))</f>
        <v/>
      </c>
      <c r="G148" s="7">
        <f>IF($B148="","",F148*L148/100)</f>
        <v/>
      </c>
      <c r="J148" s="7" t="n"/>
      <c r="L148" s="7" t="n"/>
      <c r="M148" s="7" t="n"/>
      <c r="P148" s="11" t="n"/>
      <c r="S148">
        <f>IF($B148="","",IF($Y148=1,Settings!$C$6,Settings!$C$7)*1)</f>
        <v/>
      </c>
      <c r="T148" s="7">
        <f>IF($B148="","",S148*L148)</f>
        <v/>
      </c>
      <c r="U148" s="7">
        <f>IF($B148="","",L148-T148)</f>
        <v/>
      </c>
      <c r="V148" s="7">
        <f>IF($B148="","",U148-G148)</f>
        <v/>
      </c>
      <c r="W148">
        <f>IF($B148="","",IF(COUNTIF($B$2:$B148,$B148)=1,1,0))</f>
        <v/>
      </c>
      <c r="X148">
        <f>IF($W148=1,SUMPRODUCT(--($Z$2:$Z$501&lt;$Z148))+1,"")</f>
        <v/>
      </c>
      <c r="Y148">
        <f>IF($B148="","",IF(OR($R148=TRUE(),$R148="TRUE"),1,0))</f>
        <v/>
      </c>
      <c r="Z148">
        <f>IF($W148=1,IFERROR(IF(VALUE($B148)&lt;100000000,VALUE($B148),1000000000),IFERROR(IF(VALUE(MID($B148,2,20))&lt;100000000,VALUE(MID($B148,2,20)),1000000000),1000000000))+ROW()/100000,"")</f>
        <v/>
      </c>
    </row>
    <row r="149">
      <c r="A149">
        <f>IF($B149="","",IFERROR(IF(INDEX('Per Invoice'!$A$2:$A$201,MATCH($B149,'Per Invoice'!$B$2:$B$201,0))=0,"",INDEX('Per Invoice'!$A$2:$A$201,MATCH($B149,'Per Invoice'!$B$2:$B$201,0))),""))</f>
        <v/>
      </c>
      <c r="G149" s="7">
        <f>IF($B149="","",F149*L149/100)</f>
        <v/>
      </c>
      <c r="J149" s="7" t="n"/>
      <c r="L149" s="7" t="n"/>
      <c r="M149" s="7" t="n"/>
      <c r="P149" s="11" t="n"/>
      <c r="S149">
        <f>IF($B149="","",IF($Y149=1,Settings!$C$6,Settings!$C$7)*1)</f>
        <v/>
      </c>
      <c r="T149" s="7">
        <f>IF($B149="","",S149*L149)</f>
        <v/>
      </c>
      <c r="U149" s="7">
        <f>IF($B149="","",L149-T149)</f>
        <v/>
      </c>
      <c r="V149" s="7">
        <f>IF($B149="","",U149-G149)</f>
        <v/>
      </c>
      <c r="W149">
        <f>IF($B149="","",IF(COUNTIF($B$2:$B149,$B149)=1,1,0))</f>
        <v/>
      </c>
      <c r="X149">
        <f>IF($W149=1,SUMPRODUCT(--($Z$2:$Z$501&lt;$Z149))+1,"")</f>
        <v/>
      </c>
      <c r="Y149">
        <f>IF($B149="","",IF(OR($R149=TRUE(),$R149="TRUE"),1,0))</f>
        <v/>
      </c>
      <c r="Z149">
        <f>IF($W149=1,IFERROR(IF(VALUE($B149)&lt;100000000,VALUE($B149),1000000000),IFERROR(IF(VALUE(MID($B149,2,20))&lt;100000000,VALUE(MID($B149,2,20)),1000000000),1000000000))+ROW()/100000,"")</f>
        <v/>
      </c>
    </row>
    <row r="150">
      <c r="A150">
        <f>IF($B150="","",IFERROR(IF(INDEX('Per Invoice'!$A$2:$A$201,MATCH($B150,'Per Invoice'!$B$2:$B$201,0))=0,"",INDEX('Per Invoice'!$A$2:$A$201,MATCH($B150,'Per Invoice'!$B$2:$B$201,0))),""))</f>
        <v/>
      </c>
      <c r="G150" s="7">
        <f>IF($B150="","",F150*L150/100)</f>
        <v/>
      </c>
      <c r="J150" s="7" t="n"/>
      <c r="L150" s="7" t="n"/>
      <c r="M150" s="7" t="n"/>
      <c r="P150" s="11" t="n"/>
      <c r="S150">
        <f>IF($B150="","",IF($Y150=1,Settings!$C$6,Settings!$C$7)*1)</f>
        <v/>
      </c>
      <c r="T150" s="7">
        <f>IF($B150="","",S150*L150)</f>
        <v/>
      </c>
      <c r="U150" s="7">
        <f>IF($B150="","",L150-T150)</f>
        <v/>
      </c>
      <c r="V150" s="7">
        <f>IF($B150="","",U150-G150)</f>
        <v/>
      </c>
      <c r="W150">
        <f>IF($B150="","",IF(COUNTIF($B$2:$B150,$B150)=1,1,0))</f>
        <v/>
      </c>
      <c r="X150">
        <f>IF($W150=1,SUMPRODUCT(--($Z$2:$Z$501&lt;$Z150))+1,"")</f>
        <v/>
      </c>
      <c r="Y150">
        <f>IF($B150="","",IF(OR($R150=TRUE(),$R150="TRUE"),1,0))</f>
        <v/>
      </c>
      <c r="Z150">
        <f>IF($W150=1,IFERROR(IF(VALUE($B150)&lt;100000000,VALUE($B150),1000000000),IFERROR(IF(VALUE(MID($B150,2,20))&lt;100000000,VALUE(MID($B150,2,20)),1000000000),1000000000))+ROW()/100000,"")</f>
        <v/>
      </c>
    </row>
    <row r="151">
      <c r="A151">
        <f>IF($B151="","",IFERROR(IF(INDEX('Per Invoice'!$A$2:$A$201,MATCH($B151,'Per Invoice'!$B$2:$B$201,0))=0,"",INDEX('Per Invoice'!$A$2:$A$201,MATCH($B151,'Per Invoice'!$B$2:$B$201,0))),""))</f>
        <v/>
      </c>
      <c r="G151" s="7">
        <f>IF($B151="","",F151*L151/100)</f>
        <v/>
      </c>
      <c r="J151" s="7" t="n"/>
      <c r="L151" s="7" t="n"/>
      <c r="M151" s="7" t="n"/>
      <c r="P151" s="11" t="n"/>
      <c r="S151">
        <f>IF($B151="","",IF($Y151=1,Settings!$C$6,Settings!$C$7)*1)</f>
        <v/>
      </c>
      <c r="T151" s="7">
        <f>IF($B151="","",S151*L151)</f>
        <v/>
      </c>
      <c r="U151" s="7">
        <f>IF($B151="","",L151-T151)</f>
        <v/>
      </c>
      <c r="V151" s="7">
        <f>IF($B151="","",U151-G151)</f>
        <v/>
      </c>
      <c r="W151">
        <f>IF($B151="","",IF(COUNTIF($B$2:$B151,$B151)=1,1,0))</f>
        <v/>
      </c>
      <c r="X151">
        <f>IF($W151=1,SUMPRODUCT(--($Z$2:$Z$501&lt;$Z151))+1,"")</f>
        <v/>
      </c>
      <c r="Y151">
        <f>IF($B151="","",IF(OR($R151=TRUE(),$R151="TRUE"),1,0))</f>
        <v/>
      </c>
      <c r="Z151">
        <f>IF($W151=1,IFERROR(IF(VALUE($B151)&lt;100000000,VALUE($B151),1000000000),IFERROR(IF(VALUE(MID($B151,2,20))&lt;100000000,VALUE(MID($B151,2,20)),1000000000),1000000000))+ROW()/100000,"")</f>
        <v/>
      </c>
    </row>
    <row r="152">
      <c r="A152">
        <f>IF($B152="","",IFERROR(IF(INDEX('Per Invoice'!$A$2:$A$201,MATCH($B152,'Per Invoice'!$B$2:$B$201,0))=0,"",INDEX('Per Invoice'!$A$2:$A$201,MATCH($B152,'Per Invoice'!$B$2:$B$201,0))),""))</f>
        <v/>
      </c>
      <c r="G152" s="7">
        <f>IF($B152="","",F152*L152/100)</f>
        <v/>
      </c>
      <c r="J152" s="7" t="n"/>
      <c r="L152" s="7" t="n"/>
      <c r="M152" s="7" t="n"/>
      <c r="P152" s="11" t="n"/>
      <c r="S152">
        <f>IF($B152="","",IF($Y152=1,Settings!$C$6,Settings!$C$7)*1)</f>
        <v/>
      </c>
      <c r="T152" s="7">
        <f>IF($B152="","",S152*L152)</f>
        <v/>
      </c>
      <c r="U152" s="7">
        <f>IF($B152="","",L152-T152)</f>
        <v/>
      </c>
      <c r="V152" s="7">
        <f>IF($B152="","",U152-G152)</f>
        <v/>
      </c>
      <c r="W152">
        <f>IF($B152="","",IF(COUNTIF($B$2:$B152,$B152)=1,1,0))</f>
        <v/>
      </c>
      <c r="X152">
        <f>IF($W152=1,SUMPRODUCT(--($Z$2:$Z$501&lt;$Z152))+1,"")</f>
        <v/>
      </c>
      <c r="Y152">
        <f>IF($B152="","",IF(OR($R152=TRUE(),$R152="TRUE"),1,0))</f>
        <v/>
      </c>
      <c r="Z152">
        <f>IF($W152=1,IFERROR(IF(VALUE($B152)&lt;100000000,VALUE($B152),1000000000),IFERROR(IF(VALUE(MID($B152,2,20))&lt;100000000,VALUE(MID($B152,2,20)),1000000000),1000000000))+ROW()/100000,"")</f>
        <v/>
      </c>
    </row>
    <row r="153">
      <c r="A153">
        <f>IF($B153="","",IFERROR(IF(INDEX('Per Invoice'!$A$2:$A$201,MATCH($B153,'Per Invoice'!$B$2:$B$201,0))=0,"",INDEX('Per Invoice'!$A$2:$A$201,MATCH($B153,'Per Invoice'!$B$2:$B$201,0))),""))</f>
        <v/>
      </c>
      <c r="G153" s="7">
        <f>IF($B153="","",F153*L153/100)</f>
        <v/>
      </c>
      <c r="J153" s="7" t="n"/>
      <c r="L153" s="7" t="n"/>
      <c r="M153" s="7" t="n"/>
      <c r="P153" s="11" t="n"/>
      <c r="S153">
        <f>IF($B153="","",IF($Y153=1,Settings!$C$6,Settings!$C$7)*1)</f>
        <v/>
      </c>
      <c r="T153" s="7">
        <f>IF($B153="","",S153*L153)</f>
        <v/>
      </c>
      <c r="U153" s="7">
        <f>IF($B153="","",L153-T153)</f>
        <v/>
      </c>
      <c r="V153" s="7">
        <f>IF($B153="","",U153-G153)</f>
        <v/>
      </c>
      <c r="W153">
        <f>IF($B153="","",IF(COUNTIF($B$2:$B153,$B153)=1,1,0))</f>
        <v/>
      </c>
      <c r="X153">
        <f>IF($W153=1,SUMPRODUCT(--($Z$2:$Z$501&lt;$Z153))+1,"")</f>
        <v/>
      </c>
      <c r="Y153">
        <f>IF($B153="","",IF(OR($R153=TRUE(),$R153="TRUE"),1,0))</f>
        <v/>
      </c>
      <c r="Z153">
        <f>IF($W153=1,IFERROR(IF(VALUE($B153)&lt;100000000,VALUE($B153),1000000000),IFERROR(IF(VALUE(MID($B153,2,20))&lt;100000000,VALUE(MID($B153,2,20)),1000000000),1000000000))+ROW()/100000,"")</f>
        <v/>
      </c>
    </row>
    <row r="154">
      <c r="A154">
        <f>IF($B154="","",IFERROR(IF(INDEX('Per Invoice'!$A$2:$A$201,MATCH($B154,'Per Invoice'!$B$2:$B$201,0))=0,"",INDEX('Per Invoice'!$A$2:$A$201,MATCH($B154,'Per Invoice'!$B$2:$B$201,0))),""))</f>
        <v/>
      </c>
      <c r="G154" s="7">
        <f>IF($B154="","",F154*L154/100)</f>
        <v/>
      </c>
      <c r="J154" s="7" t="n"/>
      <c r="L154" s="7" t="n"/>
      <c r="M154" s="7" t="n"/>
      <c r="P154" s="11" t="n"/>
      <c r="S154">
        <f>IF($B154="","",IF($Y154=1,Settings!$C$6,Settings!$C$7)*1)</f>
        <v/>
      </c>
      <c r="T154" s="7">
        <f>IF($B154="","",S154*L154)</f>
        <v/>
      </c>
      <c r="U154" s="7">
        <f>IF($B154="","",L154-T154)</f>
        <v/>
      </c>
      <c r="V154" s="7">
        <f>IF($B154="","",U154-G154)</f>
        <v/>
      </c>
      <c r="W154">
        <f>IF($B154="","",IF(COUNTIF($B$2:$B154,$B154)=1,1,0))</f>
        <v/>
      </c>
      <c r="X154">
        <f>IF($W154=1,SUMPRODUCT(--($Z$2:$Z$501&lt;$Z154))+1,"")</f>
        <v/>
      </c>
      <c r="Y154">
        <f>IF($B154="","",IF(OR($R154=TRUE(),$R154="TRUE"),1,0))</f>
        <v/>
      </c>
      <c r="Z154">
        <f>IF($W154=1,IFERROR(IF(VALUE($B154)&lt;100000000,VALUE($B154),1000000000),IFERROR(IF(VALUE(MID($B154,2,20))&lt;100000000,VALUE(MID($B154,2,20)),1000000000),1000000000))+ROW()/100000,"")</f>
        <v/>
      </c>
    </row>
    <row r="155">
      <c r="A155">
        <f>IF($B155="","",IFERROR(IF(INDEX('Per Invoice'!$A$2:$A$201,MATCH($B155,'Per Invoice'!$B$2:$B$201,0))=0,"",INDEX('Per Invoice'!$A$2:$A$201,MATCH($B155,'Per Invoice'!$B$2:$B$201,0))),""))</f>
        <v/>
      </c>
      <c r="G155" s="7">
        <f>IF($B155="","",F155*L155/100)</f>
        <v/>
      </c>
      <c r="J155" s="7" t="n"/>
      <c r="L155" s="7" t="n"/>
      <c r="M155" s="7" t="n"/>
      <c r="P155" s="11" t="n"/>
      <c r="S155">
        <f>IF($B155="","",IF($Y155=1,Settings!$C$6,Settings!$C$7)*1)</f>
        <v/>
      </c>
      <c r="T155" s="7">
        <f>IF($B155="","",S155*L155)</f>
        <v/>
      </c>
      <c r="U155" s="7">
        <f>IF($B155="","",L155-T155)</f>
        <v/>
      </c>
      <c r="V155" s="7">
        <f>IF($B155="","",U155-G155)</f>
        <v/>
      </c>
      <c r="W155">
        <f>IF($B155="","",IF(COUNTIF($B$2:$B155,$B155)=1,1,0))</f>
        <v/>
      </c>
      <c r="X155">
        <f>IF($W155=1,SUMPRODUCT(--($Z$2:$Z$501&lt;$Z155))+1,"")</f>
        <v/>
      </c>
      <c r="Y155">
        <f>IF($B155="","",IF(OR($R155=TRUE(),$R155="TRUE"),1,0))</f>
        <v/>
      </c>
      <c r="Z155">
        <f>IF($W155=1,IFERROR(IF(VALUE($B155)&lt;100000000,VALUE($B155),1000000000),IFERROR(IF(VALUE(MID($B155,2,20))&lt;100000000,VALUE(MID($B155,2,20)),1000000000),1000000000))+ROW()/100000,"")</f>
        <v/>
      </c>
    </row>
    <row r="156">
      <c r="A156">
        <f>IF($B156="","",IFERROR(IF(INDEX('Per Invoice'!$A$2:$A$201,MATCH($B156,'Per Invoice'!$B$2:$B$201,0))=0,"",INDEX('Per Invoice'!$A$2:$A$201,MATCH($B156,'Per Invoice'!$B$2:$B$201,0))),""))</f>
        <v/>
      </c>
      <c r="G156" s="7">
        <f>IF($B156="","",F156*L156/100)</f>
        <v/>
      </c>
      <c r="J156" s="7" t="n"/>
      <c r="L156" s="7" t="n"/>
      <c r="M156" s="7" t="n"/>
      <c r="P156" s="11" t="n"/>
      <c r="S156">
        <f>IF($B156="","",IF($Y156=1,Settings!$C$6,Settings!$C$7)*1)</f>
        <v/>
      </c>
      <c r="T156" s="7">
        <f>IF($B156="","",S156*L156)</f>
        <v/>
      </c>
      <c r="U156" s="7">
        <f>IF($B156="","",L156-T156)</f>
        <v/>
      </c>
      <c r="V156" s="7">
        <f>IF($B156="","",U156-G156)</f>
        <v/>
      </c>
      <c r="W156">
        <f>IF($B156="","",IF(COUNTIF($B$2:$B156,$B156)=1,1,0))</f>
        <v/>
      </c>
      <c r="X156">
        <f>IF($W156=1,SUMPRODUCT(--($Z$2:$Z$501&lt;$Z156))+1,"")</f>
        <v/>
      </c>
      <c r="Y156">
        <f>IF($B156="","",IF(OR($R156=TRUE(),$R156="TRUE"),1,0))</f>
        <v/>
      </c>
      <c r="Z156">
        <f>IF($W156=1,IFERROR(IF(VALUE($B156)&lt;100000000,VALUE($B156),1000000000),IFERROR(IF(VALUE(MID($B156,2,20))&lt;100000000,VALUE(MID($B156,2,20)),1000000000),1000000000))+ROW()/100000,"")</f>
        <v/>
      </c>
    </row>
    <row r="157">
      <c r="A157">
        <f>IF($B157="","",IFERROR(IF(INDEX('Per Invoice'!$A$2:$A$201,MATCH($B157,'Per Invoice'!$B$2:$B$201,0))=0,"",INDEX('Per Invoice'!$A$2:$A$201,MATCH($B157,'Per Invoice'!$B$2:$B$201,0))),""))</f>
        <v/>
      </c>
      <c r="G157" s="7">
        <f>IF($B157="","",F157*L157/100)</f>
        <v/>
      </c>
      <c r="J157" s="7" t="n"/>
      <c r="L157" s="7" t="n"/>
      <c r="M157" s="7" t="n"/>
      <c r="P157" s="11" t="n"/>
      <c r="S157">
        <f>IF($B157="","",IF($Y157=1,Settings!$C$6,Settings!$C$7)*1)</f>
        <v/>
      </c>
      <c r="T157" s="7">
        <f>IF($B157="","",S157*L157)</f>
        <v/>
      </c>
      <c r="U157" s="7">
        <f>IF($B157="","",L157-T157)</f>
        <v/>
      </c>
      <c r="V157" s="7">
        <f>IF($B157="","",U157-G157)</f>
        <v/>
      </c>
      <c r="W157">
        <f>IF($B157="","",IF(COUNTIF($B$2:$B157,$B157)=1,1,0))</f>
        <v/>
      </c>
      <c r="X157">
        <f>IF($W157=1,SUMPRODUCT(--($Z$2:$Z$501&lt;$Z157))+1,"")</f>
        <v/>
      </c>
      <c r="Y157">
        <f>IF($B157="","",IF(OR($R157=TRUE(),$R157="TRUE"),1,0))</f>
        <v/>
      </c>
      <c r="Z157">
        <f>IF($W157=1,IFERROR(IF(VALUE($B157)&lt;100000000,VALUE($B157),1000000000),IFERROR(IF(VALUE(MID($B157,2,20))&lt;100000000,VALUE(MID($B157,2,20)),1000000000),1000000000))+ROW()/100000,"")</f>
        <v/>
      </c>
    </row>
    <row r="158">
      <c r="A158">
        <f>IF($B158="","",IFERROR(IF(INDEX('Per Invoice'!$A$2:$A$201,MATCH($B158,'Per Invoice'!$B$2:$B$201,0))=0,"",INDEX('Per Invoice'!$A$2:$A$201,MATCH($B158,'Per Invoice'!$B$2:$B$201,0))),""))</f>
        <v/>
      </c>
      <c r="G158" s="7">
        <f>IF($B158="","",F158*L158/100)</f>
        <v/>
      </c>
      <c r="J158" s="7" t="n"/>
      <c r="L158" s="7" t="n"/>
      <c r="M158" s="7" t="n"/>
      <c r="P158" s="11" t="n"/>
      <c r="S158">
        <f>IF($B158="","",IF($Y158=1,Settings!$C$6,Settings!$C$7)*1)</f>
        <v/>
      </c>
      <c r="T158" s="7">
        <f>IF($B158="","",S158*L158)</f>
        <v/>
      </c>
      <c r="U158" s="7">
        <f>IF($B158="","",L158-T158)</f>
        <v/>
      </c>
      <c r="V158" s="7">
        <f>IF($B158="","",U158-G158)</f>
        <v/>
      </c>
      <c r="W158">
        <f>IF($B158="","",IF(COUNTIF($B$2:$B158,$B158)=1,1,0))</f>
        <v/>
      </c>
      <c r="X158">
        <f>IF($W158=1,SUMPRODUCT(--($Z$2:$Z$501&lt;$Z158))+1,"")</f>
        <v/>
      </c>
      <c r="Y158">
        <f>IF($B158="","",IF(OR($R158=TRUE(),$R158="TRUE"),1,0))</f>
        <v/>
      </c>
      <c r="Z158">
        <f>IF($W158=1,IFERROR(IF(VALUE($B158)&lt;100000000,VALUE($B158),1000000000),IFERROR(IF(VALUE(MID($B158,2,20))&lt;100000000,VALUE(MID($B158,2,20)),1000000000),1000000000))+ROW()/100000,"")</f>
        <v/>
      </c>
    </row>
    <row r="159">
      <c r="A159">
        <f>IF($B159="","",IFERROR(IF(INDEX('Per Invoice'!$A$2:$A$201,MATCH($B159,'Per Invoice'!$B$2:$B$201,0))=0,"",INDEX('Per Invoice'!$A$2:$A$201,MATCH($B159,'Per Invoice'!$B$2:$B$201,0))),""))</f>
        <v/>
      </c>
      <c r="G159" s="7">
        <f>IF($B159="","",F159*L159/100)</f>
        <v/>
      </c>
      <c r="J159" s="7" t="n"/>
      <c r="L159" s="7" t="n"/>
      <c r="M159" s="7" t="n"/>
      <c r="P159" s="11" t="n"/>
      <c r="S159">
        <f>IF($B159="","",IF($Y159=1,Settings!$C$6,Settings!$C$7)*1)</f>
        <v/>
      </c>
      <c r="T159" s="7">
        <f>IF($B159="","",S159*L159)</f>
        <v/>
      </c>
      <c r="U159" s="7">
        <f>IF($B159="","",L159-T159)</f>
        <v/>
      </c>
      <c r="V159" s="7">
        <f>IF($B159="","",U159-G159)</f>
        <v/>
      </c>
      <c r="W159">
        <f>IF($B159="","",IF(COUNTIF($B$2:$B159,$B159)=1,1,0))</f>
        <v/>
      </c>
      <c r="X159">
        <f>IF($W159=1,SUMPRODUCT(--($Z$2:$Z$501&lt;$Z159))+1,"")</f>
        <v/>
      </c>
      <c r="Y159">
        <f>IF($B159="","",IF(OR($R159=TRUE(),$R159="TRUE"),1,0))</f>
        <v/>
      </c>
      <c r="Z159">
        <f>IF($W159=1,IFERROR(IF(VALUE($B159)&lt;100000000,VALUE($B159),1000000000),IFERROR(IF(VALUE(MID($B159,2,20))&lt;100000000,VALUE(MID($B159,2,20)),1000000000),1000000000))+ROW()/100000,"")</f>
        <v/>
      </c>
    </row>
    <row r="160">
      <c r="A160">
        <f>IF($B160="","",IFERROR(IF(INDEX('Per Invoice'!$A$2:$A$201,MATCH($B160,'Per Invoice'!$B$2:$B$201,0))=0,"",INDEX('Per Invoice'!$A$2:$A$201,MATCH($B160,'Per Invoice'!$B$2:$B$201,0))),""))</f>
        <v/>
      </c>
      <c r="G160" s="7">
        <f>IF($B160="","",F160*L160/100)</f>
        <v/>
      </c>
      <c r="J160" s="7" t="n"/>
      <c r="L160" s="7" t="n"/>
      <c r="M160" s="7" t="n"/>
      <c r="P160" s="11" t="n"/>
      <c r="S160">
        <f>IF($B160="","",IF($Y160=1,Settings!$C$6,Settings!$C$7)*1)</f>
        <v/>
      </c>
      <c r="T160" s="7">
        <f>IF($B160="","",S160*L160)</f>
        <v/>
      </c>
      <c r="U160" s="7">
        <f>IF($B160="","",L160-T160)</f>
        <v/>
      </c>
      <c r="V160" s="7">
        <f>IF($B160="","",U160-G160)</f>
        <v/>
      </c>
      <c r="W160">
        <f>IF($B160="","",IF(COUNTIF($B$2:$B160,$B160)=1,1,0))</f>
        <v/>
      </c>
      <c r="X160">
        <f>IF($W160=1,SUMPRODUCT(--($Z$2:$Z$501&lt;$Z160))+1,"")</f>
        <v/>
      </c>
      <c r="Y160">
        <f>IF($B160="","",IF(OR($R160=TRUE(),$R160="TRUE"),1,0))</f>
        <v/>
      </c>
      <c r="Z160">
        <f>IF($W160=1,IFERROR(IF(VALUE($B160)&lt;100000000,VALUE($B160),1000000000),IFERROR(IF(VALUE(MID($B160,2,20))&lt;100000000,VALUE(MID($B160,2,20)),1000000000),1000000000))+ROW()/100000,"")</f>
        <v/>
      </c>
    </row>
    <row r="161">
      <c r="A161">
        <f>IF($B161="","",IFERROR(IF(INDEX('Per Invoice'!$A$2:$A$201,MATCH($B161,'Per Invoice'!$B$2:$B$201,0))=0,"",INDEX('Per Invoice'!$A$2:$A$201,MATCH($B161,'Per Invoice'!$B$2:$B$201,0))),""))</f>
        <v/>
      </c>
      <c r="G161" s="7">
        <f>IF($B161="","",F161*L161/100)</f>
        <v/>
      </c>
      <c r="J161" s="7" t="n"/>
      <c r="L161" s="7" t="n"/>
      <c r="M161" s="7" t="n"/>
      <c r="P161" s="11" t="n"/>
      <c r="S161">
        <f>IF($B161="","",IF($Y161=1,Settings!$C$6,Settings!$C$7)*1)</f>
        <v/>
      </c>
      <c r="T161" s="7">
        <f>IF($B161="","",S161*L161)</f>
        <v/>
      </c>
      <c r="U161" s="7">
        <f>IF($B161="","",L161-T161)</f>
        <v/>
      </c>
      <c r="V161" s="7">
        <f>IF($B161="","",U161-G161)</f>
        <v/>
      </c>
      <c r="W161">
        <f>IF($B161="","",IF(COUNTIF($B$2:$B161,$B161)=1,1,0))</f>
        <v/>
      </c>
      <c r="X161">
        <f>IF($W161=1,SUMPRODUCT(--($Z$2:$Z$501&lt;$Z161))+1,"")</f>
        <v/>
      </c>
      <c r="Y161">
        <f>IF($B161="","",IF(OR($R161=TRUE(),$R161="TRUE"),1,0))</f>
        <v/>
      </c>
      <c r="Z161">
        <f>IF($W161=1,IFERROR(IF(VALUE($B161)&lt;100000000,VALUE($B161),1000000000),IFERROR(IF(VALUE(MID($B161,2,20))&lt;100000000,VALUE(MID($B161,2,20)),1000000000),1000000000))+ROW()/100000,"")</f>
        <v/>
      </c>
    </row>
    <row r="162">
      <c r="A162">
        <f>IF($B162="","",IFERROR(IF(INDEX('Per Invoice'!$A$2:$A$201,MATCH($B162,'Per Invoice'!$B$2:$B$201,0))=0,"",INDEX('Per Invoice'!$A$2:$A$201,MATCH($B162,'Per Invoice'!$B$2:$B$201,0))),""))</f>
        <v/>
      </c>
      <c r="G162" s="7">
        <f>IF($B162="","",F162*L162/100)</f>
        <v/>
      </c>
      <c r="J162" s="7" t="n"/>
      <c r="L162" s="7" t="n"/>
      <c r="M162" s="7" t="n"/>
      <c r="P162" s="11" t="n"/>
      <c r="S162">
        <f>IF($B162="","",IF($Y162=1,Settings!$C$6,Settings!$C$7)*1)</f>
        <v/>
      </c>
      <c r="T162" s="7">
        <f>IF($B162="","",S162*L162)</f>
        <v/>
      </c>
      <c r="U162" s="7">
        <f>IF($B162="","",L162-T162)</f>
        <v/>
      </c>
      <c r="V162" s="7">
        <f>IF($B162="","",U162-G162)</f>
        <v/>
      </c>
      <c r="W162">
        <f>IF($B162="","",IF(COUNTIF($B$2:$B162,$B162)=1,1,0))</f>
        <v/>
      </c>
      <c r="X162">
        <f>IF($W162=1,SUMPRODUCT(--($Z$2:$Z$501&lt;$Z162))+1,"")</f>
        <v/>
      </c>
      <c r="Y162">
        <f>IF($B162="","",IF(OR($R162=TRUE(),$R162="TRUE"),1,0))</f>
        <v/>
      </c>
      <c r="Z162">
        <f>IF($W162=1,IFERROR(IF(VALUE($B162)&lt;100000000,VALUE($B162),1000000000),IFERROR(IF(VALUE(MID($B162,2,20))&lt;100000000,VALUE(MID($B162,2,20)),1000000000),1000000000))+ROW()/100000,"")</f>
        <v/>
      </c>
    </row>
    <row r="163">
      <c r="A163">
        <f>IF($B163="","",IFERROR(IF(INDEX('Per Invoice'!$A$2:$A$201,MATCH($B163,'Per Invoice'!$B$2:$B$201,0))=0,"",INDEX('Per Invoice'!$A$2:$A$201,MATCH($B163,'Per Invoice'!$B$2:$B$201,0))),""))</f>
        <v/>
      </c>
      <c r="G163" s="7">
        <f>IF($B163="","",F163*L163/100)</f>
        <v/>
      </c>
      <c r="J163" s="7" t="n"/>
      <c r="L163" s="7" t="n"/>
      <c r="M163" s="7" t="n"/>
      <c r="P163" s="11" t="n"/>
      <c r="S163">
        <f>IF($B163="","",IF($Y163=1,Settings!$C$6,Settings!$C$7)*1)</f>
        <v/>
      </c>
      <c r="T163" s="7">
        <f>IF($B163="","",S163*L163)</f>
        <v/>
      </c>
      <c r="U163" s="7">
        <f>IF($B163="","",L163-T163)</f>
        <v/>
      </c>
      <c r="V163" s="7">
        <f>IF($B163="","",U163-G163)</f>
        <v/>
      </c>
      <c r="W163">
        <f>IF($B163="","",IF(COUNTIF($B$2:$B163,$B163)=1,1,0))</f>
        <v/>
      </c>
      <c r="X163">
        <f>IF($W163=1,SUMPRODUCT(--($Z$2:$Z$501&lt;$Z163))+1,"")</f>
        <v/>
      </c>
      <c r="Y163">
        <f>IF($B163="","",IF(OR($R163=TRUE(),$R163="TRUE"),1,0))</f>
        <v/>
      </c>
      <c r="Z163">
        <f>IF($W163=1,IFERROR(IF(VALUE($B163)&lt;100000000,VALUE($B163),1000000000),IFERROR(IF(VALUE(MID($B163,2,20))&lt;100000000,VALUE(MID($B163,2,20)),1000000000),1000000000))+ROW()/100000,"")</f>
        <v/>
      </c>
    </row>
    <row r="164">
      <c r="A164">
        <f>IF($B164="","",IFERROR(IF(INDEX('Per Invoice'!$A$2:$A$201,MATCH($B164,'Per Invoice'!$B$2:$B$201,0))=0,"",INDEX('Per Invoice'!$A$2:$A$201,MATCH($B164,'Per Invoice'!$B$2:$B$201,0))),""))</f>
        <v/>
      </c>
      <c r="G164" s="7">
        <f>IF($B164="","",F164*L164/100)</f>
        <v/>
      </c>
      <c r="J164" s="7" t="n"/>
      <c r="L164" s="7" t="n"/>
      <c r="M164" s="7" t="n"/>
      <c r="P164" s="11" t="n"/>
      <c r="S164">
        <f>IF($B164="","",IF($Y164=1,Settings!$C$6,Settings!$C$7)*1)</f>
        <v/>
      </c>
      <c r="T164" s="7">
        <f>IF($B164="","",S164*L164)</f>
        <v/>
      </c>
      <c r="U164" s="7">
        <f>IF($B164="","",L164-T164)</f>
        <v/>
      </c>
      <c r="V164" s="7">
        <f>IF($B164="","",U164-G164)</f>
        <v/>
      </c>
      <c r="W164">
        <f>IF($B164="","",IF(COUNTIF($B$2:$B164,$B164)=1,1,0))</f>
        <v/>
      </c>
      <c r="X164">
        <f>IF($W164=1,SUMPRODUCT(--($Z$2:$Z$501&lt;$Z164))+1,"")</f>
        <v/>
      </c>
      <c r="Y164">
        <f>IF($B164="","",IF(OR($R164=TRUE(),$R164="TRUE"),1,0))</f>
        <v/>
      </c>
      <c r="Z164">
        <f>IF($W164=1,IFERROR(IF(VALUE($B164)&lt;100000000,VALUE($B164),1000000000),IFERROR(IF(VALUE(MID($B164,2,20))&lt;100000000,VALUE(MID($B164,2,20)),1000000000),1000000000))+ROW()/100000,"")</f>
        <v/>
      </c>
    </row>
    <row r="165">
      <c r="A165">
        <f>IF($B165="","",IFERROR(IF(INDEX('Per Invoice'!$A$2:$A$201,MATCH($B165,'Per Invoice'!$B$2:$B$201,0))=0,"",INDEX('Per Invoice'!$A$2:$A$201,MATCH($B165,'Per Invoice'!$B$2:$B$201,0))),""))</f>
        <v/>
      </c>
      <c r="G165" s="7">
        <f>IF($B165="","",F165*L165/100)</f>
        <v/>
      </c>
      <c r="J165" s="7" t="n"/>
      <c r="L165" s="7" t="n"/>
      <c r="M165" s="7" t="n"/>
      <c r="P165" s="11" t="n"/>
      <c r="S165">
        <f>IF($B165="","",IF($Y165=1,Settings!$C$6,Settings!$C$7)*1)</f>
        <v/>
      </c>
      <c r="T165" s="7">
        <f>IF($B165="","",S165*L165)</f>
        <v/>
      </c>
      <c r="U165" s="7">
        <f>IF($B165="","",L165-T165)</f>
        <v/>
      </c>
      <c r="V165" s="7">
        <f>IF($B165="","",U165-G165)</f>
        <v/>
      </c>
      <c r="W165">
        <f>IF($B165="","",IF(COUNTIF($B$2:$B165,$B165)=1,1,0))</f>
        <v/>
      </c>
      <c r="X165">
        <f>IF($W165=1,SUMPRODUCT(--($Z$2:$Z$501&lt;$Z165))+1,"")</f>
        <v/>
      </c>
      <c r="Y165">
        <f>IF($B165="","",IF(OR($R165=TRUE(),$R165="TRUE"),1,0))</f>
        <v/>
      </c>
      <c r="Z165">
        <f>IF($W165=1,IFERROR(IF(VALUE($B165)&lt;100000000,VALUE($B165),1000000000),IFERROR(IF(VALUE(MID($B165,2,20))&lt;100000000,VALUE(MID($B165,2,20)),1000000000),1000000000))+ROW()/100000,"")</f>
        <v/>
      </c>
    </row>
    <row r="166">
      <c r="A166">
        <f>IF($B166="","",IFERROR(IF(INDEX('Per Invoice'!$A$2:$A$201,MATCH($B166,'Per Invoice'!$B$2:$B$201,0))=0,"",INDEX('Per Invoice'!$A$2:$A$201,MATCH($B166,'Per Invoice'!$B$2:$B$201,0))),""))</f>
        <v/>
      </c>
      <c r="G166" s="7">
        <f>IF($B166="","",F166*L166/100)</f>
        <v/>
      </c>
      <c r="J166" s="7" t="n"/>
      <c r="L166" s="7" t="n"/>
      <c r="M166" s="7" t="n"/>
      <c r="P166" s="11" t="n"/>
      <c r="S166">
        <f>IF($B166="","",IF($Y166=1,Settings!$C$6,Settings!$C$7)*1)</f>
        <v/>
      </c>
      <c r="T166" s="7">
        <f>IF($B166="","",S166*L166)</f>
        <v/>
      </c>
      <c r="U166" s="7">
        <f>IF($B166="","",L166-T166)</f>
        <v/>
      </c>
      <c r="V166" s="7">
        <f>IF($B166="","",U166-G166)</f>
        <v/>
      </c>
      <c r="W166">
        <f>IF($B166="","",IF(COUNTIF($B$2:$B166,$B166)=1,1,0))</f>
        <v/>
      </c>
      <c r="X166">
        <f>IF($W166=1,SUMPRODUCT(--($Z$2:$Z$501&lt;$Z166))+1,"")</f>
        <v/>
      </c>
      <c r="Y166">
        <f>IF($B166="","",IF(OR($R166=TRUE(),$R166="TRUE"),1,0))</f>
        <v/>
      </c>
      <c r="Z166">
        <f>IF($W166=1,IFERROR(IF(VALUE($B166)&lt;100000000,VALUE($B166),1000000000),IFERROR(IF(VALUE(MID($B166,2,20))&lt;100000000,VALUE(MID($B166,2,20)),1000000000),1000000000))+ROW()/100000,"")</f>
        <v/>
      </c>
    </row>
    <row r="167">
      <c r="A167">
        <f>IF($B167="","",IFERROR(IF(INDEX('Per Invoice'!$A$2:$A$201,MATCH($B167,'Per Invoice'!$B$2:$B$201,0))=0,"",INDEX('Per Invoice'!$A$2:$A$201,MATCH($B167,'Per Invoice'!$B$2:$B$201,0))),""))</f>
        <v/>
      </c>
      <c r="G167" s="7">
        <f>IF($B167="","",F167*L167/100)</f>
        <v/>
      </c>
      <c r="J167" s="7" t="n"/>
      <c r="L167" s="7" t="n"/>
      <c r="M167" s="7" t="n"/>
      <c r="P167" s="11" t="n"/>
      <c r="S167">
        <f>IF($B167="","",IF($Y167=1,Settings!$C$6,Settings!$C$7)*1)</f>
        <v/>
      </c>
      <c r="T167" s="7">
        <f>IF($B167="","",S167*L167)</f>
        <v/>
      </c>
      <c r="U167" s="7">
        <f>IF($B167="","",L167-T167)</f>
        <v/>
      </c>
      <c r="V167" s="7">
        <f>IF($B167="","",U167-G167)</f>
        <v/>
      </c>
      <c r="W167">
        <f>IF($B167="","",IF(COUNTIF($B$2:$B167,$B167)=1,1,0))</f>
        <v/>
      </c>
      <c r="X167">
        <f>IF($W167=1,SUMPRODUCT(--($Z$2:$Z$501&lt;$Z167))+1,"")</f>
        <v/>
      </c>
      <c r="Y167">
        <f>IF($B167="","",IF(OR($R167=TRUE(),$R167="TRUE"),1,0))</f>
        <v/>
      </c>
      <c r="Z167">
        <f>IF($W167=1,IFERROR(IF(VALUE($B167)&lt;100000000,VALUE($B167),1000000000),IFERROR(IF(VALUE(MID($B167,2,20))&lt;100000000,VALUE(MID($B167,2,20)),1000000000),1000000000))+ROW()/100000,"")</f>
        <v/>
      </c>
    </row>
    <row r="168">
      <c r="A168">
        <f>IF($B168="","",IFERROR(IF(INDEX('Per Invoice'!$A$2:$A$201,MATCH($B168,'Per Invoice'!$B$2:$B$201,0))=0,"",INDEX('Per Invoice'!$A$2:$A$201,MATCH($B168,'Per Invoice'!$B$2:$B$201,0))),""))</f>
        <v/>
      </c>
      <c r="G168" s="7">
        <f>IF($B168="","",F168*L168/100)</f>
        <v/>
      </c>
      <c r="J168" s="7" t="n"/>
      <c r="L168" s="7" t="n"/>
      <c r="M168" s="7" t="n"/>
      <c r="P168" s="11" t="n"/>
      <c r="S168">
        <f>IF($B168="","",IF($Y168=1,Settings!$C$6,Settings!$C$7)*1)</f>
        <v/>
      </c>
      <c r="T168" s="7">
        <f>IF($B168="","",S168*L168)</f>
        <v/>
      </c>
      <c r="U168" s="7">
        <f>IF($B168="","",L168-T168)</f>
        <v/>
      </c>
      <c r="V168" s="7">
        <f>IF($B168="","",U168-G168)</f>
        <v/>
      </c>
      <c r="W168">
        <f>IF($B168="","",IF(COUNTIF($B$2:$B168,$B168)=1,1,0))</f>
        <v/>
      </c>
      <c r="X168">
        <f>IF($W168=1,SUMPRODUCT(--($Z$2:$Z$501&lt;$Z168))+1,"")</f>
        <v/>
      </c>
      <c r="Y168">
        <f>IF($B168="","",IF(OR($R168=TRUE(),$R168="TRUE"),1,0))</f>
        <v/>
      </c>
      <c r="Z168">
        <f>IF($W168=1,IFERROR(IF(VALUE($B168)&lt;100000000,VALUE($B168),1000000000),IFERROR(IF(VALUE(MID($B168,2,20))&lt;100000000,VALUE(MID($B168,2,20)),1000000000),1000000000))+ROW()/100000,"")</f>
        <v/>
      </c>
    </row>
    <row r="169">
      <c r="A169">
        <f>IF($B169="","",IFERROR(IF(INDEX('Per Invoice'!$A$2:$A$201,MATCH($B169,'Per Invoice'!$B$2:$B$201,0))=0,"",INDEX('Per Invoice'!$A$2:$A$201,MATCH($B169,'Per Invoice'!$B$2:$B$201,0))),""))</f>
        <v/>
      </c>
      <c r="G169" s="7">
        <f>IF($B169="","",F169*L169/100)</f>
        <v/>
      </c>
      <c r="J169" s="7" t="n"/>
      <c r="L169" s="7" t="n"/>
      <c r="M169" s="7" t="n"/>
      <c r="P169" s="11" t="n"/>
      <c r="S169">
        <f>IF($B169="","",IF($Y169=1,Settings!$C$6,Settings!$C$7)*1)</f>
        <v/>
      </c>
      <c r="T169" s="7">
        <f>IF($B169="","",S169*L169)</f>
        <v/>
      </c>
      <c r="U169" s="7">
        <f>IF($B169="","",L169-T169)</f>
        <v/>
      </c>
      <c r="V169" s="7">
        <f>IF($B169="","",U169-G169)</f>
        <v/>
      </c>
      <c r="W169">
        <f>IF($B169="","",IF(COUNTIF($B$2:$B169,$B169)=1,1,0))</f>
        <v/>
      </c>
      <c r="X169">
        <f>IF($W169=1,SUMPRODUCT(--($Z$2:$Z$501&lt;$Z169))+1,"")</f>
        <v/>
      </c>
      <c r="Y169">
        <f>IF($B169="","",IF(OR($R169=TRUE(),$R169="TRUE"),1,0))</f>
        <v/>
      </c>
      <c r="Z169">
        <f>IF($W169=1,IFERROR(IF(VALUE($B169)&lt;100000000,VALUE($B169),1000000000),IFERROR(IF(VALUE(MID($B169,2,20))&lt;100000000,VALUE(MID($B169,2,20)),1000000000),1000000000))+ROW()/100000,"")</f>
        <v/>
      </c>
    </row>
    <row r="170">
      <c r="A170">
        <f>IF($B170="","",IFERROR(IF(INDEX('Per Invoice'!$A$2:$A$201,MATCH($B170,'Per Invoice'!$B$2:$B$201,0))=0,"",INDEX('Per Invoice'!$A$2:$A$201,MATCH($B170,'Per Invoice'!$B$2:$B$201,0))),""))</f>
        <v/>
      </c>
      <c r="G170" s="7">
        <f>IF($B170="","",F170*L170/100)</f>
        <v/>
      </c>
      <c r="J170" s="7" t="n"/>
      <c r="L170" s="7" t="n"/>
      <c r="M170" s="7" t="n"/>
      <c r="P170" s="11" t="n"/>
      <c r="S170">
        <f>IF($B170="","",IF($Y170=1,Settings!$C$6,Settings!$C$7)*1)</f>
        <v/>
      </c>
      <c r="T170" s="7">
        <f>IF($B170="","",S170*L170)</f>
        <v/>
      </c>
      <c r="U170" s="7">
        <f>IF($B170="","",L170-T170)</f>
        <v/>
      </c>
      <c r="V170" s="7">
        <f>IF($B170="","",U170-G170)</f>
        <v/>
      </c>
      <c r="W170">
        <f>IF($B170="","",IF(COUNTIF($B$2:$B170,$B170)=1,1,0))</f>
        <v/>
      </c>
      <c r="X170">
        <f>IF($W170=1,SUMPRODUCT(--($Z$2:$Z$501&lt;$Z170))+1,"")</f>
        <v/>
      </c>
      <c r="Y170">
        <f>IF($B170="","",IF(OR($R170=TRUE(),$R170="TRUE"),1,0))</f>
        <v/>
      </c>
      <c r="Z170">
        <f>IF($W170=1,IFERROR(IF(VALUE($B170)&lt;100000000,VALUE($B170),1000000000),IFERROR(IF(VALUE(MID($B170,2,20))&lt;100000000,VALUE(MID($B170,2,20)),1000000000),1000000000))+ROW()/100000,"")</f>
        <v/>
      </c>
    </row>
    <row r="171">
      <c r="A171">
        <f>IF($B171="","",IFERROR(IF(INDEX('Per Invoice'!$A$2:$A$201,MATCH($B171,'Per Invoice'!$B$2:$B$201,0))=0,"",INDEX('Per Invoice'!$A$2:$A$201,MATCH($B171,'Per Invoice'!$B$2:$B$201,0))),""))</f>
        <v/>
      </c>
      <c r="G171" s="7">
        <f>IF($B171="","",F171*L171/100)</f>
        <v/>
      </c>
      <c r="J171" s="7" t="n"/>
      <c r="L171" s="7" t="n"/>
      <c r="M171" s="7" t="n"/>
      <c r="P171" s="11" t="n"/>
      <c r="S171">
        <f>IF($B171="","",IF($Y171=1,Settings!$C$6,Settings!$C$7)*1)</f>
        <v/>
      </c>
      <c r="T171" s="7">
        <f>IF($B171="","",S171*L171)</f>
        <v/>
      </c>
      <c r="U171" s="7">
        <f>IF($B171="","",L171-T171)</f>
        <v/>
      </c>
      <c r="V171" s="7">
        <f>IF($B171="","",U171-G171)</f>
        <v/>
      </c>
      <c r="W171">
        <f>IF($B171="","",IF(COUNTIF($B$2:$B171,$B171)=1,1,0))</f>
        <v/>
      </c>
      <c r="X171">
        <f>IF($W171=1,SUMPRODUCT(--($Z$2:$Z$501&lt;$Z171))+1,"")</f>
        <v/>
      </c>
      <c r="Y171">
        <f>IF($B171="","",IF(OR($R171=TRUE(),$R171="TRUE"),1,0))</f>
        <v/>
      </c>
      <c r="Z171">
        <f>IF($W171=1,IFERROR(IF(VALUE($B171)&lt;100000000,VALUE($B171),1000000000),IFERROR(IF(VALUE(MID($B171,2,20))&lt;100000000,VALUE(MID($B171,2,20)),1000000000),1000000000))+ROW()/100000,"")</f>
        <v/>
      </c>
    </row>
    <row r="172">
      <c r="A172">
        <f>IF($B172="","",IFERROR(IF(INDEX('Per Invoice'!$A$2:$A$201,MATCH($B172,'Per Invoice'!$B$2:$B$201,0))=0,"",INDEX('Per Invoice'!$A$2:$A$201,MATCH($B172,'Per Invoice'!$B$2:$B$201,0))),""))</f>
        <v/>
      </c>
      <c r="G172" s="7">
        <f>IF($B172="","",F172*L172/100)</f>
        <v/>
      </c>
      <c r="J172" s="7" t="n"/>
      <c r="L172" s="7" t="n"/>
      <c r="M172" s="7" t="n"/>
      <c r="P172" s="11" t="n"/>
      <c r="S172">
        <f>IF($B172="","",IF($Y172=1,Settings!$C$6,Settings!$C$7)*1)</f>
        <v/>
      </c>
      <c r="T172" s="7">
        <f>IF($B172="","",S172*L172)</f>
        <v/>
      </c>
      <c r="U172" s="7">
        <f>IF($B172="","",L172-T172)</f>
        <v/>
      </c>
      <c r="V172" s="7">
        <f>IF($B172="","",U172-G172)</f>
        <v/>
      </c>
      <c r="W172">
        <f>IF($B172="","",IF(COUNTIF($B$2:$B172,$B172)=1,1,0))</f>
        <v/>
      </c>
      <c r="X172">
        <f>IF($W172=1,SUMPRODUCT(--($Z$2:$Z$501&lt;$Z172))+1,"")</f>
        <v/>
      </c>
      <c r="Y172">
        <f>IF($B172="","",IF(OR($R172=TRUE(),$R172="TRUE"),1,0))</f>
        <v/>
      </c>
      <c r="Z172">
        <f>IF($W172=1,IFERROR(IF(VALUE($B172)&lt;100000000,VALUE($B172),1000000000),IFERROR(IF(VALUE(MID($B172,2,20))&lt;100000000,VALUE(MID($B172,2,20)),1000000000),1000000000))+ROW()/100000,"")</f>
        <v/>
      </c>
    </row>
    <row r="173">
      <c r="A173">
        <f>IF($B173="","",IFERROR(IF(INDEX('Per Invoice'!$A$2:$A$201,MATCH($B173,'Per Invoice'!$B$2:$B$201,0))=0,"",INDEX('Per Invoice'!$A$2:$A$201,MATCH($B173,'Per Invoice'!$B$2:$B$201,0))),""))</f>
        <v/>
      </c>
      <c r="G173" s="7">
        <f>IF($B173="","",F173*L173/100)</f>
        <v/>
      </c>
      <c r="J173" s="7" t="n"/>
      <c r="L173" s="7" t="n"/>
      <c r="M173" s="7" t="n"/>
      <c r="P173" s="11" t="n"/>
      <c r="S173">
        <f>IF($B173="","",IF($Y173=1,Settings!$C$6,Settings!$C$7)*1)</f>
        <v/>
      </c>
      <c r="T173" s="7">
        <f>IF($B173="","",S173*L173)</f>
        <v/>
      </c>
      <c r="U173" s="7">
        <f>IF($B173="","",L173-T173)</f>
        <v/>
      </c>
      <c r="V173" s="7">
        <f>IF($B173="","",U173-G173)</f>
        <v/>
      </c>
      <c r="W173">
        <f>IF($B173="","",IF(COUNTIF($B$2:$B173,$B173)=1,1,0))</f>
        <v/>
      </c>
      <c r="X173">
        <f>IF($W173=1,SUMPRODUCT(--($Z$2:$Z$501&lt;$Z173))+1,"")</f>
        <v/>
      </c>
      <c r="Y173">
        <f>IF($B173="","",IF(OR($R173=TRUE(),$R173="TRUE"),1,0))</f>
        <v/>
      </c>
      <c r="Z173">
        <f>IF($W173=1,IFERROR(IF(VALUE($B173)&lt;100000000,VALUE($B173),1000000000),IFERROR(IF(VALUE(MID($B173,2,20))&lt;100000000,VALUE(MID($B173,2,20)),1000000000),1000000000))+ROW()/100000,"")</f>
        <v/>
      </c>
    </row>
    <row r="174">
      <c r="A174">
        <f>IF($B174="","",IFERROR(IF(INDEX('Per Invoice'!$A$2:$A$201,MATCH($B174,'Per Invoice'!$B$2:$B$201,0))=0,"",INDEX('Per Invoice'!$A$2:$A$201,MATCH($B174,'Per Invoice'!$B$2:$B$201,0))),""))</f>
        <v/>
      </c>
      <c r="G174" s="7">
        <f>IF($B174="","",F174*L174/100)</f>
        <v/>
      </c>
      <c r="J174" s="7" t="n"/>
      <c r="L174" s="7" t="n"/>
      <c r="M174" s="7" t="n"/>
      <c r="P174" s="11" t="n"/>
      <c r="S174">
        <f>IF($B174="","",IF($Y174=1,Settings!$C$6,Settings!$C$7)*1)</f>
        <v/>
      </c>
      <c r="T174" s="7">
        <f>IF($B174="","",S174*L174)</f>
        <v/>
      </c>
      <c r="U174" s="7">
        <f>IF($B174="","",L174-T174)</f>
        <v/>
      </c>
      <c r="V174" s="7">
        <f>IF($B174="","",U174-G174)</f>
        <v/>
      </c>
      <c r="W174">
        <f>IF($B174="","",IF(COUNTIF($B$2:$B174,$B174)=1,1,0))</f>
        <v/>
      </c>
      <c r="X174">
        <f>IF($W174=1,SUMPRODUCT(--($Z$2:$Z$501&lt;$Z174))+1,"")</f>
        <v/>
      </c>
      <c r="Y174">
        <f>IF($B174="","",IF(OR($R174=TRUE(),$R174="TRUE"),1,0))</f>
        <v/>
      </c>
      <c r="Z174">
        <f>IF($W174=1,IFERROR(IF(VALUE($B174)&lt;100000000,VALUE($B174),1000000000),IFERROR(IF(VALUE(MID($B174,2,20))&lt;100000000,VALUE(MID($B174,2,20)),1000000000),1000000000))+ROW()/100000,"")</f>
        <v/>
      </c>
    </row>
    <row r="175">
      <c r="A175">
        <f>IF($B175="","",IFERROR(IF(INDEX('Per Invoice'!$A$2:$A$201,MATCH($B175,'Per Invoice'!$B$2:$B$201,0))=0,"",INDEX('Per Invoice'!$A$2:$A$201,MATCH($B175,'Per Invoice'!$B$2:$B$201,0))),""))</f>
        <v/>
      </c>
      <c r="G175" s="7">
        <f>IF($B175="","",F175*L175/100)</f>
        <v/>
      </c>
      <c r="J175" s="7" t="n"/>
      <c r="L175" s="7" t="n"/>
      <c r="M175" s="7" t="n"/>
      <c r="P175" s="11" t="n"/>
      <c r="S175">
        <f>IF($B175="","",IF($Y175=1,Settings!$C$6,Settings!$C$7)*1)</f>
        <v/>
      </c>
      <c r="T175" s="7">
        <f>IF($B175="","",S175*L175)</f>
        <v/>
      </c>
      <c r="U175" s="7">
        <f>IF($B175="","",L175-T175)</f>
        <v/>
      </c>
      <c r="V175" s="7">
        <f>IF($B175="","",U175-G175)</f>
        <v/>
      </c>
      <c r="W175">
        <f>IF($B175="","",IF(COUNTIF($B$2:$B175,$B175)=1,1,0))</f>
        <v/>
      </c>
      <c r="X175">
        <f>IF($W175=1,SUMPRODUCT(--($Z$2:$Z$501&lt;$Z175))+1,"")</f>
        <v/>
      </c>
      <c r="Y175">
        <f>IF($B175="","",IF(OR($R175=TRUE(),$R175="TRUE"),1,0))</f>
        <v/>
      </c>
      <c r="Z175">
        <f>IF($W175=1,IFERROR(IF(VALUE($B175)&lt;100000000,VALUE($B175),1000000000),IFERROR(IF(VALUE(MID($B175,2,20))&lt;100000000,VALUE(MID($B175,2,20)),1000000000),1000000000))+ROW()/100000,"")</f>
        <v/>
      </c>
    </row>
    <row r="176">
      <c r="A176">
        <f>IF($B176="","",IFERROR(IF(INDEX('Per Invoice'!$A$2:$A$201,MATCH($B176,'Per Invoice'!$B$2:$B$201,0))=0,"",INDEX('Per Invoice'!$A$2:$A$201,MATCH($B176,'Per Invoice'!$B$2:$B$201,0))),""))</f>
        <v/>
      </c>
      <c r="G176" s="7">
        <f>IF($B176="","",F176*L176/100)</f>
        <v/>
      </c>
      <c r="J176" s="7" t="n"/>
      <c r="L176" s="7" t="n"/>
      <c r="M176" s="7" t="n"/>
      <c r="P176" s="11" t="n"/>
      <c r="S176">
        <f>IF($B176="","",IF($Y176=1,Settings!$C$6,Settings!$C$7)*1)</f>
        <v/>
      </c>
      <c r="T176" s="7">
        <f>IF($B176="","",S176*L176)</f>
        <v/>
      </c>
      <c r="U176" s="7">
        <f>IF($B176="","",L176-T176)</f>
        <v/>
      </c>
      <c r="V176" s="7">
        <f>IF($B176="","",U176-G176)</f>
        <v/>
      </c>
      <c r="W176">
        <f>IF($B176="","",IF(COUNTIF($B$2:$B176,$B176)=1,1,0))</f>
        <v/>
      </c>
      <c r="X176">
        <f>IF($W176=1,SUMPRODUCT(--($Z$2:$Z$501&lt;$Z176))+1,"")</f>
        <v/>
      </c>
      <c r="Y176">
        <f>IF($B176="","",IF(OR($R176=TRUE(),$R176="TRUE"),1,0))</f>
        <v/>
      </c>
      <c r="Z176">
        <f>IF($W176=1,IFERROR(IF(VALUE($B176)&lt;100000000,VALUE($B176),1000000000),IFERROR(IF(VALUE(MID($B176,2,20))&lt;100000000,VALUE(MID($B176,2,20)),1000000000),1000000000))+ROW()/100000,"")</f>
        <v/>
      </c>
    </row>
    <row r="177">
      <c r="A177">
        <f>IF($B177="","",IFERROR(IF(INDEX('Per Invoice'!$A$2:$A$201,MATCH($B177,'Per Invoice'!$B$2:$B$201,0))=0,"",INDEX('Per Invoice'!$A$2:$A$201,MATCH($B177,'Per Invoice'!$B$2:$B$201,0))),""))</f>
        <v/>
      </c>
      <c r="G177" s="7">
        <f>IF($B177="","",F177*L177/100)</f>
        <v/>
      </c>
      <c r="J177" s="7" t="n"/>
      <c r="L177" s="7" t="n"/>
      <c r="M177" s="7" t="n"/>
      <c r="P177" s="11" t="n"/>
      <c r="S177">
        <f>IF($B177="","",IF($Y177=1,Settings!$C$6,Settings!$C$7)*1)</f>
        <v/>
      </c>
      <c r="T177" s="7">
        <f>IF($B177="","",S177*L177)</f>
        <v/>
      </c>
      <c r="U177" s="7">
        <f>IF($B177="","",L177-T177)</f>
        <v/>
      </c>
      <c r="V177" s="7">
        <f>IF($B177="","",U177-G177)</f>
        <v/>
      </c>
      <c r="W177">
        <f>IF($B177="","",IF(COUNTIF($B$2:$B177,$B177)=1,1,0))</f>
        <v/>
      </c>
      <c r="X177">
        <f>IF($W177=1,SUMPRODUCT(--($Z$2:$Z$501&lt;$Z177))+1,"")</f>
        <v/>
      </c>
      <c r="Y177">
        <f>IF($B177="","",IF(OR($R177=TRUE(),$R177="TRUE"),1,0))</f>
        <v/>
      </c>
      <c r="Z177">
        <f>IF($W177=1,IFERROR(IF(VALUE($B177)&lt;100000000,VALUE($B177),1000000000),IFERROR(IF(VALUE(MID($B177,2,20))&lt;100000000,VALUE(MID($B177,2,20)),1000000000),1000000000))+ROW()/100000,"")</f>
        <v/>
      </c>
    </row>
    <row r="178">
      <c r="A178">
        <f>IF($B178="","",IFERROR(IF(INDEX('Per Invoice'!$A$2:$A$201,MATCH($B178,'Per Invoice'!$B$2:$B$201,0))=0,"",INDEX('Per Invoice'!$A$2:$A$201,MATCH($B178,'Per Invoice'!$B$2:$B$201,0))),""))</f>
        <v/>
      </c>
      <c r="G178" s="7">
        <f>IF($B178="","",F178*L178/100)</f>
        <v/>
      </c>
      <c r="J178" s="7" t="n"/>
      <c r="L178" s="7" t="n"/>
      <c r="M178" s="7" t="n"/>
      <c r="P178" s="11" t="n"/>
      <c r="S178">
        <f>IF($B178="","",IF($Y178=1,Settings!$C$6,Settings!$C$7)*1)</f>
        <v/>
      </c>
      <c r="T178" s="7">
        <f>IF($B178="","",S178*L178)</f>
        <v/>
      </c>
      <c r="U178" s="7">
        <f>IF($B178="","",L178-T178)</f>
        <v/>
      </c>
      <c r="V178" s="7">
        <f>IF($B178="","",U178-G178)</f>
        <v/>
      </c>
      <c r="W178">
        <f>IF($B178="","",IF(COUNTIF($B$2:$B178,$B178)=1,1,0))</f>
        <v/>
      </c>
      <c r="X178">
        <f>IF($W178=1,SUMPRODUCT(--($Z$2:$Z$501&lt;$Z178))+1,"")</f>
        <v/>
      </c>
      <c r="Y178">
        <f>IF($B178="","",IF(OR($R178=TRUE(),$R178="TRUE"),1,0))</f>
        <v/>
      </c>
      <c r="Z178">
        <f>IF($W178=1,IFERROR(IF(VALUE($B178)&lt;100000000,VALUE($B178),1000000000),IFERROR(IF(VALUE(MID($B178,2,20))&lt;100000000,VALUE(MID($B178,2,20)),1000000000),1000000000))+ROW()/100000,"")</f>
        <v/>
      </c>
    </row>
    <row r="179">
      <c r="A179">
        <f>IF($B179="","",IFERROR(IF(INDEX('Per Invoice'!$A$2:$A$201,MATCH($B179,'Per Invoice'!$B$2:$B$201,0))=0,"",INDEX('Per Invoice'!$A$2:$A$201,MATCH($B179,'Per Invoice'!$B$2:$B$201,0))),""))</f>
        <v/>
      </c>
      <c r="G179" s="7">
        <f>IF($B179="","",F179*L179/100)</f>
        <v/>
      </c>
      <c r="J179" s="7" t="n"/>
      <c r="L179" s="7" t="n"/>
      <c r="M179" s="7" t="n"/>
      <c r="P179" s="11" t="n"/>
      <c r="S179">
        <f>IF($B179="","",IF($Y179=1,Settings!$C$6,Settings!$C$7)*1)</f>
        <v/>
      </c>
      <c r="T179" s="7">
        <f>IF($B179="","",S179*L179)</f>
        <v/>
      </c>
      <c r="U179" s="7">
        <f>IF($B179="","",L179-T179)</f>
        <v/>
      </c>
      <c r="V179" s="7">
        <f>IF($B179="","",U179-G179)</f>
        <v/>
      </c>
      <c r="W179">
        <f>IF($B179="","",IF(COUNTIF($B$2:$B179,$B179)=1,1,0))</f>
        <v/>
      </c>
      <c r="X179">
        <f>IF($W179=1,SUMPRODUCT(--($Z$2:$Z$501&lt;$Z179))+1,"")</f>
        <v/>
      </c>
      <c r="Y179">
        <f>IF($B179="","",IF(OR($R179=TRUE(),$R179="TRUE"),1,0))</f>
        <v/>
      </c>
      <c r="Z179">
        <f>IF($W179=1,IFERROR(IF(VALUE($B179)&lt;100000000,VALUE($B179),1000000000),IFERROR(IF(VALUE(MID($B179,2,20))&lt;100000000,VALUE(MID($B179,2,20)),1000000000),1000000000))+ROW()/100000,"")</f>
        <v/>
      </c>
    </row>
    <row r="180">
      <c r="A180">
        <f>IF($B180="","",IFERROR(IF(INDEX('Per Invoice'!$A$2:$A$201,MATCH($B180,'Per Invoice'!$B$2:$B$201,0))=0,"",INDEX('Per Invoice'!$A$2:$A$201,MATCH($B180,'Per Invoice'!$B$2:$B$201,0))),""))</f>
        <v/>
      </c>
      <c r="G180" s="7">
        <f>IF($B180="","",F180*L180/100)</f>
        <v/>
      </c>
      <c r="J180" s="7" t="n"/>
      <c r="L180" s="7" t="n"/>
      <c r="M180" s="7" t="n"/>
      <c r="P180" s="11" t="n"/>
      <c r="S180">
        <f>IF($B180="","",IF($Y180=1,Settings!$C$6,Settings!$C$7)*1)</f>
        <v/>
      </c>
      <c r="T180" s="7">
        <f>IF($B180="","",S180*L180)</f>
        <v/>
      </c>
      <c r="U180" s="7">
        <f>IF($B180="","",L180-T180)</f>
        <v/>
      </c>
      <c r="V180" s="7">
        <f>IF($B180="","",U180-G180)</f>
        <v/>
      </c>
      <c r="W180">
        <f>IF($B180="","",IF(COUNTIF($B$2:$B180,$B180)=1,1,0))</f>
        <v/>
      </c>
      <c r="X180">
        <f>IF($W180=1,SUMPRODUCT(--($Z$2:$Z$501&lt;$Z180))+1,"")</f>
        <v/>
      </c>
      <c r="Y180">
        <f>IF($B180="","",IF(OR($R180=TRUE(),$R180="TRUE"),1,0))</f>
        <v/>
      </c>
      <c r="Z180">
        <f>IF($W180=1,IFERROR(IF(VALUE($B180)&lt;100000000,VALUE($B180),1000000000),IFERROR(IF(VALUE(MID($B180,2,20))&lt;100000000,VALUE(MID($B180,2,20)),1000000000),1000000000))+ROW()/100000,"")</f>
        <v/>
      </c>
    </row>
    <row r="181">
      <c r="A181">
        <f>IF($B181="","",IFERROR(IF(INDEX('Per Invoice'!$A$2:$A$201,MATCH($B181,'Per Invoice'!$B$2:$B$201,0))=0,"",INDEX('Per Invoice'!$A$2:$A$201,MATCH($B181,'Per Invoice'!$B$2:$B$201,0))),""))</f>
        <v/>
      </c>
      <c r="G181" s="7">
        <f>IF($B181="","",F181*L181/100)</f>
        <v/>
      </c>
      <c r="J181" s="7" t="n"/>
      <c r="L181" s="7" t="n"/>
      <c r="M181" s="7" t="n"/>
      <c r="P181" s="11" t="n"/>
      <c r="S181">
        <f>IF($B181="","",IF($Y181=1,Settings!$C$6,Settings!$C$7)*1)</f>
        <v/>
      </c>
      <c r="T181" s="7">
        <f>IF($B181="","",S181*L181)</f>
        <v/>
      </c>
      <c r="U181" s="7">
        <f>IF($B181="","",L181-T181)</f>
        <v/>
      </c>
      <c r="V181" s="7">
        <f>IF($B181="","",U181-G181)</f>
        <v/>
      </c>
      <c r="W181">
        <f>IF($B181="","",IF(COUNTIF($B$2:$B181,$B181)=1,1,0))</f>
        <v/>
      </c>
      <c r="X181">
        <f>IF($W181=1,SUMPRODUCT(--($Z$2:$Z$501&lt;$Z181))+1,"")</f>
        <v/>
      </c>
      <c r="Y181">
        <f>IF($B181="","",IF(OR($R181=TRUE(),$R181="TRUE"),1,0))</f>
        <v/>
      </c>
      <c r="Z181">
        <f>IF($W181=1,IFERROR(IF(VALUE($B181)&lt;100000000,VALUE($B181),1000000000),IFERROR(IF(VALUE(MID($B181,2,20))&lt;100000000,VALUE(MID($B181,2,20)),1000000000),1000000000))+ROW()/100000,"")</f>
        <v/>
      </c>
    </row>
    <row r="182">
      <c r="A182">
        <f>IF($B182="","",IFERROR(IF(INDEX('Per Invoice'!$A$2:$A$201,MATCH($B182,'Per Invoice'!$B$2:$B$201,0))=0,"",INDEX('Per Invoice'!$A$2:$A$201,MATCH($B182,'Per Invoice'!$B$2:$B$201,0))),""))</f>
        <v/>
      </c>
      <c r="G182" s="7">
        <f>IF($B182="","",F182*L182/100)</f>
        <v/>
      </c>
      <c r="J182" s="7" t="n"/>
      <c r="L182" s="7" t="n"/>
      <c r="M182" s="7" t="n"/>
      <c r="P182" s="11" t="n"/>
      <c r="S182">
        <f>IF($B182="","",IF($Y182=1,Settings!$C$6,Settings!$C$7)*1)</f>
        <v/>
      </c>
      <c r="T182" s="7">
        <f>IF($B182="","",S182*L182)</f>
        <v/>
      </c>
      <c r="U182" s="7">
        <f>IF($B182="","",L182-T182)</f>
        <v/>
      </c>
      <c r="V182" s="7">
        <f>IF($B182="","",U182-G182)</f>
        <v/>
      </c>
      <c r="W182">
        <f>IF($B182="","",IF(COUNTIF($B$2:$B182,$B182)=1,1,0))</f>
        <v/>
      </c>
      <c r="X182">
        <f>IF($W182=1,SUMPRODUCT(--($Z$2:$Z$501&lt;$Z182))+1,"")</f>
        <v/>
      </c>
      <c r="Y182">
        <f>IF($B182="","",IF(OR($R182=TRUE(),$R182="TRUE"),1,0))</f>
        <v/>
      </c>
      <c r="Z182">
        <f>IF($W182=1,IFERROR(IF(VALUE($B182)&lt;100000000,VALUE($B182),1000000000),IFERROR(IF(VALUE(MID($B182,2,20))&lt;100000000,VALUE(MID($B182,2,20)),1000000000),1000000000))+ROW()/100000,"")</f>
        <v/>
      </c>
    </row>
    <row r="183">
      <c r="A183">
        <f>IF($B183="","",IFERROR(IF(INDEX('Per Invoice'!$A$2:$A$201,MATCH($B183,'Per Invoice'!$B$2:$B$201,0))=0,"",INDEX('Per Invoice'!$A$2:$A$201,MATCH($B183,'Per Invoice'!$B$2:$B$201,0))),""))</f>
        <v/>
      </c>
      <c r="G183" s="7">
        <f>IF($B183="","",F183*L183/100)</f>
        <v/>
      </c>
      <c r="J183" s="7" t="n"/>
      <c r="L183" s="7" t="n"/>
      <c r="M183" s="7" t="n"/>
      <c r="P183" s="11" t="n"/>
      <c r="S183">
        <f>IF($B183="","",IF($Y183=1,Settings!$C$6,Settings!$C$7)*1)</f>
        <v/>
      </c>
      <c r="T183" s="7">
        <f>IF($B183="","",S183*L183)</f>
        <v/>
      </c>
      <c r="U183" s="7">
        <f>IF($B183="","",L183-T183)</f>
        <v/>
      </c>
      <c r="V183" s="7">
        <f>IF($B183="","",U183-G183)</f>
        <v/>
      </c>
      <c r="W183">
        <f>IF($B183="","",IF(COUNTIF($B$2:$B183,$B183)=1,1,0))</f>
        <v/>
      </c>
      <c r="X183">
        <f>IF($W183=1,SUMPRODUCT(--($Z$2:$Z$501&lt;$Z183))+1,"")</f>
        <v/>
      </c>
      <c r="Y183">
        <f>IF($B183="","",IF(OR($R183=TRUE(),$R183="TRUE"),1,0))</f>
        <v/>
      </c>
      <c r="Z183">
        <f>IF($W183=1,IFERROR(IF(VALUE($B183)&lt;100000000,VALUE($B183),1000000000),IFERROR(IF(VALUE(MID($B183,2,20))&lt;100000000,VALUE(MID($B183,2,20)),1000000000),1000000000))+ROW()/100000,"")</f>
        <v/>
      </c>
    </row>
    <row r="184">
      <c r="A184">
        <f>IF($B184="","",IFERROR(IF(INDEX('Per Invoice'!$A$2:$A$201,MATCH($B184,'Per Invoice'!$B$2:$B$201,0))=0,"",INDEX('Per Invoice'!$A$2:$A$201,MATCH($B184,'Per Invoice'!$B$2:$B$201,0))),""))</f>
        <v/>
      </c>
      <c r="G184" s="7">
        <f>IF($B184="","",F184*L184/100)</f>
        <v/>
      </c>
      <c r="J184" s="7" t="n"/>
      <c r="L184" s="7" t="n"/>
      <c r="M184" s="7" t="n"/>
      <c r="P184" s="11" t="n"/>
      <c r="S184">
        <f>IF($B184="","",IF($Y184=1,Settings!$C$6,Settings!$C$7)*1)</f>
        <v/>
      </c>
      <c r="T184" s="7">
        <f>IF($B184="","",S184*L184)</f>
        <v/>
      </c>
      <c r="U184" s="7">
        <f>IF($B184="","",L184-T184)</f>
        <v/>
      </c>
      <c r="V184" s="7">
        <f>IF($B184="","",U184-G184)</f>
        <v/>
      </c>
      <c r="W184">
        <f>IF($B184="","",IF(COUNTIF($B$2:$B184,$B184)=1,1,0))</f>
        <v/>
      </c>
      <c r="X184">
        <f>IF($W184=1,SUMPRODUCT(--($Z$2:$Z$501&lt;$Z184))+1,"")</f>
        <v/>
      </c>
      <c r="Y184">
        <f>IF($B184="","",IF(OR($R184=TRUE(),$R184="TRUE"),1,0))</f>
        <v/>
      </c>
      <c r="Z184">
        <f>IF($W184=1,IFERROR(IF(VALUE($B184)&lt;100000000,VALUE($B184),1000000000),IFERROR(IF(VALUE(MID($B184,2,20))&lt;100000000,VALUE(MID($B184,2,20)),1000000000),1000000000))+ROW()/100000,"")</f>
        <v/>
      </c>
    </row>
    <row r="185">
      <c r="A185">
        <f>IF($B185="","",IFERROR(IF(INDEX('Per Invoice'!$A$2:$A$201,MATCH($B185,'Per Invoice'!$B$2:$B$201,0))=0,"",INDEX('Per Invoice'!$A$2:$A$201,MATCH($B185,'Per Invoice'!$B$2:$B$201,0))),""))</f>
        <v/>
      </c>
      <c r="G185" s="7">
        <f>IF($B185="","",F185*L185/100)</f>
        <v/>
      </c>
      <c r="J185" s="7" t="n"/>
      <c r="L185" s="7" t="n"/>
      <c r="M185" s="7" t="n"/>
      <c r="P185" s="11" t="n"/>
      <c r="S185">
        <f>IF($B185="","",IF($Y185=1,Settings!$C$6,Settings!$C$7)*1)</f>
        <v/>
      </c>
      <c r="T185" s="7">
        <f>IF($B185="","",S185*L185)</f>
        <v/>
      </c>
      <c r="U185" s="7">
        <f>IF($B185="","",L185-T185)</f>
        <v/>
      </c>
      <c r="V185" s="7">
        <f>IF($B185="","",U185-G185)</f>
        <v/>
      </c>
      <c r="W185">
        <f>IF($B185="","",IF(COUNTIF($B$2:$B185,$B185)=1,1,0))</f>
        <v/>
      </c>
      <c r="X185">
        <f>IF($W185=1,SUMPRODUCT(--($Z$2:$Z$501&lt;$Z185))+1,"")</f>
        <v/>
      </c>
      <c r="Y185">
        <f>IF($B185="","",IF(OR($R185=TRUE(),$R185="TRUE"),1,0))</f>
        <v/>
      </c>
      <c r="Z185">
        <f>IF($W185=1,IFERROR(IF(VALUE($B185)&lt;100000000,VALUE($B185),1000000000),IFERROR(IF(VALUE(MID($B185,2,20))&lt;100000000,VALUE(MID($B185,2,20)),1000000000),1000000000))+ROW()/100000,"")</f>
        <v/>
      </c>
    </row>
    <row r="186">
      <c r="A186">
        <f>IF($B186="","",IFERROR(IF(INDEX('Per Invoice'!$A$2:$A$201,MATCH($B186,'Per Invoice'!$B$2:$B$201,0))=0,"",INDEX('Per Invoice'!$A$2:$A$201,MATCH($B186,'Per Invoice'!$B$2:$B$201,0))),""))</f>
        <v/>
      </c>
      <c r="G186" s="7">
        <f>IF($B186="","",F186*L186/100)</f>
        <v/>
      </c>
      <c r="J186" s="7" t="n"/>
      <c r="L186" s="7" t="n"/>
      <c r="M186" s="7" t="n"/>
      <c r="P186" s="11" t="n"/>
      <c r="S186">
        <f>IF($B186="","",IF($Y186=1,Settings!$C$6,Settings!$C$7)*1)</f>
        <v/>
      </c>
      <c r="T186" s="7">
        <f>IF($B186="","",S186*L186)</f>
        <v/>
      </c>
      <c r="U186" s="7">
        <f>IF($B186="","",L186-T186)</f>
        <v/>
      </c>
      <c r="V186" s="7">
        <f>IF($B186="","",U186-G186)</f>
        <v/>
      </c>
      <c r="W186">
        <f>IF($B186="","",IF(COUNTIF($B$2:$B186,$B186)=1,1,0))</f>
        <v/>
      </c>
      <c r="X186">
        <f>IF($W186=1,SUMPRODUCT(--($Z$2:$Z$501&lt;$Z186))+1,"")</f>
        <v/>
      </c>
      <c r="Y186">
        <f>IF($B186="","",IF(OR($R186=TRUE(),$R186="TRUE"),1,0))</f>
        <v/>
      </c>
      <c r="Z186">
        <f>IF($W186=1,IFERROR(IF(VALUE($B186)&lt;100000000,VALUE($B186),1000000000),IFERROR(IF(VALUE(MID($B186,2,20))&lt;100000000,VALUE(MID($B186,2,20)),1000000000),1000000000))+ROW()/100000,"")</f>
        <v/>
      </c>
    </row>
    <row r="187">
      <c r="A187">
        <f>IF($B187="","",IFERROR(IF(INDEX('Per Invoice'!$A$2:$A$201,MATCH($B187,'Per Invoice'!$B$2:$B$201,0))=0,"",INDEX('Per Invoice'!$A$2:$A$201,MATCH($B187,'Per Invoice'!$B$2:$B$201,0))),""))</f>
        <v/>
      </c>
      <c r="G187" s="7">
        <f>IF($B187="","",F187*L187/100)</f>
        <v/>
      </c>
      <c r="J187" s="7" t="n"/>
      <c r="L187" s="7" t="n"/>
      <c r="M187" s="7" t="n"/>
      <c r="P187" s="11" t="n"/>
      <c r="S187">
        <f>IF($B187="","",IF($Y187=1,Settings!$C$6,Settings!$C$7)*1)</f>
        <v/>
      </c>
      <c r="T187" s="7">
        <f>IF($B187="","",S187*L187)</f>
        <v/>
      </c>
      <c r="U187" s="7">
        <f>IF($B187="","",L187-T187)</f>
        <v/>
      </c>
      <c r="V187" s="7">
        <f>IF($B187="","",U187-G187)</f>
        <v/>
      </c>
      <c r="W187">
        <f>IF($B187="","",IF(COUNTIF($B$2:$B187,$B187)=1,1,0))</f>
        <v/>
      </c>
      <c r="X187">
        <f>IF($W187=1,SUMPRODUCT(--($Z$2:$Z$501&lt;$Z187))+1,"")</f>
        <v/>
      </c>
      <c r="Y187">
        <f>IF($B187="","",IF(OR($R187=TRUE(),$R187="TRUE"),1,0))</f>
        <v/>
      </c>
      <c r="Z187">
        <f>IF($W187=1,IFERROR(IF(VALUE($B187)&lt;100000000,VALUE($B187),1000000000),IFERROR(IF(VALUE(MID($B187,2,20))&lt;100000000,VALUE(MID($B187,2,20)),1000000000),1000000000))+ROW()/100000,"")</f>
        <v/>
      </c>
    </row>
    <row r="188">
      <c r="A188">
        <f>IF($B188="","",IFERROR(IF(INDEX('Per Invoice'!$A$2:$A$201,MATCH($B188,'Per Invoice'!$B$2:$B$201,0))=0,"",INDEX('Per Invoice'!$A$2:$A$201,MATCH($B188,'Per Invoice'!$B$2:$B$201,0))),""))</f>
        <v/>
      </c>
      <c r="G188" s="7">
        <f>IF($B188="","",F188*L188/100)</f>
        <v/>
      </c>
      <c r="J188" s="7" t="n"/>
      <c r="L188" s="7" t="n"/>
      <c r="M188" s="7" t="n"/>
      <c r="P188" s="11" t="n"/>
      <c r="S188">
        <f>IF($B188="","",IF($Y188=1,Settings!$C$6,Settings!$C$7)*1)</f>
        <v/>
      </c>
      <c r="T188" s="7">
        <f>IF($B188="","",S188*L188)</f>
        <v/>
      </c>
      <c r="U188" s="7">
        <f>IF($B188="","",L188-T188)</f>
        <v/>
      </c>
      <c r="V188" s="7">
        <f>IF($B188="","",U188-G188)</f>
        <v/>
      </c>
      <c r="W188">
        <f>IF($B188="","",IF(COUNTIF($B$2:$B188,$B188)=1,1,0))</f>
        <v/>
      </c>
      <c r="X188">
        <f>IF($W188=1,SUMPRODUCT(--($Z$2:$Z$501&lt;$Z188))+1,"")</f>
        <v/>
      </c>
      <c r="Y188">
        <f>IF($B188="","",IF(OR($R188=TRUE(),$R188="TRUE"),1,0))</f>
        <v/>
      </c>
      <c r="Z188">
        <f>IF($W188=1,IFERROR(IF(VALUE($B188)&lt;100000000,VALUE($B188),1000000000),IFERROR(IF(VALUE(MID($B188,2,20))&lt;100000000,VALUE(MID($B188,2,20)),1000000000),1000000000))+ROW()/100000,"")</f>
        <v/>
      </c>
    </row>
    <row r="189">
      <c r="A189">
        <f>IF($B189="","",IFERROR(IF(INDEX('Per Invoice'!$A$2:$A$201,MATCH($B189,'Per Invoice'!$B$2:$B$201,0))=0,"",INDEX('Per Invoice'!$A$2:$A$201,MATCH($B189,'Per Invoice'!$B$2:$B$201,0))),""))</f>
        <v/>
      </c>
      <c r="G189" s="7">
        <f>IF($B189="","",F189*L189/100)</f>
        <v/>
      </c>
      <c r="J189" s="7" t="n"/>
      <c r="L189" s="7" t="n"/>
      <c r="M189" s="7" t="n"/>
      <c r="P189" s="11" t="n"/>
      <c r="S189">
        <f>IF($B189="","",IF($Y189=1,Settings!$C$6,Settings!$C$7)*1)</f>
        <v/>
      </c>
      <c r="T189" s="7">
        <f>IF($B189="","",S189*L189)</f>
        <v/>
      </c>
      <c r="U189" s="7">
        <f>IF($B189="","",L189-T189)</f>
        <v/>
      </c>
      <c r="V189" s="7">
        <f>IF($B189="","",U189-G189)</f>
        <v/>
      </c>
      <c r="W189">
        <f>IF($B189="","",IF(COUNTIF($B$2:$B189,$B189)=1,1,0))</f>
        <v/>
      </c>
      <c r="X189">
        <f>IF($W189=1,SUMPRODUCT(--($Z$2:$Z$501&lt;$Z189))+1,"")</f>
        <v/>
      </c>
      <c r="Y189">
        <f>IF($B189="","",IF(OR($R189=TRUE(),$R189="TRUE"),1,0))</f>
        <v/>
      </c>
      <c r="Z189">
        <f>IF($W189=1,IFERROR(IF(VALUE($B189)&lt;100000000,VALUE($B189),1000000000),IFERROR(IF(VALUE(MID($B189,2,20))&lt;100000000,VALUE(MID($B189,2,20)),1000000000),1000000000))+ROW()/100000,"")</f>
        <v/>
      </c>
    </row>
    <row r="190">
      <c r="A190">
        <f>IF($B190="","",IFERROR(IF(INDEX('Per Invoice'!$A$2:$A$201,MATCH($B190,'Per Invoice'!$B$2:$B$201,0))=0,"",INDEX('Per Invoice'!$A$2:$A$201,MATCH($B190,'Per Invoice'!$B$2:$B$201,0))),""))</f>
        <v/>
      </c>
      <c r="G190" s="7">
        <f>IF($B190="","",F190*L190/100)</f>
        <v/>
      </c>
      <c r="J190" s="7" t="n"/>
      <c r="L190" s="7" t="n"/>
      <c r="M190" s="7" t="n"/>
      <c r="P190" s="11" t="n"/>
      <c r="S190">
        <f>IF($B190="","",IF($Y190=1,Settings!$C$6,Settings!$C$7)*1)</f>
        <v/>
      </c>
      <c r="T190" s="7">
        <f>IF($B190="","",S190*L190)</f>
        <v/>
      </c>
      <c r="U190" s="7">
        <f>IF($B190="","",L190-T190)</f>
        <v/>
      </c>
      <c r="V190" s="7">
        <f>IF($B190="","",U190-G190)</f>
        <v/>
      </c>
      <c r="W190">
        <f>IF($B190="","",IF(COUNTIF($B$2:$B190,$B190)=1,1,0))</f>
        <v/>
      </c>
      <c r="X190">
        <f>IF($W190=1,SUMPRODUCT(--($Z$2:$Z$501&lt;$Z190))+1,"")</f>
        <v/>
      </c>
      <c r="Y190">
        <f>IF($B190="","",IF(OR($R190=TRUE(),$R190="TRUE"),1,0))</f>
        <v/>
      </c>
      <c r="Z190">
        <f>IF($W190=1,IFERROR(IF(VALUE($B190)&lt;100000000,VALUE($B190),1000000000),IFERROR(IF(VALUE(MID($B190,2,20))&lt;100000000,VALUE(MID($B190,2,20)),1000000000),1000000000))+ROW()/100000,"")</f>
        <v/>
      </c>
    </row>
    <row r="191">
      <c r="A191">
        <f>IF($B191="","",IFERROR(IF(INDEX('Per Invoice'!$A$2:$A$201,MATCH($B191,'Per Invoice'!$B$2:$B$201,0))=0,"",INDEX('Per Invoice'!$A$2:$A$201,MATCH($B191,'Per Invoice'!$B$2:$B$201,0))),""))</f>
        <v/>
      </c>
      <c r="G191" s="7">
        <f>IF($B191="","",F191*L191/100)</f>
        <v/>
      </c>
      <c r="J191" s="7" t="n"/>
      <c r="L191" s="7" t="n"/>
      <c r="M191" s="7" t="n"/>
      <c r="P191" s="11" t="n"/>
      <c r="S191">
        <f>IF($B191="","",IF($Y191=1,Settings!$C$6,Settings!$C$7)*1)</f>
        <v/>
      </c>
      <c r="T191" s="7">
        <f>IF($B191="","",S191*L191)</f>
        <v/>
      </c>
      <c r="U191" s="7">
        <f>IF($B191="","",L191-T191)</f>
        <v/>
      </c>
      <c r="V191" s="7">
        <f>IF($B191="","",U191-G191)</f>
        <v/>
      </c>
      <c r="W191">
        <f>IF($B191="","",IF(COUNTIF($B$2:$B191,$B191)=1,1,0))</f>
        <v/>
      </c>
      <c r="X191">
        <f>IF($W191=1,SUMPRODUCT(--($Z$2:$Z$501&lt;$Z191))+1,"")</f>
        <v/>
      </c>
      <c r="Y191">
        <f>IF($B191="","",IF(OR($R191=TRUE(),$R191="TRUE"),1,0))</f>
        <v/>
      </c>
      <c r="Z191">
        <f>IF($W191=1,IFERROR(IF(VALUE($B191)&lt;100000000,VALUE($B191),1000000000),IFERROR(IF(VALUE(MID($B191,2,20))&lt;100000000,VALUE(MID($B191,2,20)),1000000000),1000000000))+ROW()/100000,"")</f>
        <v/>
      </c>
    </row>
    <row r="192">
      <c r="A192">
        <f>IF($B192="","",IFERROR(IF(INDEX('Per Invoice'!$A$2:$A$201,MATCH($B192,'Per Invoice'!$B$2:$B$201,0))=0,"",INDEX('Per Invoice'!$A$2:$A$201,MATCH($B192,'Per Invoice'!$B$2:$B$201,0))),""))</f>
        <v/>
      </c>
      <c r="G192" s="7">
        <f>IF($B192="","",F192*L192/100)</f>
        <v/>
      </c>
      <c r="J192" s="7" t="n"/>
      <c r="L192" s="7" t="n"/>
      <c r="M192" s="7" t="n"/>
      <c r="P192" s="11" t="n"/>
      <c r="S192">
        <f>IF($B192="","",IF($Y192=1,Settings!$C$6,Settings!$C$7)*1)</f>
        <v/>
      </c>
      <c r="T192" s="7">
        <f>IF($B192="","",S192*L192)</f>
        <v/>
      </c>
      <c r="U192" s="7">
        <f>IF($B192="","",L192-T192)</f>
        <v/>
      </c>
      <c r="V192" s="7">
        <f>IF($B192="","",U192-G192)</f>
        <v/>
      </c>
      <c r="W192">
        <f>IF($B192="","",IF(COUNTIF($B$2:$B192,$B192)=1,1,0))</f>
        <v/>
      </c>
      <c r="X192">
        <f>IF($W192=1,SUMPRODUCT(--($Z$2:$Z$501&lt;$Z192))+1,"")</f>
        <v/>
      </c>
      <c r="Y192">
        <f>IF($B192="","",IF(OR($R192=TRUE(),$R192="TRUE"),1,0))</f>
        <v/>
      </c>
      <c r="Z192">
        <f>IF($W192=1,IFERROR(IF(VALUE($B192)&lt;100000000,VALUE($B192),1000000000),IFERROR(IF(VALUE(MID($B192,2,20))&lt;100000000,VALUE(MID($B192,2,20)),1000000000),1000000000))+ROW()/100000,"")</f>
        <v/>
      </c>
    </row>
    <row r="193">
      <c r="A193">
        <f>IF($B193="","",IFERROR(IF(INDEX('Per Invoice'!$A$2:$A$201,MATCH($B193,'Per Invoice'!$B$2:$B$201,0))=0,"",INDEX('Per Invoice'!$A$2:$A$201,MATCH($B193,'Per Invoice'!$B$2:$B$201,0))),""))</f>
        <v/>
      </c>
      <c r="G193" s="7">
        <f>IF($B193="","",F193*L193/100)</f>
        <v/>
      </c>
      <c r="J193" s="7" t="n"/>
      <c r="L193" s="7" t="n"/>
      <c r="M193" s="7" t="n"/>
      <c r="P193" s="11" t="n"/>
      <c r="S193">
        <f>IF($B193="","",IF($Y193=1,Settings!$C$6,Settings!$C$7)*1)</f>
        <v/>
      </c>
      <c r="T193" s="7">
        <f>IF($B193="","",S193*L193)</f>
        <v/>
      </c>
      <c r="U193" s="7">
        <f>IF($B193="","",L193-T193)</f>
        <v/>
      </c>
      <c r="V193" s="7">
        <f>IF($B193="","",U193-G193)</f>
        <v/>
      </c>
      <c r="W193">
        <f>IF($B193="","",IF(COUNTIF($B$2:$B193,$B193)=1,1,0))</f>
        <v/>
      </c>
      <c r="X193">
        <f>IF($W193=1,SUMPRODUCT(--($Z$2:$Z$501&lt;$Z193))+1,"")</f>
        <v/>
      </c>
      <c r="Y193">
        <f>IF($B193="","",IF(OR($R193=TRUE(),$R193="TRUE"),1,0))</f>
        <v/>
      </c>
      <c r="Z193">
        <f>IF($W193=1,IFERROR(IF(VALUE($B193)&lt;100000000,VALUE($B193),1000000000),IFERROR(IF(VALUE(MID($B193,2,20))&lt;100000000,VALUE(MID($B193,2,20)),1000000000),1000000000))+ROW()/100000,"")</f>
        <v/>
      </c>
    </row>
    <row r="194">
      <c r="A194">
        <f>IF($B194="","",IFERROR(IF(INDEX('Per Invoice'!$A$2:$A$201,MATCH($B194,'Per Invoice'!$B$2:$B$201,0))=0,"",INDEX('Per Invoice'!$A$2:$A$201,MATCH($B194,'Per Invoice'!$B$2:$B$201,0))),""))</f>
        <v/>
      </c>
      <c r="G194" s="7">
        <f>IF($B194="","",F194*L194/100)</f>
        <v/>
      </c>
      <c r="J194" s="7" t="n"/>
      <c r="L194" s="7" t="n"/>
      <c r="M194" s="7" t="n"/>
      <c r="P194" s="11" t="n"/>
      <c r="S194">
        <f>IF($B194="","",IF($Y194=1,Settings!$C$6,Settings!$C$7)*1)</f>
        <v/>
      </c>
      <c r="T194" s="7">
        <f>IF($B194="","",S194*L194)</f>
        <v/>
      </c>
      <c r="U194" s="7">
        <f>IF($B194="","",L194-T194)</f>
        <v/>
      </c>
      <c r="V194" s="7">
        <f>IF($B194="","",U194-G194)</f>
        <v/>
      </c>
      <c r="W194">
        <f>IF($B194="","",IF(COUNTIF($B$2:$B194,$B194)=1,1,0))</f>
        <v/>
      </c>
      <c r="X194">
        <f>IF($W194=1,SUMPRODUCT(--($Z$2:$Z$501&lt;$Z194))+1,"")</f>
        <v/>
      </c>
      <c r="Y194">
        <f>IF($B194="","",IF(OR($R194=TRUE(),$R194="TRUE"),1,0))</f>
        <v/>
      </c>
      <c r="Z194">
        <f>IF($W194=1,IFERROR(IF(VALUE($B194)&lt;100000000,VALUE($B194),1000000000),IFERROR(IF(VALUE(MID($B194,2,20))&lt;100000000,VALUE(MID($B194,2,20)),1000000000),1000000000))+ROW()/100000,"")</f>
        <v/>
      </c>
    </row>
    <row r="195">
      <c r="A195">
        <f>IF($B195="","",IFERROR(IF(INDEX('Per Invoice'!$A$2:$A$201,MATCH($B195,'Per Invoice'!$B$2:$B$201,0))=0,"",INDEX('Per Invoice'!$A$2:$A$201,MATCH($B195,'Per Invoice'!$B$2:$B$201,0))),""))</f>
        <v/>
      </c>
      <c r="G195" s="7">
        <f>IF($B195="","",F195*L195/100)</f>
        <v/>
      </c>
      <c r="J195" s="7" t="n"/>
      <c r="L195" s="7" t="n"/>
      <c r="M195" s="7" t="n"/>
      <c r="P195" s="11" t="n"/>
      <c r="S195">
        <f>IF($B195="","",IF($Y195=1,Settings!$C$6,Settings!$C$7)*1)</f>
        <v/>
      </c>
      <c r="T195" s="7">
        <f>IF($B195="","",S195*L195)</f>
        <v/>
      </c>
      <c r="U195" s="7">
        <f>IF($B195="","",L195-T195)</f>
        <v/>
      </c>
      <c r="V195" s="7">
        <f>IF($B195="","",U195-G195)</f>
        <v/>
      </c>
      <c r="W195">
        <f>IF($B195="","",IF(COUNTIF($B$2:$B195,$B195)=1,1,0))</f>
        <v/>
      </c>
      <c r="X195">
        <f>IF($W195=1,SUMPRODUCT(--($Z$2:$Z$501&lt;$Z195))+1,"")</f>
        <v/>
      </c>
      <c r="Y195">
        <f>IF($B195="","",IF(OR($R195=TRUE(),$R195="TRUE"),1,0))</f>
        <v/>
      </c>
      <c r="Z195">
        <f>IF($W195=1,IFERROR(IF(VALUE($B195)&lt;100000000,VALUE($B195),1000000000),IFERROR(IF(VALUE(MID($B195,2,20))&lt;100000000,VALUE(MID($B195,2,20)),1000000000),1000000000))+ROW()/100000,"")</f>
        <v/>
      </c>
    </row>
    <row r="196">
      <c r="A196">
        <f>IF($B196="","",IFERROR(IF(INDEX('Per Invoice'!$A$2:$A$201,MATCH($B196,'Per Invoice'!$B$2:$B$201,0))=0,"",INDEX('Per Invoice'!$A$2:$A$201,MATCH($B196,'Per Invoice'!$B$2:$B$201,0))),""))</f>
        <v/>
      </c>
      <c r="G196" s="7">
        <f>IF($B196="","",F196*L196/100)</f>
        <v/>
      </c>
      <c r="J196" s="7" t="n"/>
      <c r="L196" s="7" t="n"/>
      <c r="M196" s="7" t="n"/>
      <c r="P196" s="11" t="n"/>
      <c r="S196">
        <f>IF($B196="","",IF($Y196=1,Settings!$C$6,Settings!$C$7)*1)</f>
        <v/>
      </c>
      <c r="T196" s="7">
        <f>IF($B196="","",S196*L196)</f>
        <v/>
      </c>
      <c r="U196" s="7">
        <f>IF($B196="","",L196-T196)</f>
        <v/>
      </c>
      <c r="V196" s="7">
        <f>IF($B196="","",U196-G196)</f>
        <v/>
      </c>
      <c r="W196">
        <f>IF($B196="","",IF(COUNTIF($B$2:$B196,$B196)=1,1,0))</f>
        <v/>
      </c>
      <c r="X196">
        <f>IF($W196=1,SUMPRODUCT(--($Z$2:$Z$501&lt;$Z196))+1,"")</f>
        <v/>
      </c>
      <c r="Y196">
        <f>IF($B196="","",IF(OR($R196=TRUE(),$R196="TRUE"),1,0))</f>
        <v/>
      </c>
      <c r="Z196">
        <f>IF($W196=1,IFERROR(IF(VALUE($B196)&lt;100000000,VALUE($B196),1000000000),IFERROR(IF(VALUE(MID($B196,2,20))&lt;100000000,VALUE(MID($B196,2,20)),1000000000),1000000000))+ROW()/100000,"")</f>
        <v/>
      </c>
    </row>
    <row r="197">
      <c r="A197">
        <f>IF($B197="","",IFERROR(IF(INDEX('Per Invoice'!$A$2:$A$201,MATCH($B197,'Per Invoice'!$B$2:$B$201,0))=0,"",INDEX('Per Invoice'!$A$2:$A$201,MATCH($B197,'Per Invoice'!$B$2:$B$201,0))),""))</f>
        <v/>
      </c>
      <c r="G197" s="7">
        <f>IF($B197="","",F197*L197/100)</f>
        <v/>
      </c>
      <c r="J197" s="7" t="n"/>
      <c r="L197" s="7" t="n"/>
      <c r="M197" s="7" t="n"/>
      <c r="P197" s="11" t="n"/>
      <c r="S197">
        <f>IF($B197="","",IF($Y197=1,Settings!$C$6,Settings!$C$7)*1)</f>
        <v/>
      </c>
      <c r="T197" s="7">
        <f>IF($B197="","",S197*L197)</f>
        <v/>
      </c>
      <c r="U197" s="7">
        <f>IF($B197="","",L197-T197)</f>
        <v/>
      </c>
      <c r="V197" s="7">
        <f>IF($B197="","",U197-G197)</f>
        <v/>
      </c>
      <c r="W197">
        <f>IF($B197="","",IF(COUNTIF($B$2:$B197,$B197)=1,1,0))</f>
        <v/>
      </c>
      <c r="X197">
        <f>IF($W197=1,SUMPRODUCT(--($Z$2:$Z$501&lt;$Z197))+1,"")</f>
        <v/>
      </c>
      <c r="Y197">
        <f>IF($B197="","",IF(OR($R197=TRUE(),$R197="TRUE"),1,0))</f>
        <v/>
      </c>
      <c r="Z197">
        <f>IF($W197=1,IFERROR(IF(VALUE($B197)&lt;100000000,VALUE($B197),1000000000),IFERROR(IF(VALUE(MID($B197,2,20))&lt;100000000,VALUE(MID($B197,2,20)),1000000000),1000000000))+ROW()/100000,"")</f>
        <v/>
      </c>
    </row>
    <row r="198">
      <c r="A198">
        <f>IF($B198="","",IFERROR(IF(INDEX('Per Invoice'!$A$2:$A$201,MATCH($B198,'Per Invoice'!$B$2:$B$201,0))=0,"",INDEX('Per Invoice'!$A$2:$A$201,MATCH($B198,'Per Invoice'!$B$2:$B$201,0))),""))</f>
        <v/>
      </c>
      <c r="G198" s="7">
        <f>IF($B198="","",F198*L198/100)</f>
        <v/>
      </c>
      <c r="J198" s="7" t="n"/>
      <c r="L198" s="7" t="n"/>
      <c r="M198" s="7" t="n"/>
      <c r="P198" s="11" t="n"/>
      <c r="S198">
        <f>IF($B198="","",IF($Y198=1,Settings!$C$6,Settings!$C$7)*1)</f>
        <v/>
      </c>
      <c r="T198" s="7">
        <f>IF($B198="","",S198*L198)</f>
        <v/>
      </c>
      <c r="U198" s="7">
        <f>IF($B198="","",L198-T198)</f>
        <v/>
      </c>
      <c r="V198" s="7">
        <f>IF($B198="","",U198-G198)</f>
        <v/>
      </c>
      <c r="W198">
        <f>IF($B198="","",IF(COUNTIF($B$2:$B198,$B198)=1,1,0))</f>
        <v/>
      </c>
      <c r="X198">
        <f>IF($W198=1,SUMPRODUCT(--($Z$2:$Z$501&lt;$Z198))+1,"")</f>
        <v/>
      </c>
      <c r="Y198">
        <f>IF($B198="","",IF(OR($R198=TRUE(),$R198="TRUE"),1,0))</f>
        <v/>
      </c>
      <c r="Z198">
        <f>IF($W198=1,IFERROR(IF(VALUE($B198)&lt;100000000,VALUE($B198),1000000000),IFERROR(IF(VALUE(MID($B198,2,20))&lt;100000000,VALUE(MID($B198,2,20)),1000000000),1000000000))+ROW()/100000,"")</f>
        <v/>
      </c>
    </row>
    <row r="199">
      <c r="A199">
        <f>IF($B199="","",IFERROR(IF(INDEX('Per Invoice'!$A$2:$A$201,MATCH($B199,'Per Invoice'!$B$2:$B$201,0))=0,"",INDEX('Per Invoice'!$A$2:$A$201,MATCH($B199,'Per Invoice'!$B$2:$B$201,0))),""))</f>
        <v/>
      </c>
      <c r="G199" s="7">
        <f>IF($B199="","",F199*L199/100)</f>
        <v/>
      </c>
      <c r="J199" s="7" t="n"/>
      <c r="L199" s="7" t="n"/>
      <c r="M199" s="7" t="n"/>
      <c r="P199" s="11" t="n"/>
      <c r="S199">
        <f>IF($B199="","",IF($Y199=1,Settings!$C$6,Settings!$C$7)*1)</f>
        <v/>
      </c>
      <c r="T199" s="7">
        <f>IF($B199="","",S199*L199)</f>
        <v/>
      </c>
      <c r="U199" s="7">
        <f>IF($B199="","",L199-T199)</f>
        <v/>
      </c>
      <c r="V199" s="7">
        <f>IF($B199="","",U199-G199)</f>
        <v/>
      </c>
      <c r="W199">
        <f>IF($B199="","",IF(COUNTIF($B$2:$B199,$B199)=1,1,0))</f>
        <v/>
      </c>
      <c r="X199">
        <f>IF($W199=1,SUMPRODUCT(--($Z$2:$Z$501&lt;$Z199))+1,"")</f>
        <v/>
      </c>
      <c r="Y199">
        <f>IF($B199="","",IF(OR($R199=TRUE(),$R199="TRUE"),1,0))</f>
        <v/>
      </c>
      <c r="Z199">
        <f>IF($W199=1,IFERROR(IF(VALUE($B199)&lt;100000000,VALUE($B199),1000000000),IFERROR(IF(VALUE(MID($B199,2,20))&lt;100000000,VALUE(MID($B199,2,20)),1000000000),1000000000))+ROW()/100000,"")</f>
        <v/>
      </c>
    </row>
    <row r="200">
      <c r="A200">
        <f>IF($B200="","",IFERROR(IF(INDEX('Per Invoice'!$A$2:$A$201,MATCH($B200,'Per Invoice'!$B$2:$B$201,0))=0,"",INDEX('Per Invoice'!$A$2:$A$201,MATCH($B200,'Per Invoice'!$B$2:$B$201,0))),""))</f>
        <v/>
      </c>
      <c r="G200" s="7">
        <f>IF($B200="","",F200*L200/100)</f>
        <v/>
      </c>
      <c r="J200" s="7" t="n"/>
      <c r="L200" s="7" t="n"/>
      <c r="M200" s="7" t="n"/>
      <c r="P200" s="11" t="n"/>
      <c r="S200">
        <f>IF($B200="","",IF($Y200=1,Settings!$C$6,Settings!$C$7)*1)</f>
        <v/>
      </c>
      <c r="T200" s="7">
        <f>IF($B200="","",S200*L200)</f>
        <v/>
      </c>
      <c r="U200" s="7">
        <f>IF($B200="","",L200-T200)</f>
        <v/>
      </c>
      <c r="V200" s="7">
        <f>IF($B200="","",U200-G200)</f>
        <v/>
      </c>
      <c r="W200">
        <f>IF($B200="","",IF(COUNTIF($B$2:$B200,$B200)=1,1,0))</f>
        <v/>
      </c>
      <c r="X200">
        <f>IF($W200=1,SUMPRODUCT(--($Z$2:$Z$501&lt;$Z200))+1,"")</f>
        <v/>
      </c>
      <c r="Y200">
        <f>IF($B200="","",IF(OR($R200=TRUE(),$R200="TRUE"),1,0))</f>
        <v/>
      </c>
      <c r="Z200">
        <f>IF($W200=1,IFERROR(IF(VALUE($B200)&lt;100000000,VALUE($B200),1000000000),IFERROR(IF(VALUE(MID($B200,2,20))&lt;100000000,VALUE(MID($B200,2,20)),1000000000),1000000000))+ROW()/100000,"")</f>
        <v/>
      </c>
    </row>
    <row r="201">
      <c r="A201">
        <f>IF($B201="","",IFERROR(IF(INDEX('Per Invoice'!$A$2:$A$201,MATCH($B201,'Per Invoice'!$B$2:$B$201,0))=0,"",INDEX('Per Invoice'!$A$2:$A$201,MATCH($B201,'Per Invoice'!$B$2:$B$201,0))),""))</f>
        <v/>
      </c>
      <c r="G201" s="7">
        <f>IF($B201="","",F201*L201/100)</f>
        <v/>
      </c>
      <c r="J201" s="7" t="n"/>
      <c r="L201" s="7" t="n"/>
      <c r="M201" s="7" t="n"/>
      <c r="P201" s="11" t="n"/>
      <c r="S201">
        <f>IF($B201="","",IF($Y201=1,Settings!$C$6,Settings!$C$7)*1)</f>
        <v/>
      </c>
      <c r="T201" s="7">
        <f>IF($B201="","",S201*L201)</f>
        <v/>
      </c>
      <c r="U201" s="7">
        <f>IF($B201="","",L201-T201)</f>
        <v/>
      </c>
      <c r="V201" s="7">
        <f>IF($B201="","",U201-G201)</f>
        <v/>
      </c>
      <c r="W201">
        <f>IF($B201="","",IF(COUNTIF($B$2:$B201,$B201)=1,1,0))</f>
        <v/>
      </c>
      <c r="X201">
        <f>IF($W201=1,SUMPRODUCT(--($Z$2:$Z$501&lt;$Z201))+1,"")</f>
        <v/>
      </c>
      <c r="Y201">
        <f>IF($B201="","",IF(OR($R201=TRUE(),$R201="TRUE"),1,0))</f>
        <v/>
      </c>
      <c r="Z201">
        <f>IF($W201=1,IFERROR(IF(VALUE($B201)&lt;100000000,VALUE($B201),1000000000),IFERROR(IF(VALUE(MID($B201,2,20))&lt;100000000,VALUE(MID($B201,2,20)),1000000000),1000000000))+ROW()/100000,"")</f>
        <v/>
      </c>
    </row>
    <row r="202">
      <c r="A202">
        <f>IF($B202="","",IFERROR(IF(INDEX('Per Invoice'!$A$2:$A$201,MATCH($B202,'Per Invoice'!$B$2:$B$201,0))=0,"",INDEX('Per Invoice'!$A$2:$A$201,MATCH($B202,'Per Invoice'!$B$2:$B$201,0))),""))</f>
        <v/>
      </c>
      <c r="G202" s="7">
        <f>IF($B202="","",F202*L202/100)</f>
        <v/>
      </c>
      <c r="J202" s="7" t="n"/>
      <c r="L202" s="7" t="n"/>
      <c r="M202" s="7" t="n"/>
      <c r="P202" s="11" t="n"/>
      <c r="S202">
        <f>IF($B202="","",IF($Y202=1,Settings!$C$6,Settings!$C$7)*1)</f>
        <v/>
      </c>
      <c r="T202" s="7">
        <f>IF($B202="","",S202*L202)</f>
        <v/>
      </c>
      <c r="U202" s="7">
        <f>IF($B202="","",L202-T202)</f>
        <v/>
      </c>
      <c r="V202" s="7">
        <f>IF($B202="","",U202-G202)</f>
        <v/>
      </c>
      <c r="W202">
        <f>IF($B202="","",IF(COUNTIF($B$2:$B202,$B202)=1,1,0))</f>
        <v/>
      </c>
      <c r="X202">
        <f>IF($W202=1,SUMPRODUCT(--($Z$2:$Z$501&lt;$Z202))+1,"")</f>
        <v/>
      </c>
      <c r="Y202">
        <f>IF($B202="","",IF(OR($R202=TRUE(),$R202="TRUE"),1,0))</f>
        <v/>
      </c>
      <c r="Z202">
        <f>IF($W202=1,IFERROR(IF(VALUE($B202)&lt;100000000,VALUE($B202),1000000000),IFERROR(IF(VALUE(MID($B202,2,20))&lt;100000000,VALUE(MID($B202,2,20)),1000000000),1000000000))+ROW()/100000,"")</f>
        <v/>
      </c>
    </row>
    <row r="203">
      <c r="A203">
        <f>IF($B203="","",IFERROR(IF(INDEX('Per Invoice'!$A$2:$A$201,MATCH($B203,'Per Invoice'!$B$2:$B$201,0))=0,"",INDEX('Per Invoice'!$A$2:$A$201,MATCH($B203,'Per Invoice'!$B$2:$B$201,0))),""))</f>
        <v/>
      </c>
      <c r="G203" s="7">
        <f>IF($B203="","",F203*L203/100)</f>
        <v/>
      </c>
      <c r="J203" s="7" t="n"/>
      <c r="L203" s="7" t="n"/>
      <c r="M203" s="7" t="n"/>
      <c r="P203" s="11" t="n"/>
      <c r="S203">
        <f>IF($B203="","",IF($Y203=1,Settings!$C$6,Settings!$C$7)*1)</f>
        <v/>
      </c>
      <c r="T203" s="7">
        <f>IF($B203="","",S203*L203)</f>
        <v/>
      </c>
      <c r="U203" s="7">
        <f>IF($B203="","",L203-T203)</f>
        <v/>
      </c>
      <c r="V203" s="7">
        <f>IF($B203="","",U203-G203)</f>
        <v/>
      </c>
      <c r="W203">
        <f>IF($B203="","",IF(COUNTIF($B$2:$B203,$B203)=1,1,0))</f>
        <v/>
      </c>
      <c r="X203">
        <f>IF($W203=1,SUMPRODUCT(--($Z$2:$Z$501&lt;$Z203))+1,"")</f>
        <v/>
      </c>
      <c r="Y203">
        <f>IF($B203="","",IF(OR($R203=TRUE(),$R203="TRUE"),1,0))</f>
        <v/>
      </c>
      <c r="Z203">
        <f>IF($W203=1,IFERROR(IF(VALUE($B203)&lt;100000000,VALUE($B203),1000000000),IFERROR(IF(VALUE(MID($B203,2,20))&lt;100000000,VALUE(MID($B203,2,20)),1000000000),1000000000))+ROW()/100000,"")</f>
        <v/>
      </c>
    </row>
    <row r="204">
      <c r="A204">
        <f>IF($B204="","",IFERROR(IF(INDEX('Per Invoice'!$A$2:$A$201,MATCH($B204,'Per Invoice'!$B$2:$B$201,0))=0,"",INDEX('Per Invoice'!$A$2:$A$201,MATCH($B204,'Per Invoice'!$B$2:$B$201,0))),""))</f>
        <v/>
      </c>
      <c r="G204" s="7">
        <f>IF($B204="","",F204*L204/100)</f>
        <v/>
      </c>
      <c r="J204" s="7" t="n"/>
      <c r="L204" s="7" t="n"/>
      <c r="M204" s="7" t="n"/>
      <c r="P204" s="11" t="n"/>
      <c r="S204">
        <f>IF($B204="","",IF($Y204=1,Settings!$C$6,Settings!$C$7)*1)</f>
        <v/>
      </c>
      <c r="T204" s="7">
        <f>IF($B204="","",S204*L204)</f>
        <v/>
      </c>
      <c r="U204" s="7">
        <f>IF($B204="","",L204-T204)</f>
        <v/>
      </c>
      <c r="V204" s="7">
        <f>IF($B204="","",U204-G204)</f>
        <v/>
      </c>
      <c r="W204">
        <f>IF($B204="","",IF(COUNTIF($B$2:$B204,$B204)=1,1,0))</f>
        <v/>
      </c>
      <c r="X204">
        <f>IF($W204=1,SUMPRODUCT(--($Z$2:$Z$501&lt;$Z204))+1,"")</f>
        <v/>
      </c>
      <c r="Y204">
        <f>IF($B204="","",IF(OR($R204=TRUE(),$R204="TRUE"),1,0))</f>
        <v/>
      </c>
      <c r="Z204">
        <f>IF($W204=1,IFERROR(IF(VALUE($B204)&lt;100000000,VALUE($B204),1000000000),IFERROR(IF(VALUE(MID($B204,2,20))&lt;100000000,VALUE(MID($B204,2,20)),1000000000),1000000000))+ROW()/100000,"")</f>
        <v/>
      </c>
    </row>
    <row r="205">
      <c r="A205">
        <f>IF($B205="","",IFERROR(IF(INDEX('Per Invoice'!$A$2:$A$201,MATCH($B205,'Per Invoice'!$B$2:$B$201,0))=0,"",INDEX('Per Invoice'!$A$2:$A$201,MATCH($B205,'Per Invoice'!$B$2:$B$201,0))),""))</f>
        <v/>
      </c>
      <c r="G205" s="7">
        <f>IF($B205="","",F205*L205/100)</f>
        <v/>
      </c>
      <c r="J205" s="7" t="n"/>
      <c r="L205" s="7" t="n"/>
      <c r="M205" s="7" t="n"/>
      <c r="P205" s="11" t="n"/>
      <c r="S205">
        <f>IF($B205="","",IF($Y205=1,Settings!$C$6,Settings!$C$7)*1)</f>
        <v/>
      </c>
      <c r="T205" s="7">
        <f>IF($B205="","",S205*L205)</f>
        <v/>
      </c>
      <c r="U205" s="7">
        <f>IF($B205="","",L205-T205)</f>
        <v/>
      </c>
      <c r="V205" s="7">
        <f>IF($B205="","",U205-G205)</f>
        <v/>
      </c>
      <c r="W205">
        <f>IF($B205="","",IF(COUNTIF($B$2:$B205,$B205)=1,1,0))</f>
        <v/>
      </c>
      <c r="X205">
        <f>IF($W205=1,SUMPRODUCT(--($Z$2:$Z$501&lt;$Z205))+1,"")</f>
        <v/>
      </c>
      <c r="Y205">
        <f>IF($B205="","",IF(OR($R205=TRUE(),$R205="TRUE"),1,0))</f>
        <v/>
      </c>
      <c r="Z205">
        <f>IF($W205=1,IFERROR(IF(VALUE($B205)&lt;100000000,VALUE($B205),1000000000),IFERROR(IF(VALUE(MID($B205,2,20))&lt;100000000,VALUE(MID($B205,2,20)),1000000000),1000000000))+ROW()/100000,"")</f>
        <v/>
      </c>
    </row>
    <row r="206">
      <c r="A206">
        <f>IF($B206="","",IFERROR(IF(INDEX('Per Invoice'!$A$2:$A$201,MATCH($B206,'Per Invoice'!$B$2:$B$201,0))=0,"",INDEX('Per Invoice'!$A$2:$A$201,MATCH($B206,'Per Invoice'!$B$2:$B$201,0))),""))</f>
        <v/>
      </c>
      <c r="G206" s="7">
        <f>IF($B206="","",F206*L206/100)</f>
        <v/>
      </c>
      <c r="J206" s="7" t="n"/>
      <c r="L206" s="7" t="n"/>
      <c r="M206" s="7" t="n"/>
      <c r="P206" s="11" t="n"/>
      <c r="S206">
        <f>IF($B206="","",IF($Y206=1,Settings!$C$6,Settings!$C$7)*1)</f>
        <v/>
      </c>
      <c r="T206" s="7">
        <f>IF($B206="","",S206*L206)</f>
        <v/>
      </c>
      <c r="U206" s="7">
        <f>IF($B206="","",L206-T206)</f>
        <v/>
      </c>
      <c r="V206" s="7">
        <f>IF($B206="","",U206-G206)</f>
        <v/>
      </c>
      <c r="W206">
        <f>IF($B206="","",IF(COUNTIF($B$2:$B206,$B206)=1,1,0))</f>
        <v/>
      </c>
      <c r="X206">
        <f>IF($W206=1,SUMPRODUCT(--($Z$2:$Z$501&lt;$Z206))+1,"")</f>
        <v/>
      </c>
      <c r="Y206">
        <f>IF($B206="","",IF(OR($R206=TRUE(),$R206="TRUE"),1,0))</f>
        <v/>
      </c>
      <c r="Z206">
        <f>IF($W206=1,IFERROR(IF(VALUE($B206)&lt;100000000,VALUE($B206),1000000000),IFERROR(IF(VALUE(MID($B206,2,20))&lt;100000000,VALUE(MID($B206,2,20)),1000000000),1000000000))+ROW()/100000,"")</f>
        <v/>
      </c>
    </row>
    <row r="207">
      <c r="A207">
        <f>IF($B207="","",IFERROR(IF(INDEX('Per Invoice'!$A$2:$A$201,MATCH($B207,'Per Invoice'!$B$2:$B$201,0))=0,"",INDEX('Per Invoice'!$A$2:$A$201,MATCH($B207,'Per Invoice'!$B$2:$B$201,0))),""))</f>
        <v/>
      </c>
      <c r="G207" s="7">
        <f>IF($B207="","",F207*L207/100)</f>
        <v/>
      </c>
      <c r="J207" s="7" t="n"/>
      <c r="L207" s="7" t="n"/>
      <c r="M207" s="7" t="n"/>
      <c r="P207" s="11" t="n"/>
      <c r="S207">
        <f>IF($B207="","",IF($Y207=1,Settings!$C$6,Settings!$C$7)*1)</f>
        <v/>
      </c>
      <c r="T207" s="7">
        <f>IF($B207="","",S207*L207)</f>
        <v/>
      </c>
      <c r="U207" s="7">
        <f>IF($B207="","",L207-T207)</f>
        <v/>
      </c>
      <c r="V207" s="7">
        <f>IF($B207="","",U207-G207)</f>
        <v/>
      </c>
      <c r="W207">
        <f>IF($B207="","",IF(COUNTIF($B$2:$B207,$B207)=1,1,0))</f>
        <v/>
      </c>
      <c r="X207">
        <f>IF($W207=1,SUMPRODUCT(--($Z$2:$Z$501&lt;$Z207))+1,"")</f>
        <v/>
      </c>
      <c r="Y207">
        <f>IF($B207="","",IF(OR($R207=TRUE(),$R207="TRUE"),1,0))</f>
        <v/>
      </c>
      <c r="Z207">
        <f>IF($W207=1,IFERROR(IF(VALUE($B207)&lt;100000000,VALUE($B207),1000000000),IFERROR(IF(VALUE(MID($B207,2,20))&lt;100000000,VALUE(MID($B207,2,20)),1000000000),1000000000))+ROW()/100000,"")</f>
        <v/>
      </c>
    </row>
    <row r="208">
      <c r="A208">
        <f>IF($B208="","",IFERROR(IF(INDEX('Per Invoice'!$A$2:$A$201,MATCH($B208,'Per Invoice'!$B$2:$B$201,0))=0,"",INDEX('Per Invoice'!$A$2:$A$201,MATCH($B208,'Per Invoice'!$B$2:$B$201,0))),""))</f>
        <v/>
      </c>
      <c r="G208" s="7">
        <f>IF($B208="","",F208*L208/100)</f>
        <v/>
      </c>
      <c r="J208" s="7" t="n"/>
      <c r="L208" s="7" t="n"/>
      <c r="M208" s="7" t="n"/>
      <c r="P208" s="11" t="n"/>
      <c r="S208">
        <f>IF($B208="","",IF($Y208=1,Settings!$C$6,Settings!$C$7)*1)</f>
        <v/>
      </c>
      <c r="T208" s="7">
        <f>IF($B208="","",S208*L208)</f>
        <v/>
      </c>
      <c r="U208" s="7">
        <f>IF($B208="","",L208-T208)</f>
        <v/>
      </c>
      <c r="V208" s="7">
        <f>IF($B208="","",U208-G208)</f>
        <v/>
      </c>
      <c r="W208">
        <f>IF($B208="","",IF(COUNTIF($B$2:$B208,$B208)=1,1,0))</f>
        <v/>
      </c>
      <c r="X208">
        <f>IF($W208=1,SUMPRODUCT(--($Z$2:$Z$501&lt;$Z208))+1,"")</f>
        <v/>
      </c>
      <c r="Y208">
        <f>IF($B208="","",IF(OR($R208=TRUE(),$R208="TRUE"),1,0))</f>
        <v/>
      </c>
      <c r="Z208">
        <f>IF($W208=1,IFERROR(IF(VALUE($B208)&lt;100000000,VALUE($B208),1000000000),IFERROR(IF(VALUE(MID($B208,2,20))&lt;100000000,VALUE(MID($B208,2,20)),1000000000),1000000000))+ROW()/100000,"")</f>
        <v/>
      </c>
    </row>
    <row r="209">
      <c r="A209">
        <f>IF($B209="","",IFERROR(IF(INDEX('Per Invoice'!$A$2:$A$201,MATCH($B209,'Per Invoice'!$B$2:$B$201,0))=0,"",INDEX('Per Invoice'!$A$2:$A$201,MATCH($B209,'Per Invoice'!$B$2:$B$201,0))),""))</f>
        <v/>
      </c>
      <c r="G209" s="7">
        <f>IF($B209="","",F209*L209/100)</f>
        <v/>
      </c>
      <c r="J209" s="7" t="n"/>
      <c r="L209" s="7" t="n"/>
      <c r="M209" s="7" t="n"/>
      <c r="P209" s="11" t="n"/>
      <c r="S209">
        <f>IF($B209="","",IF($Y209=1,Settings!$C$6,Settings!$C$7)*1)</f>
        <v/>
      </c>
      <c r="T209" s="7">
        <f>IF($B209="","",S209*L209)</f>
        <v/>
      </c>
      <c r="U209" s="7">
        <f>IF($B209="","",L209-T209)</f>
        <v/>
      </c>
      <c r="V209" s="7">
        <f>IF($B209="","",U209-G209)</f>
        <v/>
      </c>
      <c r="W209">
        <f>IF($B209="","",IF(COUNTIF($B$2:$B209,$B209)=1,1,0))</f>
        <v/>
      </c>
      <c r="X209">
        <f>IF($W209=1,SUMPRODUCT(--($Z$2:$Z$501&lt;$Z209))+1,"")</f>
        <v/>
      </c>
      <c r="Y209">
        <f>IF($B209="","",IF(OR($R209=TRUE(),$R209="TRUE"),1,0))</f>
        <v/>
      </c>
      <c r="Z209">
        <f>IF($W209=1,IFERROR(IF(VALUE($B209)&lt;100000000,VALUE($B209),1000000000),IFERROR(IF(VALUE(MID($B209,2,20))&lt;100000000,VALUE(MID($B209,2,20)),1000000000),1000000000))+ROW()/100000,"")</f>
        <v/>
      </c>
    </row>
    <row r="210">
      <c r="A210">
        <f>IF($B210="","",IFERROR(IF(INDEX('Per Invoice'!$A$2:$A$201,MATCH($B210,'Per Invoice'!$B$2:$B$201,0))=0,"",INDEX('Per Invoice'!$A$2:$A$201,MATCH($B210,'Per Invoice'!$B$2:$B$201,0))),""))</f>
        <v/>
      </c>
      <c r="G210" s="7">
        <f>IF($B210="","",F210*L210/100)</f>
        <v/>
      </c>
      <c r="J210" s="7" t="n"/>
      <c r="L210" s="7" t="n"/>
      <c r="M210" s="7" t="n"/>
      <c r="P210" s="11" t="n"/>
      <c r="S210">
        <f>IF($B210="","",IF($Y210=1,Settings!$C$6,Settings!$C$7)*1)</f>
        <v/>
      </c>
      <c r="T210" s="7">
        <f>IF($B210="","",S210*L210)</f>
        <v/>
      </c>
      <c r="U210" s="7">
        <f>IF($B210="","",L210-T210)</f>
        <v/>
      </c>
      <c r="V210" s="7">
        <f>IF($B210="","",U210-G210)</f>
        <v/>
      </c>
      <c r="W210">
        <f>IF($B210="","",IF(COUNTIF($B$2:$B210,$B210)=1,1,0))</f>
        <v/>
      </c>
      <c r="X210">
        <f>IF($W210=1,SUMPRODUCT(--($Z$2:$Z$501&lt;$Z210))+1,"")</f>
        <v/>
      </c>
      <c r="Y210">
        <f>IF($B210="","",IF(OR($R210=TRUE(),$R210="TRUE"),1,0))</f>
        <v/>
      </c>
      <c r="Z210">
        <f>IF($W210=1,IFERROR(IF(VALUE($B210)&lt;100000000,VALUE($B210),1000000000),IFERROR(IF(VALUE(MID($B210,2,20))&lt;100000000,VALUE(MID($B210,2,20)),1000000000),1000000000))+ROW()/100000,"")</f>
        <v/>
      </c>
    </row>
    <row r="211">
      <c r="A211">
        <f>IF($B211="","",IFERROR(IF(INDEX('Per Invoice'!$A$2:$A$201,MATCH($B211,'Per Invoice'!$B$2:$B$201,0))=0,"",INDEX('Per Invoice'!$A$2:$A$201,MATCH($B211,'Per Invoice'!$B$2:$B$201,0))),""))</f>
        <v/>
      </c>
      <c r="G211" s="7">
        <f>IF($B211="","",F211*L211/100)</f>
        <v/>
      </c>
      <c r="J211" s="7" t="n"/>
      <c r="L211" s="7" t="n"/>
      <c r="M211" s="7" t="n"/>
      <c r="P211" s="11" t="n"/>
      <c r="S211">
        <f>IF($B211="","",IF($Y211=1,Settings!$C$6,Settings!$C$7)*1)</f>
        <v/>
      </c>
      <c r="T211" s="7">
        <f>IF($B211="","",S211*L211)</f>
        <v/>
      </c>
      <c r="U211" s="7">
        <f>IF($B211="","",L211-T211)</f>
        <v/>
      </c>
      <c r="V211" s="7">
        <f>IF($B211="","",U211-G211)</f>
        <v/>
      </c>
      <c r="W211">
        <f>IF($B211="","",IF(COUNTIF($B$2:$B211,$B211)=1,1,0))</f>
        <v/>
      </c>
      <c r="X211">
        <f>IF($W211=1,SUMPRODUCT(--($Z$2:$Z$501&lt;$Z211))+1,"")</f>
        <v/>
      </c>
      <c r="Y211">
        <f>IF($B211="","",IF(OR($R211=TRUE(),$R211="TRUE"),1,0))</f>
        <v/>
      </c>
      <c r="Z211">
        <f>IF($W211=1,IFERROR(IF(VALUE($B211)&lt;100000000,VALUE($B211),1000000000),IFERROR(IF(VALUE(MID($B211,2,20))&lt;100000000,VALUE(MID($B211,2,20)),1000000000),1000000000))+ROW()/100000,"")</f>
        <v/>
      </c>
    </row>
    <row r="212">
      <c r="A212">
        <f>IF($B212="","",IFERROR(IF(INDEX('Per Invoice'!$A$2:$A$201,MATCH($B212,'Per Invoice'!$B$2:$B$201,0))=0,"",INDEX('Per Invoice'!$A$2:$A$201,MATCH($B212,'Per Invoice'!$B$2:$B$201,0))),""))</f>
        <v/>
      </c>
      <c r="G212" s="7">
        <f>IF($B212="","",F212*L212/100)</f>
        <v/>
      </c>
      <c r="J212" s="7" t="n"/>
      <c r="L212" s="7" t="n"/>
      <c r="M212" s="7" t="n"/>
      <c r="P212" s="11" t="n"/>
      <c r="S212">
        <f>IF($B212="","",IF($Y212=1,Settings!$C$6,Settings!$C$7)*1)</f>
        <v/>
      </c>
      <c r="T212" s="7">
        <f>IF($B212="","",S212*L212)</f>
        <v/>
      </c>
      <c r="U212" s="7">
        <f>IF($B212="","",L212-T212)</f>
        <v/>
      </c>
      <c r="V212" s="7">
        <f>IF($B212="","",U212-G212)</f>
        <v/>
      </c>
      <c r="W212">
        <f>IF($B212="","",IF(COUNTIF($B$2:$B212,$B212)=1,1,0))</f>
        <v/>
      </c>
      <c r="X212">
        <f>IF($W212=1,SUMPRODUCT(--($Z$2:$Z$501&lt;$Z212))+1,"")</f>
        <v/>
      </c>
      <c r="Y212">
        <f>IF($B212="","",IF(OR($R212=TRUE(),$R212="TRUE"),1,0))</f>
        <v/>
      </c>
      <c r="Z212">
        <f>IF($W212=1,IFERROR(IF(VALUE($B212)&lt;100000000,VALUE($B212),1000000000),IFERROR(IF(VALUE(MID($B212,2,20))&lt;100000000,VALUE(MID($B212,2,20)),1000000000),1000000000))+ROW()/100000,"")</f>
        <v/>
      </c>
    </row>
    <row r="213">
      <c r="A213">
        <f>IF($B213="","",IFERROR(IF(INDEX('Per Invoice'!$A$2:$A$201,MATCH($B213,'Per Invoice'!$B$2:$B$201,0))=0,"",INDEX('Per Invoice'!$A$2:$A$201,MATCH($B213,'Per Invoice'!$B$2:$B$201,0))),""))</f>
        <v/>
      </c>
      <c r="G213" s="7">
        <f>IF($B213="","",F213*L213/100)</f>
        <v/>
      </c>
      <c r="J213" s="7" t="n"/>
      <c r="L213" s="7" t="n"/>
      <c r="M213" s="7" t="n"/>
      <c r="P213" s="11" t="n"/>
      <c r="S213">
        <f>IF($B213="","",IF($Y213=1,Settings!$C$6,Settings!$C$7)*1)</f>
        <v/>
      </c>
      <c r="T213" s="7">
        <f>IF($B213="","",S213*L213)</f>
        <v/>
      </c>
      <c r="U213" s="7">
        <f>IF($B213="","",L213-T213)</f>
        <v/>
      </c>
      <c r="V213" s="7">
        <f>IF($B213="","",U213-G213)</f>
        <v/>
      </c>
      <c r="W213">
        <f>IF($B213="","",IF(COUNTIF($B$2:$B213,$B213)=1,1,0))</f>
        <v/>
      </c>
      <c r="X213">
        <f>IF($W213=1,SUMPRODUCT(--($Z$2:$Z$501&lt;$Z213))+1,"")</f>
        <v/>
      </c>
      <c r="Y213">
        <f>IF($B213="","",IF(OR($R213=TRUE(),$R213="TRUE"),1,0))</f>
        <v/>
      </c>
      <c r="Z213">
        <f>IF($W213=1,IFERROR(IF(VALUE($B213)&lt;100000000,VALUE($B213),1000000000),IFERROR(IF(VALUE(MID($B213,2,20))&lt;100000000,VALUE(MID($B213,2,20)),1000000000),1000000000))+ROW()/100000,"")</f>
        <v/>
      </c>
    </row>
    <row r="214">
      <c r="A214">
        <f>IF($B214="","",IFERROR(IF(INDEX('Per Invoice'!$A$2:$A$201,MATCH($B214,'Per Invoice'!$B$2:$B$201,0))=0,"",INDEX('Per Invoice'!$A$2:$A$201,MATCH($B214,'Per Invoice'!$B$2:$B$201,0))),""))</f>
        <v/>
      </c>
      <c r="G214" s="7">
        <f>IF($B214="","",F214*L214/100)</f>
        <v/>
      </c>
      <c r="J214" s="7" t="n"/>
      <c r="L214" s="7" t="n"/>
      <c r="M214" s="7" t="n"/>
      <c r="P214" s="11" t="n"/>
      <c r="S214">
        <f>IF($B214="","",IF($Y214=1,Settings!$C$6,Settings!$C$7)*1)</f>
        <v/>
      </c>
      <c r="T214" s="7">
        <f>IF($B214="","",S214*L214)</f>
        <v/>
      </c>
      <c r="U214" s="7">
        <f>IF($B214="","",L214-T214)</f>
        <v/>
      </c>
      <c r="V214" s="7">
        <f>IF($B214="","",U214-G214)</f>
        <v/>
      </c>
      <c r="W214">
        <f>IF($B214="","",IF(COUNTIF($B$2:$B214,$B214)=1,1,0))</f>
        <v/>
      </c>
      <c r="X214">
        <f>IF($W214=1,SUMPRODUCT(--($Z$2:$Z$501&lt;$Z214))+1,"")</f>
        <v/>
      </c>
      <c r="Y214">
        <f>IF($B214="","",IF(OR($R214=TRUE(),$R214="TRUE"),1,0))</f>
        <v/>
      </c>
      <c r="Z214">
        <f>IF($W214=1,IFERROR(IF(VALUE($B214)&lt;100000000,VALUE($B214),1000000000),IFERROR(IF(VALUE(MID($B214,2,20))&lt;100000000,VALUE(MID($B214,2,20)),1000000000),1000000000))+ROW()/100000,"")</f>
        <v/>
      </c>
    </row>
    <row r="215">
      <c r="A215">
        <f>IF($B215="","",IFERROR(IF(INDEX('Per Invoice'!$A$2:$A$201,MATCH($B215,'Per Invoice'!$B$2:$B$201,0))=0,"",INDEX('Per Invoice'!$A$2:$A$201,MATCH($B215,'Per Invoice'!$B$2:$B$201,0))),""))</f>
        <v/>
      </c>
      <c r="G215" s="7">
        <f>IF($B215="","",F215*L215/100)</f>
        <v/>
      </c>
      <c r="J215" s="7" t="n"/>
      <c r="L215" s="7" t="n"/>
      <c r="M215" s="7" t="n"/>
      <c r="P215" s="11" t="n"/>
      <c r="S215">
        <f>IF($B215="","",IF($Y215=1,Settings!$C$6,Settings!$C$7)*1)</f>
        <v/>
      </c>
      <c r="T215" s="7">
        <f>IF($B215="","",S215*L215)</f>
        <v/>
      </c>
      <c r="U215" s="7">
        <f>IF($B215="","",L215-T215)</f>
        <v/>
      </c>
      <c r="V215" s="7">
        <f>IF($B215="","",U215-G215)</f>
        <v/>
      </c>
      <c r="W215">
        <f>IF($B215="","",IF(COUNTIF($B$2:$B215,$B215)=1,1,0))</f>
        <v/>
      </c>
      <c r="X215">
        <f>IF($W215=1,SUMPRODUCT(--($Z$2:$Z$501&lt;$Z215))+1,"")</f>
        <v/>
      </c>
      <c r="Y215">
        <f>IF($B215="","",IF(OR($R215=TRUE(),$R215="TRUE"),1,0))</f>
        <v/>
      </c>
      <c r="Z215">
        <f>IF($W215=1,IFERROR(IF(VALUE($B215)&lt;100000000,VALUE($B215),1000000000),IFERROR(IF(VALUE(MID($B215,2,20))&lt;100000000,VALUE(MID($B215,2,20)),1000000000),1000000000))+ROW()/100000,"")</f>
        <v/>
      </c>
    </row>
    <row r="216">
      <c r="A216">
        <f>IF($B216="","",IFERROR(IF(INDEX('Per Invoice'!$A$2:$A$201,MATCH($B216,'Per Invoice'!$B$2:$B$201,0))=0,"",INDEX('Per Invoice'!$A$2:$A$201,MATCH($B216,'Per Invoice'!$B$2:$B$201,0))),""))</f>
        <v/>
      </c>
      <c r="G216" s="7">
        <f>IF($B216="","",F216*L216/100)</f>
        <v/>
      </c>
      <c r="J216" s="7" t="n"/>
      <c r="L216" s="7" t="n"/>
      <c r="M216" s="7" t="n"/>
      <c r="P216" s="11" t="n"/>
      <c r="S216">
        <f>IF($B216="","",IF($Y216=1,Settings!$C$6,Settings!$C$7)*1)</f>
        <v/>
      </c>
      <c r="T216" s="7">
        <f>IF($B216="","",S216*L216)</f>
        <v/>
      </c>
      <c r="U216" s="7">
        <f>IF($B216="","",L216-T216)</f>
        <v/>
      </c>
      <c r="V216" s="7">
        <f>IF($B216="","",U216-G216)</f>
        <v/>
      </c>
      <c r="W216">
        <f>IF($B216="","",IF(COUNTIF($B$2:$B216,$B216)=1,1,0))</f>
        <v/>
      </c>
      <c r="X216">
        <f>IF($W216=1,SUMPRODUCT(--($Z$2:$Z$501&lt;$Z216))+1,"")</f>
        <v/>
      </c>
      <c r="Y216">
        <f>IF($B216="","",IF(OR($R216=TRUE(),$R216="TRUE"),1,0))</f>
        <v/>
      </c>
      <c r="Z216">
        <f>IF($W216=1,IFERROR(IF(VALUE($B216)&lt;100000000,VALUE($B216),1000000000),IFERROR(IF(VALUE(MID($B216,2,20))&lt;100000000,VALUE(MID($B216,2,20)),1000000000),1000000000))+ROW()/100000,"")</f>
        <v/>
      </c>
    </row>
    <row r="217">
      <c r="A217">
        <f>IF($B217="","",IFERROR(IF(INDEX('Per Invoice'!$A$2:$A$201,MATCH($B217,'Per Invoice'!$B$2:$B$201,0))=0,"",INDEX('Per Invoice'!$A$2:$A$201,MATCH($B217,'Per Invoice'!$B$2:$B$201,0))),""))</f>
        <v/>
      </c>
      <c r="G217" s="7">
        <f>IF($B217="","",F217*L217/100)</f>
        <v/>
      </c>
      <c r="J217" s="7" t="n"/>
      <c r="L217" s="7" t="n"/>
      <c r="M217" s="7" t="n"/>
      <c r="P217" s="11" t="n"/>
      <c r="S217">
        <f>IF($B217="","",IF($Y217=1,Settings!$C$6,Settings!$C$7)*1)</f>
        <v/>
      </c>
      <c r="T217" s="7">
        <f>IF($B217="","",S217*L217)</f>
        <v/>
      </c>
      <c r="U217" s="7">
        <f>IF($B217="","",L217-T217)</f>
        <v/>
      </c>
      <c r="V217" s="7">
        <f>IF($B217="","",U217-G217)</f>
        <v/>
      </c>
      <c r="W217">
        <f>IF($B217="","",IF(COUNTIF($B$2:$B217,$B217)=1,1,0))</f>
        <v/>
      </c>
      <c r="X217">
        <f>IF($W217=1,SUMPRODUCT(--($Z$2:$Z$501&lt;$Z217))+1,"")</f>
        <v/>
      </c>
      <c r="Y217">
        <f>IF($B217="","",IF(OR($R217=TRUE(),$R217="TRUE"),1,0))</f>
        <v/>
      </c>
      <c r="Z217">
        <f>IF($W217=1,IFERROR(IF(VALUE($B217)&lt;100000000,VALUE($B217),1000000000),IFERROR(IF(VALUE(MID($B217,2,20))&lt;100000000,VALUE(MID($B217,2,20)),1000000000),1000000000))+ROW()/100000,"")</f>
        <v/>
      </c>
    </row>
    <row r="218">
      <c r="A218">
        <f>IF($B218="","",IFERROR(IF(INDEX('Per Invoice'!$A$2:$A$201,MATCH($B218,'Per Invoice'!$B$2:$B$201,0))=0,"",INDEX('Per Invoice'!$A$2:$A$201,MATCH($B218,'Per Invoice'!$B$2:$B$201,0))),""))</f>
        <v/>
      </c>
      <c r="G218" s="7">
        <f>IF($B218="","",F218*L218/100)</f>
        <v/>
      </c>
      <c r="J218" s="7" t="n"/>
      <c r="L218" s="7" t="n"/>
      <c r="M218" s="7" t="n"/>
      <c r="P218" s="11" t="n"/>
      <c r="S218">
        <f>IF($B218="","",IF($Y218=1,Settings!$C$6,Settings!$C$7)*1)</f>
        <v/>
      </c>
      <c r="T218" s="7">
        <f>IF($B218="","",S218*L218)</f>
        <v/>
      </c>
      <c r="U218" s="7">
        <f>IF($B218="","",L218-T218)</f>
        <v/>
      </c>
      <c r="V218" s="7">
        <f>IF($B218="","",U218-G218)</f>
        <v/>
      </c>
      <c r="W218">
        <f>IF($B218="","",IF(COUNTIF($B$2:$B218,$B218)=1,1,0))</f>
        <v/>
      </c>
      <c r="X218">
        <f>IF($W218=1,SUMPRODUCT(--($Z$2:$Z$501&lt;$Z218))+1,"")</f>
        <v/>
      </c>
      <c r="Y218">
        <f>IF($B218="","",IF(OR($R218=TRUE(),$R218="TRUE"),1,0))</f>
        <v/>
      </c>
      <c r="Z218">
        <f>IF($W218=1,IFERROR(IF(VALUE($B218)&lt;100000000,VALUE($B218),1000000000),IFERROR(IF(VALUE(MID($B218,2,20))&lt;100000000,VALUE(MID($B218,2,20)),1000000000),1000000000))+ROW()/100000,"")</f>
        <v/>
      </c>
    </row>
    <row r="219">
      <c r="A219">
        <f>IF($B219="","",IFERROR(IF(INDEX('Per Invoice'!$A$2:$A$201,MATCH($B219,'Per Invoice'!$B$2:$B$201,0))=0,"",INDEX('Per Invoice'!$A$2:$A$201,MATCH($B219,'Per Invoice'!$B$2:$B$201,0))),""))</f>
        <v/>
      </c>
      <c r="G219" s="7">
        <f>IF($B219="","",F219*L219/100)</f>
        <v/>
      </c>
      <c r="J219" s="7" t="n"/>
      <c r="L219" s="7" t="n"/>
      <c r="M219" s="7" t="n"/>
      <c r="P219" s="11" t="n"/>
      <c r="S219">
        <f>IF($B219="","",IF($Y219=1,Settings!$C$6,Settings!$C$7)*1)</f>
        <v/>
      </c>
      <c r="T219" s="7">
        <f>IF($B219="","",S219*L219)</f>
        <v/>
      </c>
      <c r="U219" s="7">
        <f>IF($B219="","",L219-T219)</f>
        <v/>
      </c>
      <c r="V219" s="7">
        <f>IF($B219="","",U219-G219)</f>
        <v/>
      </c>
      <c r="W219">
        <f>IF($B219="","",IF(COUNTIF($B$2:$B219,$B219)=1,1,0))</f>
        <v/>
      </c>
      <c r="X219">
        <f>IF($W219=1,SUMPRODUCT(--($Z$2:$Z$501&lt;$Z219))+1,"")</f>
        <v/>
      </c>
      <c r="Y219">
        <f>IF($B219="","",IF(OR($R219=TRUE(),$R219="TRUE"),1,0))</f>
        <v/>
      </c>
      <c r="Z219">
        <f>IF($W219=1,IFERROR(IF(VALUE($B219)&lt;100000000,VALUE($B219),1000000000),IFERROR(IF(VALUE(MID($B219,2,20))&lt;100000000,VALUE(MID($B219,2,20)),1000000000),1000000000))+ROW()/100000,"")</f>
        <v/>
      </c>
    </row>
    <row r="220">
      <c r="A220">
        <f>IF($B220="","",IFERROR(IF(INDEX('Per Invoice'!$A$2:$A$201,MATCH($B220,'Per Invoice'!$B$2:$B$201,0))=0,"",INDEX('Per Invoice'!$A$2:$A$201,MATCH($B220,'Per Invoice'!$B$2:$B$201,0))),""))</f>
        <v/>
      </c>
      <c r="G220" s="7">
        <f>IF($B220="","",F220*L220/100)</f>
        <v/>
      </c>
      <c r="J220" s="7" t="n"/>
      <c r="L220" s="7" t="n"/>
      <c r="M220" s="7" t="n"/>
      <c r="P220" s="11" t="n"/>
      <c r="S220">
        <f>IF($B220="","",IF($Y220=1,Settings!$C$6,Settings!$C$7)*1)</f>
        <v/>
      </c>
      <c r="T220" s="7">
        <f>IF($B220="","",S220*L220)</f>
        <v/>
      </c>
      <c r="U220" s="7">
        <f>IF($B220="","",L220-T220)</f>
        <v/>
      </c>
      <c r="V220" s="7">
        <f>IF($B220="","",U220-G220)</f>
        <v/>
      </c>
      <c r="W220">
        <f>IF($B220="","",IF(COUNTIF($B$2:$B220,$B220)=1,1,0))</f>
        <v/>
      </c>
      <c r="X220">
        <f>IF($W220=1,SUMPRODUCT(--($Z$2:$Z$501&lt;$Z220))+1,"")</f>
        <v/>
      </c>
      <c r="Y220">
        <f>IF($B220="","",IF(OR($R220=TRUE(),$R220="TRUE"),1,0))</f>
        <v/>
      </c>
      <c r="Z220">
        <f>IF($W220=1,IFERROR(IF(VALUE($B220)&lt;100000000,VALUE($B220),1000000000),IFERROR(IF(VALUE(MID($B220,2,20))&lt;100000000,VALUE(MID($B220,2,20)),1000000000),1000000000))+ROW()/100000,"")</f>
        <v/>
      </c>
    </row>
    <row r="221">
      <c r="A221">
        <f>IF($B221="","",IFERROR(IF(INDEX('Per Invoice'!$A$2:$A$201,MATCH($B221,'Per Invoice'!$B$2:$B$201,0))=0,"",INDEX('Per Invoice'!$A$2:$A$201,MATCH($B221,'Per Invoice'!$B$2:$B$201,0))),""))</f>
        <v/>
      </c>
      <c r="G221" s="7">
        <f>IF($B221="","",F221*L221/100)</f>
        <v/>
      </c>
      <c r="J221" s="7" t="n"/>
      <c r="L221" s="7" t="n"/>
      <c r="M221" s="7" t="n"/>
      <c r="P221" s="11" t="n"/>
      <c r="S221">
        <f>IF($B221="","",IF($Y221=1,Settings!$C$6,Settings!$C$7)*1)</f>
        <v/>
      </c>
      <c r="T221" s="7">
        <f>IF($B221="","",S221*L221)</f>
        <v/>
      </c>
      <c r="U221" s="7">
        <f>IF($B221="","",L221-T221)</f>
        <v/>
      </c>
      <c r="V221" s="7">
        <f>IF($B221="","",U221-G221)</f>
        <v/>
      </c>
      <c r="W221">
        <f>IF($B221="","",IF(COUNTIF($B$2:$B221,$B221)=1,1,0))</f>
        <v/>
      </c>
      <c r="X221">
        <f>IF($W221=1,SUMPRODUCT(--($Z$2:$Z$501&lt;$Z221))+1,"")</f>
        <v/>
      </c>
      <c r="Y221">
        <f>IF($B221="","",IF(OR($R221=TRUE(),$R221="TRUE"),1,0))</f>
        <v/>
      </c>
      <c r="Z221">
        <f>IF($W221=1,IFERROR(IF(VALUE($B221)&lt;100000000,VALUE($B221),1000000000),IFERROR(IF(VALUE(MID($B221,2,20))&lt;100000000,VALUE(MID($B221,2,20)),1000000000),1000000000))+ROW()/100000,"")</f>
        <v/>
      </c>
    </row>
    <row r="222">
      <c r="A222">
        <f>IF($B222="","",IFERROR(IF(INDEX('Per Invoice'!$A$2:$A$201,MATCH($B222,'Per Invoice'!$B$2:$B$201,0))=0,"",INDEX('Per Invoice'!$A$2:$A$201,MATCH($B222,'Per Invoice'!$B$2:$B$201,0))),""))</f>
        <v/>
      </c>
      <c r="G222" s="7">
        <f>IF($B222="","",F222*L222/100)</f>
        <v/>
      </c>
      <c r="J222" s="7" t="n"/>
      <c r="L222" s="7" t="n"/>
      <c r="M222" s="7" t="n"/>
      <c r="P222" s="11" t="n"/>
      <c r="S222">
        <f>IF($B222="","",IF($Y222=1,Settings!$C$6,Settings!$C$7)*1)</f>
        <v/>
      </c>
      <c r="T222" s="7">
        <f>IF($B222="","",S222*L222)</f>
        <v/>
      </c>
      <c r="U222" s="7">
        <f>IF($B222="","",L222-T222)</f>
        <v/>
      </c>
      <c r="V222" s="7">
        <f>IF($B222="","",U222-G222)</f>
        <v/>
      </c>
      <c r="W222">
        <f>IF($B222="","",IF(COUNTIF($B$2:$B222,$B222)=1,1,0))</f>
        <v/>
      </c>
      <c r="X222">
        <f>IF($W222=1,SUMPRODUCT(--($Z$2:$Z$501&lt;$Z222))+1,"")</f>
        <v/>
      </c>
      <c r="Y222">
        <f>IF($B222="","",IF(OR($R222=TRUE(),$R222="TRUE"),1,0))</f>
        <v/>
      </c>
      <c r="Z222">
        <f>IF($W222=1,IFERROR(IF(VALUE($B222)&lt;100000000,VALUE($B222),1000000000),IFERROR(IF(VALUE(MID($B222,2,20))&lt;100000000,VALUE(MID($B222,2,20)),1000000000),1000000000))+ROW()/100000,"")</f>
        <v/>
      </c>
    </row>
    <row r="223">
      <c r="A223">
        <f>IF($B223="","",IFERROR(IF(INDEX('Per Invoice'!$A$2:$A$201,MATCH($B223,'Per Invoice'!$B$2:$B$201,0))=0,"",INDEX('Per Invoice'!$A$2:$A$201,MATCH($B223,'Per Invoice'!$B$2:$B$201,0))),""))</f>
        <v/>
      </c>
      <c r="G223" s="7">
        <f>IF($B223="","",F223*L223/100)</f>
        <v/>
      </c>
      <c r="J223" s="7" t="n"/>
      <c r="L223" s="7" t="n"/>
      <c r="M223" s="7" t="n"/>
      <c r="P223" s="11" t="n"/>
      <c r="S223">
        <f>IF($B223="","",IF($Y223=1,Settings!$C$6,Settings!$C$7)*1)</f>
        <v/>
      </c>
      <c r="T223" s="7">
        <f>IF($B223="","",S223*L223)</f>
        <v/>
      </c>
      <c r="U223" s="7">
        <f>IF($B223="","",L223-T223)</f>
        <v/>
      </c>
      <c r="V223" s="7">
        <f>IF($B223="","",U223-G223)</f>
        <v/>
      </c>
      <c r="W223">
        <f>IF($B223="","",IF(COUNTIF($B$2:$B223,$B223)=1,1,0))</f>
        <v/>
      </c>
      <c r="X223">
        <f>IF($W223=1,SUMPRODUCT(--($Z$2:$Z$501&lt;$Z223))+1,"")</f>
        <v/>
      </c>
      <c r="Y223">
        <f>IF($B223="","",IF(OR($R223=TRUE(),$R223="TRUE"),1,0))</f>
        <v/>
      </c>
      <c r="Z223">
        <f>IF($W223=1,IFERROR(IF(VALUE($B223)&lt;100000000,VALUE($B223),1000000000),IFERROR(IF(VALUE(MID($B223,2,20))&lt;100000000,VALUE(MID($B223,2,20)),1000000000),1000000000))+ROW()/100000,"")</f>
        <v/>
      </c>
    </row>
    <row r="224">
      <c r="A224">
        <f>IF($B224="","",IFERROR(IF(INDEX('Per Invoice'!$A$2:$A$201,MATCH($B224,'Per Invoice'!$B$2:$B$201,0))=0,"",INDEX('Per Invoice'!$A$2:$A$201,MATCH($B224,'Per Invoice'!$B$2:$B$201,0))),""))</f>
        <v/>
      </c>
      <c r="G224" s="7">
        <f>IF($B224="","",F224*L224/100)</f>
        <v/>
      </c>
      <c r="J224" s="7" t="n"/>
      <c r="L224" s="7" t="n"/>
      <c r="M224" s="7" t="n"/>
      <c r="P224" s="11" t="n"/>
      <c r="S224">
        <f>IF($B224="","",IF($Y224=1,Settings!$C$6,Settings!$C$7)*1)</f>
        <v/>
      </c>
      <c r="T224" s="7">
        <f>IF($B224="","",S224*L224)</f>
        <v/>
      </c>
      <c r="U224" s="7">
        <f>IF($B224="","",L224-T224)</f>
        <v/>
      </c>
      <c r="V224" s="7">
        <f>IF($B224="","",U224-G224)</f>
        <v/>
      </c>
      <c r="W224">
        <f>IF($B224="","",IF(COUNTIF($B$2:$B224,$B224)=1,1,0))</f>
        <v/>
      </c>
      <c r="X224">
        <f>IF($W224=1,SUMPRODUCT(--($Z$2:$Z$501&lt;$Z224))+1,"")</f>
        <v/>
      </c>
      <c r="Y224">
        <f>IF($B224="","",IF(OR($R224=TRUE(),$R224="TRUE"),1,0))</f>
        <v/>
      </c>
      <c r="Z224">
        <f>IF($W224=1,IFERROR(IF(VALUE($B224)&lt;100000000,VALUE($B224),1000000000),IFERROR(IF(VALUE(MID($B224,2,20))&lt;100000000,VALUE(MID($B224,2,20)),1000000000),1000000000))+ROW()/100000,"")</f>
        <v/>
      </c>
    </row>
    <row r="225">
      <c r="A225">
        <f>IF($B225="","",IFERROR(IF(INDEX('Per Invoice'!$A$2:$A$201,MATCH($B225,'Per Invoice'!$B$2:$B$201,0))=0,"",INDEX('Per Invoice'!$A$2:$A$201,MATCH($B225,'Per Invoice'!$B$2:$B$201,0))),""))</f>
        <v/>
      </c>
      <c r="G225" s="7">
        <f>IF($B225="","",F225*L225/100)</f>
        <v/>
      </c>
      <c r="J225" s="7" t="n"/>
      <c r="L225" s="7" t="n"/>
      <c r="M225" s="7" t="n"/>
      <c r="P225" s="11" t="n"/>
      <c r="S225">
        <f>IF($B225="","",IF($Y225=1,Settings!$C$6,Settings!$C$7)*1)</f>
        <v/>
      </c>
      <c r="T225" s="7">
        <f>IF($B225="","",S225*L225)</f>
        <v/>
      </c>
      <c r="U225" s="7">
        <f>IF($B225="","",L225-T225)</f>
        <v/>
      </c>
      <c r="V225" s="7">
        <f>IF($B225="","",U225-G225)</f>
        <v/>
      </c>
      <c r="W225">
        <f>IF($B225="","",IF(COUNTIF($B$2:$B225,$B225)=1,1,0))</f>
        <v/>
      </c>
      <c r="X225">
        <f>IF($W225=1,SUMPRODUCT(--($Z$2:$Z$501&lt;$Z225))+1,"")</f>
        <v/>
      </c>
      <c r="Y225">
        <f>IF($B225="","",IF(OR($R225=TRUE(),$R225="TRUE"),1,0))</f>
        <v/>
      </c>
      <c r="Z225">
        <f>IF($W225=1,IFERROR(IF(VALUE($B225)&lt;100000000,VALUE($B225),1000000000),IFERROR(IF(VALUE(MID($B225,2,20))&lt;100000000,VALUE(MID($B225,2,20)),1000000000),1000000000))+ROW()/100000,"")</f>
        <v/>
      </c>
    </row>
    <row r="226">
      <c r="A226">
        <f>IF($B226="","",IFERROR(IF(INDEX('Per Invoice'!$A$2:$A$201,MATCH($B226,'Per Invoice'!$B$2:$B$201,0))=0,"",INDEX('Per Invoice'!$A$2:$A$201,MATCH($B226,'Per Invoice'!$B$2:$B$201,0))),""))</f>
        <v/>
      </c>
      <c r="G226" s="7">
        <f>IF($B226="","",F226*L226/100)</f>
        <v/>
      </c>
      <c r="J226" s="7" t="n"/>
      <c r="L226" s="7" t="n"/>
      <c r="M226" s="7" t="n"/>
      <c r="P226" s="11" t="n"/>
      <c r="S226">
        <f>IF($B226="","",IF($Y226=1,Settings!$C$6,Settings!$C$7)*1)</f>
        <v/>
      </c>
      <c r="T226" s="7">
        <f>IF($B226="","",S226*L226)</f>
        <v/>
      </c>
      <c r="U226" s="7">
        <f>IF($B226="","",L226-T226)</f>
        <v/>
      </c>
      <c r="V226" s="7">
        <f>IF($B226="","",U226-G226)</f>
        <v/>
      </c>
      <c r="W226">
        <f>IF($B226="","",IF(COUNTIF($B$2:$B226,$B226)=1,1,0))</f>
        <v/>
      </c>
      <c r="X226">
        <f>IF($W226=1,SUMPRODUCT(--($Z$2:$Z$501&lt;$Z226))+1,"")</f>
        <v/>
      </c>
      <c r="Y226">
        <f>IF($B226="","",IF(OR($R226=TRUE(),$R226="TRUE"),1,0))</f>
        <v/>
      </c>
      <c r="Z226">
        <f>IF($W226=1,IFERROR(IF(VALUE($B226)&lt;100000000,VALUE($B226),1000000000),IFERROR(IF(VALUE(MID($B226,2,20))&lt;100000000,VALUE(MID($B226,2,20)),1000000000),1000000000))+ROW()/100000,"")</f>
        <v/>
      </c>
    </row>
    <row r="227">
      <c r="A227">
        <f>IF($B227="","",IFERROR(IF(INDEX('Per Invoice'!$A$2:$A$201,MATCH($B227,'Per Invoice'!$B$2:$B$201,0))=0,"",INDEX('Per Invoice'!$A$2:$A$201,MATCH($B227,'Per Invoice'!$B$2:$B$201,0))),""))</f>
        <v/>
      </c>
      <c r="G227" s="7">
        <f>IF($B227="","",F227*L227/100)</f>
        <v/>
      </c>
      <c r="J227" s="7" t="n"/>
      <c r="L227" s="7" t="n"/>
      <c r="M227" s="7" t="n"/>
      <c r="P227" s="11" t="n"/>
      <c r="S227">
        <f>IF($B227="","",IF($Y227=1,Settings!$C$6,Settings!$C$7)*1)</f>
        <v/>
      </c>
      <c r="T227" s="7">
        <f>IF($B227="","",S227*L227)</f>
        <v/>
      </c>
      <c r="U227" s="7">
        <f>IF($B227="","",L227-T227)</f>
        <v/>
      </c>
      <c r="V227" s="7">
        <f>IF($B227="","",U227-G227)</f>
        <v/>
      </c>
      <c r="W227">
        <f>IF($B227="","",IF(COUNTIF($B$2:$B227,$B227)=1,1,0))</f>
        <v/>
      </c>
      <c r="X227">
        <f>IF($W227=1,SUMPRODUCT(--($Z$2:$Z$501&lt;$Z227))+1,"")</f>
        <v/>
      </c>
      <c r="Y227">
        <f>IF($B227="","",IF(OR($R227=TRUE(),$R227="TRUE"),1,0))</f>
        <v/>
      </c>
      <c r="Z227">
        <f>IF($W227=1,IFERROR(IF(VALUE($B227)&lt;100000000,VALUE($B227),1000000000),IFERROR(IF(VALUE(MID($B227,2,20))&lt;100000000,VALUE(MID($B227,2,20)),1000000000),1000000000))+ROW()/100000,"")</f>
        <v/>
      </c>
    </row>
    <row r="228">
      <c r="A228">
        <f>IF($B228="","",IFERROR(IF(INDEX('Per Invoice'!$A$2:$A$201,MATCH($B228,'Per Invoice'!$B$2:$B$201,0))=0,"",INDEX('Per Invoice'!$A$2:$A$201,MATCH($B228,'Per Invoice'!$B$2:$B$201,0))),""))</f>
        <v/>
      </c>
      <c r="G228" s="7">
        <f>IF($B228="","",F228*L228/100)</f>
        <v/>
      </c>
      <c r="J228" s="7" t="n"/>
      <c r="L228" s="7" t="n"/>
      <c r="M228" s="7" t="n"/>
      <c r="P228" s="11" t="n"/>
      <c r="S228">
        <f>IF($B228="","",IF($Y228=1,Settings!$C$6,Settings!$C$7)*1)</f>
        <v/>
      </c>
      <c r="T228" s="7">
        <f>IF($B228="","",S228*L228)</f>
        <v/>
      </c>
      <c r="U228" s="7">
        <f>IF($B228="","",L228-T228)</f>
        <v/>
      </c>
      <c r="V228" s="7">
        <f>IF($B228="","",U228-G228)</f>
        <v/>
      </c>
      <c r="W228">
        <f>IF($B228="","",IF(COUNTIF($B$2:$B228,$B228)=1,1,0))</f>
        <v/>
      </c>
      <c r="X228">
        <f>IF($W228=1,SUMPRODUCT(--($Z$2:$Z$501&lt;$Z228))+1,"")</f>
        <v/>
      </c>
      <c r="Y228">
        <f>IF($B228="","",IF(OR($R228=TRUE(),$R228="TRUE"),1,0))</f>
        <v/>
      </c>
      <c r="Z228">
        <f>IF($W228=1,IFERROR(IF(VALUE($B228)&lt;100000000,VALUE($B228),1000000000),IFERROR(IF(VALUE(MID($B228,2,20))&lt;100000000,VALUE(MID($B228,2,20)),1000000000),1000000000))+ROW()/100000,"")</f>
        <v/>
      </c>
    </row>
    <row r="229">
      <c r="A229">
        <f>IF($B229="","",IFERROR(IF(INDEX('Per Invoice'!$A$2:$A$201,MATCH($B229,'Per Invoice'!$B$2:$B$201,0))=0,"",INDEX('Per Invoice'!$A$2:$A$201,MATCH($B229,'Per Invoice'!$B$2:$B$201,0))),""))</f>
        <v/>
      </c>
      <c r="G229" s="7">
        <f>IF($B229="","",F229*L229/100)</f>
        <v/>
      </c>
      <c r="J229" s="7" t="n"/>
      <c r="L229" s="7" t="n"/>
      <c r="M229" s="7" t="n"/>
      <c r="P229" s="11" t="n"/>
      <c r="S229">
        <f>IF($B229="","",IF($Y229=1,Settings!$C$6,Settings!$C$7)*1)</f>
        <v/>
      </c>
      <c r="T229" s="7">
        <f>IF($B229="","",S229*L229)</f>
        <v/>
      </c>
      <c r="U229" s="7">
        <f>IF($B229="","",L229-T229)</f>
        <v/>
      </c>
      <c r="V229" s="7">
        <f>IF($B229="","",U229-G229)</f>
        <v/>
      </c>
      <c r="W229">
        <f>IF($B229="","",IF(COUNTIF($B$2:$B229,$B229)=1,1,0))</f>
        <v/>
      </c>
      <c r="X229">
        <f>IF($W229=1,SUMPRODUCT(--($Z$2:$Z$501&lt;$Z229))+1,"")</f>
        <v/>
      </c>
      <c r="Y229">
        <f>IF($B229="","",IF(OR($R229=TRUE(),$R229="TRUE"),1,0))</f>
        <v/>
      </c>
      <c r="Z229">
        <f>IF($W229=1,IFERROR(IF(VALUE($B229)&lt;100000000,VALUE($B229),1000000000),IFERROR(IF(VALUE(MID($B229,2,20))&lt;100000000,VALUE(MID($B229,2,20)),1000000000),1000000000))+ROW()/100000,"")</f>
        <v/>
      </c>
    </row>
    <row r="230">
      <c r="A230">
        <f>IF($B230="","",IFERROR(IF(INDEX('Per Invoice'!$A$2:$A$201,MATCH($B230,'Per Invoice'!$B$2:$B$201,0))=0,"",INDEX('Per Invoice'!$A$2:$A$201,MATCH($B230,'Per Invoice'!$B$2:$B$201,0))),""))</f>
        <v/>
      </c>
      <c r="G230" s="7">
        <f>IF($B230="","",F230*L230/100)</f>
        <v/>
      </c>
      <c r="J230" s="7" t="n"/>
      <c r="L230" s="7" t="n"/>
      <c r="M230" s="7" t="n"/>
      <c r="P230" s="11" t="n"/>
      <c r="S230">
        <f>IF($B230="","",IF($Y230=1,Settings!$C$6,Settings!$C$7)*1)</f>
        <v/>
      </c>
      <c r="T230" s="7">
        <f>IF($B230="","",S230*L230)</f>
        <v/>
      </c>
      <c r="U230" s="7">
        <f>IF($B230="","",L230-T230)</f>
        <v/>
      </c>
      <c r="V230" s="7">
        <f>IF($B230="","",U230-G230)</f>
        <v/>
      </c>
      <c r="W230">
        <f>IF($B230="","",IF(COUNTIF($B$2:$B230,$B230)=1,1,0))</f>
        <v/>
      </c>
      <c r="X230">
        <f>IF($W230=1,SUMPRODUCT(--($Z$2:$Z$501&lt;$Z230))+1,"")</f>
        <v/>
      </c>
      <c r="Y230">
        <f>IF($B230="","",IF(OR($R230=TRUE(),$R230="TRUE"),1,0))</f>
        <v/>
      </c>
      <c r="Z230">
        <f>IF($W230=1,IFERROR(IF(VALUE($B230)&lt;100000000,VALUE($B230),1000000000),IFERROR(IF(VALUE(MID($B230,2,20))&lt;100000000,VALUE(MID($B230,2,20)),1000000000),1000000000))+ROW()/100000,"")</f>
        <v/>
      </c>
    </row>
    <row r="231">
      <c r="A231">
        <f>IF($B231="","",IFERROR(IF(INDEX('Per Invoice'!$A$2:$A$201,MATCH($B231,'Per Invoice'!$B$2:$B$201,0))=0,"",INDEX('Per Invoice'!$A$2:$A$201,MATCH($B231,'Per Invoice'!$B$2:$B$201,0))),""))</f>
        <v/>
      </c>
      <c r="G231" s="7">
        <f>IF($B231="","",F231*L231/100)</f>
        <v/>
      </c>
      <c r="J231" s="7" t="n"/>
      <c r="L231" s="7" t="n"/>
      <c r="M231" s="7" t="n"/>
      <c r="P231" s="11" t="n"/>
      <c r="S231">
        <f>IF($B231="","",IF($Y231=1,Settings!$C$6,Settings!$C$7)*1)</f>
        <v/>
      </c>
      <c r="T231" s="7">
        <f>IF($B231="","",S231*L231)</f>
        <v/>
      </c>
      <c r="U231" s="7">
        <f>IF($B231="","",L231-T231)</f>
        <v/>
      </c>
      <c r="V231" s="7">
        <f>IF($B231="","",U231-G231)</f>
        <v/>
      </c>
      <c r="W231">
        <f>IF($B231="","",IF(COUNTIF($B$2:$B231,$B231)=1,1,0))</f>
        <v/>
      </c>
      <c r="X231">
        <f>IF($W231=1,SUMPRODUCT(--($Z$2:$Z$501&lt;$Z231))+1,"")</f>
        <v/>
      </c>
      <c r="Y231">
        <f>IF($B231="","",IF(OR($R231=TRUE(),$R231="TRUE"),1,0))</f>
        <v/>
      </c>
      <c r="Z231">
        <f>IF($W231=1,IFERROR(IF(VALUE($B231)&lt;100000000,VALUE($B231),1000000000),IFERROR(IF(VALUE(MID($B231,2,20))&lt;100000000,VALUE(MID($B231,2,20)),1000000000),1000000000))+ROW()/100000,"")</f>
        <v/>
      </c>
    </row>
    <row r="232">
      <c r="A232">
        <f>IF($B232="","",IFERROR(IF(INDEX('Per Invoice'!$A$2:$A$201,MATCH($B232,'Per Invoice'!$B$2:$B$201,0))=0,"",INDEX('Per Invoice'!$A$2:$A$201,MATCH($B232,'Per Invoice'!$B$2:$B$201,0))),""))</f>
        <v/>
      </c>
      <c r="G232" s="7">
        <f>IF($B232="","",F232*L232/100)</f>
        <v/>
      </c>
      <c r="J232" s="7" t="n"/>
      <c r="L232" s="7" t="n"/>
      <c r="M232" s="7" t="n"/>
      <c r="P232" s="11" t="n"/>
      <c r="S232">
        <f>IF($B232="","",IF($Y232=1,Settings!$C$6,Settings!$C$7)*1)</f>
        <v/>
      </c>
      <c r="T232" s="7">
        <f>IF($B232="","",S232*L232)</f>
        <v/>
      </c>
      <c r="U232" s="7">
        <f>IF($B232="","",L232-T232)</f>
        <v/>
      </c>
      <c r="V232" s="7">
        <f>IF($B232="","",U232-G232)</f>
        <v/>
      </c>
      <c r="W232">
        <f>IF($B232="","",IF(COUNTIF($B$2:$B232,$B232)=1,1,0))</f>
        <v/>
      </c>
      <c r="X232">
        <f>IF($W232=1,SUMPRODUCT(--($Z$2:$Z$501&lt;$Z232))+1,"")</f>
        <v/>
      </c>
      <c r="Y232">
        <f>IF($B232="","",IF(OR($R232=TRUE(),$R232="TRUE"),1,0))</f>
        <v/>
      </c>
      <c r="Z232">
        <f>IF($W232=1,IFERROR(IF(VALUE($B232)&lt;100000000,VALUE($B232),1000000000),IFERROR(IF(VALUE(MID($B232,2,20))&lt;100000000,VALUE(MID($B232,2,20)),1000000000),1000000000))+ROW()/100000,"")</f>
        <v/>
      </c>
    </row>
    <row r="233">
      <c r="A233">
        <f>IF($B233="","",IFERROR(IF(INDEX('Per Invoice'!$A$2:$A$201,MATCH($B233,'Per Invoice'!$B$2:$B$201,0))=0,"",INDEX('Per Invoice'!$A$2:$A$201,MATCH($B233,'Per Invoice'!$B$2:$B$201,0))),""))</f>
        <v/>
      </c>
      <c r="G233" s="7">
        <f>IF($B233="","",F233*L233/100)</f>
        <v/>
      </c>
      <c r="J233" s="7" t="n"/>
      <c r="L233" s="7" t="n"/>
      <c r="M233" s="7" t="n"/>
      <c r="P233" s="11" t="n"/>
      <c r="S233">
        <f>IF($B233="","",IF($Y233=1,Settings!$C$6,Settings!$C$7)*1)</f>
        <v/>
      </c>
      <c r="T233" s="7">
        <f>IF($B233="","",S233*L233)</f>
        <v/>
      </c>
      <c r="U233" s="7">
        <f>IF($B233="","",L233-T233)</f>
        <v/>
      </c>
      <c r="V233" s="7">
        <f>IF($B233="","",U233-G233)</f>
        <v/>
      </c>
      <c r="W233">
        <f>IF($B233="","",IF(COUNTIF($B$2:$B233,$B233)=1,1,0))</f>
        <v/>
      </c>
      <c r="X233">
        <f>IF($W233=1,SUMPRODUCT(--($Z$2:$Z$501&lt;$Z233))+1,"")</f>
        <v/>
      </c>
      <c r="Y233">
        <f>IF($B233="","",IF(OR($R233=TRUE(),$R233="TRUE"),1,0))</f>
        <v/>
      </c>
      <c r="Z233">
        <f>IF($W233=1,IFERROR(IF(VALUE($B233)&lt;100000000,VALUE($B233),1000000000),IFERROR(IF(VALUE(MID($B233,2,20))&lt;100000000,VALUE(MID($B233,2,20)),1000000000),1000000000))+ROW()/100000,"")</f>
        <v/>
      </c>
    </row>
    <row r="234">
      <c r="A234">
        <f>IF($B234="","",IFERROR(IF(INDEX('Per Invoice'!$A$2:$A$201,MATCH($B234,'Per Invoice'!$B$2:$B$201,0))=0,"",INDEX('Per Invoice'!$A$2:$A$201,MATCH($B234,'Per Invoice'!$B$2:$B$201,0))),""))</f>
        <v/>
      </c>
      <c r="G234" s="7">
        <f>IF($B234="","",F234*L234/100)</f>
        <v/>
      </c>
      <c r="J234" s="7" t="n"/>
      <c r="L234" s="7" t="n"/>
      <c r="M234" s="7" t="n"/>
      <c r="P234" s="11" t="n"/>
      <c r="S234">
        <f>IF($B234="","",IF($Y234=1,Settings!$C$6,Settings!$C$7)*1)</f>
        <v/>
      </c>
      <c r="T234" s="7">
        <f>IF($B234="","",S234*L234)</f>
        <v/>
      </c>
      <c r="U234" s="7">
        <f>IF($B234="","",L234-T234)</f>
        <v/>
      </c>
      <c r="V234" s="7">
        <f>IF($B234="","",U234-G234)</f>
        <v/>
      </c>
      <c r="W234">
        <f>IF($B234="","",IF(COUNTIF($B$2:$B234,$B234)=1,1,0))</f>
        <v/>
      </c>
      <c r="X234">
        <f>IF($W234=1,SUMPRODUCT(--($Z$2:$Z$501&lt;$Z234))+1,"")</f>
        <v/>
      </c>
      <c r="Y234">
        <f>IF($B234="","",IF(OR($R234=TRUE(),$R234="TRUE"),1,0))</f>
        <v/>
      </c>
      <c r="Z234">
        <f>IF($W234=1,IFERROR(IF(VALUE($B234)&lt;100000000,VALUE($B234),1000000000),IFERROR(IF(VALUE(MID($B234,2,20))&lt;100000000,VALUE(MID($B234,2,20)),1000000000),1000000000))+ROW()/100000,"")</f>
        <v/>
      </c>
    </row>
    <row r="235">
      <c r="A235">
        <f>IF($B235="","",IFERROR(IF(INDEX('Per Invoice'!$A$2:$A$201,MATCH($B235,'Per Invoice'!$B$2:$B$201,0))=0,"",INDEX('Per Invoice'!$A$2:$A$201,MATCH($B235,'Per Invoice'!$B$2:$B$201,0))),""))</f>
        <v/>
      </c>
      <c r="G235" s="7">
        <f>IF($B235="","",F235*L235/100)</f>
        <v/>
      </c>
      <c r="J235" s="7" t="n"/>
      <c r="L235" s="7" t="n"/>
      <c r="M235" s="7" t="n"/>
      <c r="P235" s="11" t="n"/>
      <c r="S235">
        <f>IF($B235="","",IF($Y235=1,Settings!$C$6,Settings!$C$7)*1)</f>
        <v/>
      </c>
      <c r="T235" s="7">
        <f>IF($B235="","",S235*L235)</f>
        <v/>
      </c>
      <c r="U235" s="7">
        <f>IF($B235="","",L235-T235)</f>
        <v/>
      </c>
      <c r="V235" s="7">
        <f>IF($B235="","",U235-G235)</f>
        <v/>
      </c>
      <c r="W235">
        <f>IF($B235="","",IF(COUNTIF($B$2:$B235,$B235)=1,1,0))</f>
        <v/>
      </c>
      <c r="X235">
        <f>IF($W235=1,SUMPRODUCT(--($Z$2:$Z$501&lt;$Z235))+1,"")</f>
        <v/>
      </c>
      <c r="Y235">
        <f>IF($B235="","",IF(OR($R235=TRUE(),$R235="TRUE"),1,0))</f>
        <v/>
      </c>
      <c r="Z235">
        <f>IF($W235=1,IFERROR(IF(VALUE($B235)&lt;100000000,VALUE($B235),1000000000),IFERROR(IF(VALUE(MID($B235,2,20))&lt;100000000,VALUE(MID($B235,2,20)),1000000000),1000000000))+ROW()/100000,"")</f>
        <v/>
      </c>
    </row>
    <row r="236">
      <c r="A236">
        <f>IF($B236="","",IFERROR(IF(INDEX('Per Invoice'!$A$2:$A$201,MATCH($B236,'Per Invoice'!$B$2:$B$201,0))=0,"",INDEX('Per Invoice'!$A$2:$A$201,MATCH($B236,'Per Invoice'!$B$2:$B$201,0))),""))</f>
        <v/>
      </c>
      <c r="G236" s="7">
        <f>IF($B236="","",F236*L236/100)</f>
        <v/>
      </c>
      <c r="J236" s="7" t="n"/>
      <c r="L236" s="7" t="n"/>
      <c r="M236" s="7" t="n"/>
      <c r="P236" s="11" t="n"/>
      <c r="S236">
        <f>IF($B236="","",IF($Y236=1,Settings!$C$6,Settings!$C$7)*1)</f>
        <v/>
      </c>
      <c r="T236" s="7">
        <f>IF($B236="","",S236*L236)</f>
        <v/>
      </c>
      <c r="U236" s="7">
        <f>IF($B236="","",L236-T236)</f>
        <v/>
      </c>
      <c r="V236" s="7">
        <f>IF($B236="","",U236-G236)</f>
        <v/>
      </c>
      <c r="W236">
        <f>IF($B236="","",IF(COUNTIF($B$2:$B236,$B236)=1,1,0))</f>
        <v/>
      </c>
      <c r="X236">
        <f>IF($W236=1,SUMPRODUCT(--($Z$2:$Z$501&lt;$Z236))+1,"")</f>
        <v/>
      </c>
      <c r="Y236">
        <f>IF($B236="","",IF(OR($R236=TRUE(),$R236="TRUE"),1,0))</f>
        <v/>
      </c>
      <c r="Z236">
        <f>IF($W236=1,IFERROR(IF(VALUE($B236)&lt;100000000,VALUE($B236),1000000000),IFERROR(IF(VALUE(MID($B236,2,20))&lt;100000000,VALUE(MID($B236,2,20)),1000000000),1000000000))+ROW()/100000,"")</f>
        <v/>
      </c>
    </row>
    <row r="237">
      <c r="A237">
        <f>IF($B237="","",IFERROR(IF(INDEX('Per Invoice'!$A$2:$A$201,MATCH($B237,'Per Invoice'!$B$2:$B$201,0))=0,"",INDEX('Per Invoice'!$A$2:$A$201,MATCH($B237,'Per Invoice'!$B$2:$B$201,0))),""))</f>
        <v/>
      </c>
      <c r="G237" s="7">
        <f>IF($B237="","",F237*L237/100)</f>
        <v/>
      </c>
      <c r="J237" s="7" t="n"/>
      <c r="L237" s="7" t="n"/>
      <c r="M237" s="7" t="n"/>
      <c r="P237" s="11" t="n"/>
      <c r="S237">
        <f>IF($B237="","",IF($Y237=1,Settings!$C$6,Settings!$C$7)*1)</f>
        <v/>
      </c>
      <c r="T237" s="7">
        <f>IF($B237="","",S237*L237)</f>
        <v/>
      </c>
      <c r="U237" s="7">
        <f>IF($B237="","",L237-T237)</f>
        <v/>
      </c>
      <c r="V237" s="7">
        <f>IF($B237="","",U237-G237)</f>
        <v/>
      </c>
      <c r="W237">
        <f>IF($B237="","",IF(COUNTIF($B$2:$B237,$B237)=1,1,0))</f>
        <v/>
      </c>
      <c r="X237">
        <f>IF($W237=1,SUMPRODUCT(--($Z$2:$Z$501&lt;$Z237))+1,"")</f>
        <v/>
      </c>
      <c r="Y237">
        <f>IF($B237="","",IF(OR($R237=TRUE(),$R237="TRUE"),1,0))</f>
        <v/>
      </c>
      <c r="Z237">
        <f>IF($W237=1,IFERROR(IF(VALUE($B237)&lt;100000000,VALUE($B237),1000000000),IFERROR(IF(VALUE(MID($B237,2,20))&lt;100000000,VALUE(MID($B237,2,20)),1000000000),1000000000))+ROW()/100000,"")</f>
        <v/>
      </c>
    </row>
    <row r="238">
      <c r="A238">
        <f>IF($B238="","",IFERROR(IF(INDEX('Per Invoice'!$A$2:$A$201,MATCH($B238,'Per Invoice'!$B$2:$B$201,0))=0,"",INDEX('Per Invoice'!$A$2:$A$201,MATCH($B238,'Per Invoice'!$B$2:$B$201,0))),""))</f>
        <v/>
      </c>
      <c r="G238" s="7">
        <f>IF($B238="","",F238*L238/100)</f>
        <v/>
      </c>
      <c r="J238" s="7" t="n"/>
      <c r="L238" s="7" t="n"/>
      <c r="M238" s="7" t="n"/>
      <c r="P238" s="11" t="n"/>
      <c r="S238">
        <f>IF($B238="","",IF($Y238=1,Settings!$C$6,Settings!$C$7)*1)</f>
        <v/>
      </c>
      <c r="T238" s="7">
        <f>IF($B238="","",S238*L238)</f>
        <v/>
      </c>
      <c r="U238" s="7">
        <f>IF($B238="","",L238-T238)</f>
        <v/>
      </c>
      <c r="V238" s="7">
        <f>IF($B238="","",U238-G238)</f>
        <v/>
      </c>
      <c r="W238">
        <f>IF($B238="","",IF(COUNTIF($B$2:$B238,$B238)=1,1,0))</f>
        <v/>
      </c>
      <c r="X238">
        <f>IF($W238=1,SUMPRODUCT(--($Z$2:$Z$501&lt;$Z238))+1,"")</f>
        <v/>
      </c>
      <c r="Y238">
        <f>IF($B238="","",IF(OR($R238=TRUE(),$R238="TRUE"),1,0))</f>
        <v/>
      </c>
      <c r="Z238">
        <f>IF($W238=1,IFERROR(IF(VALUE($B238)&lt;100000000,VALUE($B238),1000000000),IFERROR(IF(VALUE(MID($B238,2,20))&lt;100000000,VALUE(MID($B238,2,20)),1000000000),1000000000))+ROW()/100000,"")</f>
        <v/>
      </c>
    </row>
    <row r="239">
      <c r="A239">
        <f>IF($B239="","",IFERROR(IF(INDEX('Per Invoice'!$A$2:$A$201,MATCH($B239,'Per Invoice'!$B$2:$B$201,0))=0,"",INDEX('Per Invoice'!$A$2:$A$201,MATCH($B239,'Per Invoice'!$B$2:$B$201,0))),""))</f>
        <v/>
      </c>
      <c r="G239" s="7">
        <f>IF($B239="","",F239*L239/100)</f>
        <v/>
      </c>
      <c r="J239" s="7" t="n"/>
      <c r="L239" s="7" t="n"/>
      <c r="M239" s="7" t="n"/>
      <c r="P239" s="11" t="n"/>
      <c r="S239">
        <f>IF($B239="","",IF($Y239=1,Settings!$C$6,Settings!$C$7)*1)</f>
        <v/>
      </c>
      <c r="T239" s="7">
        <f>IF($B239="","",S239*L239)</f>
        <v/>
      </c>
      <c r="U239" s="7">
        <f>IF($B239="","",L239-T239)</f>
        <v/>
      </c>
      <c r="V239" s="7">
        <f>IF($B239="","",U239-G239)</f>
        <v/>
      </c>
      <c r="W239">
        <f>IF($B239="","",IF(COUNTIF($B$2:$B239,$B239)=1,1,0))</f>
        <v/>
      </c>
      <c r="X239">
        <f>IF($W239=1,SUMPRODUCT(--($Z$2:$Z$501&lt;$Z239))+1,"")</f>
        <v/>
      </c>
      <c r="Y239">
        <f>IF($B239="","",IF(OR($R239=TRUE(),$R239="TRUE"),1,0))</f>
        <v/>
      </c>
      <c r="Z239">
        <f>IF($W239=1,IFERROR(IF(VALUE($B239)&lt;100000000,VALUE($B239),1000000000),IFERROR(IF(VALUE(MID($B239,2,20))&lt;100000000,VALUE(MID($B239,2,20)),1000000000),1000000000))+ROW()/100000,"")</f>
        <v/>
      </c>
    </row>
    <row r="240">
      <c r="A240">
        <f>IF($B240="","",IFERROR(IF(INDEX('Per Invoice'!$A$2:$A$201,MATCH($B240,'Per Invoice'!$B$2:$B$201,0))=0,"",INDEX('Per Invoice'!$A$2:$A$201,MATCH($B240,'Per Invoice'!$B$2:$B$201,0))),""))</f>
        <v/>
      </c>
      <c r="G240" s="7">
        <f>IF($B240="","",F240*L240/100)</f>
        <v/>
      </c>
      <c r="J240" s="7" t="n"/>
      <c r="L240" s="7" t="n"/>
      <c r="M240" s="7" t="n"/>
      <c r="P240" s="11" t="n"/>
      <c r="S240">
        <f>IF($B240="","",IF($Y240=1,Settings!$C$6,Settings!$C$7)*1)</f>
        <v/>
      </c>
      <c r="T240" s="7">
        <f>IF($B240="","",S240*L240)</f>
        <v/>
      </c>
      <c r="U240" s="7">
        <f>IF($B240="","",L240-T240)</f>
        <v/>
      </c>
      <c r="V240" s="7">
        <f>IF($B240="","",U240-G240)</f>
        <v/>
      </c>
      <c r="W240">
        <f>IF($B240="","",IF(COUNTIF($B$2:$B240,$B240)=1,1,0))</f>
        <v/>
      </c>
      <c r="X240">
        <f>IF($W240=1,SUMPRODUCT(--($Z$2:$Z$501&lt;$Z240))+1,"")</f>
        <v/>
      </c>
      <c r="Y240">
        <f>IF($B240="","",IF(OR($R240=TRUE(),$R240="TRUE"),1,0))</f>
        <v/>
      </c>
      <c r="Z240">
        <f>IF($W240=1,IFERROR(IF(VALUE($B240)&lt;100000000,VALUE($B240),1000000000),IFERROR(IF(VALUE(MID($B240,2,20))&lt;100000000,VALUE(MID($B240,2,20)),1000000000),1000000000))+ROW()/100000,"")</f>
        <v/>
      </c>
    </row>
    <row r="241">
      <c r="A241">
        <f>IF($B241="","",IFERROR(IF(INDEX('Per Invoice'!$A$2:$A$201,MATCH($B241,'Per Invoice'!$B$2:$B$201,0))=0,"",INDEX('Per Invoice'!$A$2:$A$201,MATCH($B241,'Per Invoice'!$B$2:$B$201,0))),""))</f>
        <v/>
      </c>
      <c r="G241" s="7">
        <f>IF($B241="","",F241*L241/100)</f>
        <v/>
      </c>
      <c r="J241" s="7" t="n"/>
      <c r="L241" s="7" t="n"/>
      <c r="M241" s="7" t="n"/>
      <c r="P241" s="11" t="n"/>
      <c r="S241">
        <f>IF($B241="","",IF($Y241=1,Settings!$C$6,Settings!$C$7)*1)</f>
        <v/>
      </c>
      <c r="T241" s="7">
        <f>IF($B241="","",S241*L241)</f>
        <v/>
      </c>
      <c r="U241" s="7">
        <f>IF($B241="","",L241-T241)</f>
        <v/>
      </c>
      <c r="V241" s="7">
        <f>IF($B241="","",U241-G241)</f>
        <v/>
      </c>
      <c r="W241">
        <f>IF($B241="","",IF(COUNTIF($B$2:$B241,$B241)=1,1,0))</f>
        <v/>
      </c>
      <c r="X241">
        <f>IF($W241=1,SUMPRODUCT(--($Z$2:$Z$501&lt;$Z241))+1,"")</f>
        <v/>
      </c>
      <c r="Y241">
        <f>IF($B241="","",IF(OR($R241=TRUE(),$R241="TRUE"),1,0))</f>
        <v/>
      </c>
      <c r="Z241">
        <f>IF($W241=1,IFERROR(IF(VALUE($B241)&lt;100000000,VALUE($B241),1000000000),IFERROR(IF(VALUE(MID($B241,2,20))&lt;100000000,VALUE(MID($B241,2,20)),1000000000),1000000000))+ROW()/100000,"")</f>
        <v/>
      </c>
    </row>
    <row r="242">
      <c r="A242">
        <f>IF($B242="","",IFERROR(IF(INDEX('Per Invoice'!$A$2:$A$201,MATCH($B242,'Per Invoice'!$B$2:$B$201,0))=0,"",INDEX('Per Invoice'!$A$2:$A$201,MATCH($B242,'Per Invoice'!$B$2:$B$201,0))),""))</f>
        <v/>
      </c>
      <c r="G242" s="7">
        <f>IF($B242="","",F242*L242/100)</f>
        <v/>
      </c>
      <c r="J242" s="7" t="n"/>
      <c r="L242" s="7" t="n"/>
      <c r="M242" s="7" t="n"/>
      <c r="P242" s="11" t="n"/>
      <c r="S242">
        <f>IF($B242="","",IF($Y242=1,Settings!$C$6,Settings!$C$7)*1)</f>
        <v/>
      </c>
      <c r="T242" s="7">
        <f>IF($B242="","",S242*L242)</f>
        <v/>
      </c>
      <c r="U242" s="7">
        <f>IF($B242="","",L242-T242)</f>
        <v/>
      </c>
      <c r="V242" s="7">
        <f>IF($B242="","",U242-G242)</f>
        <v/>
      </c>
      <c r="W242">
        <f>IF($B242="","",IF(COUNTIF($B$2:$B242,$B242)=1,1,0))</f>
        <v/>
      </c>
      <c r="X242">
        <f>IF($W242=1,SUMPRODUCT(--($Z$2:$Z$501&lt;$Z242))+1,"")</f>
        <v/>
      </c>
      <c r="Y242">
        <f>IF($B242="","",IF(OR($R242=TRUE(),$R242="TRUE"),1,0))</f>
        <v/>
      </c>
      <c r="Z242">
        <f>IF($W242=1,IFERROR(IF(VALUE($B242)&lt;100000000,VALUE($B242),1000000000),IFERROR(IF(VALUE(MID($B242,2,20))&lt;100000000,VALUE(MID($B242,2,20)),1000000000),1000000000))+ROW()/100000,"")</f>
        <v/>
      </c>
    </row>
    <row r="243">
      <c r="A243">
        <f>IF($B243="","",IFERROR(IF(INDEX('Per Invoice'!$A$2:$A$201,MATCH($B243,'Per Invoice'!$B$2:$B$201,0))=0,"",INDEX('Per Invoice'!$A$2:$A$201,MATCH($B243,'Per Invoice'!$B$2:$B$201,0))),""))</f>
        <v/>
      </c>
      <c r="G243" s="7">
        <f>IF($B243="","",F243*L243/100)</f>
        <v/>
      </c>
      <c r="J243" s="7" t="n"/>
      <c r="L243" s="7" t="n"/>
      <c r="M243" s="7" t="n"/>
      <c r="P243" s="11" t="n"/>
      <c r="S243">
        <f>IF($B243="","",IF($Y243=1,Settings!$C$6,Settings!$C$7)*1)</f>
        <v/>
      </c>
      <c r="T243" s="7">
        <f>IF($B243="","",S243*L243)</f>
        <v/>
      </c>
      <c r="U243" s="7">
        <f>IF($B243="","",L243-T243)</f>
        <v/>
      </c>
      <c r="V243" s="7">
        <f>IF($B243="","",U243-G243)</f>
        <v/>
      </c>
      <c r="W243">
        <f>IF($B243="","",IF(COUNTIF($B$2:$B243,$B243)=1,1,0))</f>
        <v/>
      </c>
      <c r="X243">
        <f>IF($W243=1,SUMPRODUCT(--($Z$2:$Z$501&lt;$Z243))+1,"")</f>
        <v/>
      </c>
      <c r="Y243">
        <f>IF($B243="","",IF(OR($R243=TRUE(),$R243="TRUE"),1,0))</f>
        <v/>
      </c>
      <c r="Z243">
        <f>IF($W243=1,IFERROR(IF(VALUE($B243)&lt;100000000,VALUE($B243),1000000000),IFERROR(IF(VALUE(MID($B243,2,20))&lt;100000000,VALUE(MID($B243,2,20)),1000000000),1000000000))+ROW()/100000,"")</f>
        <v/>
      </c>
    </row>
    <row r="244">
      <c r="A244">
        <f>IF($B244="","",IFERROR(IF(INDEX('Per Invoice'!$A$2:$A$201,MATCH($B244,'Per Invoice'!$B$2:$B$201,0))=0,"",INDEX('Per Invoice'!$A$2:$A$201,MATCH($B244,'Per Invoice'!$B$2:$B$201,0))),""))</f>
        <v/>
      </c>
      <c r="G244" s="7">
        <f>IF($B244="","",F244*L244/100)</f>
        <v/>
      </c>
      <c r="J244" s="7" t="n"/>
      <c r="L244" s="7" t="n"/>
      <c r="M244" s="7" t="n"/>
      <c r="P244" s="11" t="n"/>
      <c r="S244">
        <f>IF($B244="","",IF($Y244=1,Settings!$C$6,Settings!$C$7)*1)</f>
        <v/>
      </c>
      <c r="T244" s="7">
        <f>IF($B244="","",S244*L244)</f>
        <v/>
      </c>
      <c r="U244" s="7">
        <f>IF($B244="","",L244-T244)</f>
        <v/>
      </c>
      <c r="V244" s="7">
        <f>IF($B244="","",U244-G244)</f>
        <v/>
      </c>
      <c r="W244">
        <f>IF($B244="","",IF(COUNTIF($B$2:$B244,$B244)=1,1,0))</f>
        <v/>
      </c>
      <c r="X244">
        <f>IF($W244=1,SUMPRODUCT(--($Z$2:$Z$501&lt;$Z244))+1,"")</f>
        <v/>
      </c>
      <c r="Y244">
        <f>IF($B244="","",IF(OR($R244=TRUE(),$R244="TRUE"),1,0))</f>
        <v/>
      </c>
      <c r="Z244">
        <f>IF($W244=1,IFERROR(IF(VALUE($B244)&lt;100000000,VALUE($B244),1000000000),IFERROR(IF(VALUE(MID($B244,2,20))&lt;100000000,VALUE(MID($B244,2,20)),1000000000),1000000000))+ROW()/100000,"")</f>
        <v/>
      </c>
    </row>
    <row r="245">
      <c r="A245">
        <f>IF($B245="","",IFERROR(IF(INDEX('Per Invoice'!$A$2:$A$201,MATCH($B245,'Per Invoice'!$B$2:$B$201,0))=0,"",INDEX('Per Invoice'!$A$2:$A$201,MATCH($B245,'Per Invoice'!$B$2:$B$201,0))),""))</f>
        <v/>
      </c>
      <c r="G245" s="7">
        <f>IF($B245="","",F245*L245/100)</f>
        <v/>
      </c>
      <c r="J245" s="7" t="n"/>
      <c r="L245" s="7" t="n"/>
      <c r="M245" s="7" t="n"/>
      <c r="P245" s="11" t="n"/>
      <c r="S245">
        <f>IF($B245="","",IF($Y245=1,Settings!$C$6,Settings!$C$7)*1)</f>
        <v/>
      </c>
      <c r="T245" s="7">
        <f>IF($B245="","",S245*L245)</f>
        <v/>
      </c>
      <c r="U245" s="7">
        <f>IF($B245="","",L245-T245)</f>
        <v/>
      </c>
      <c r="V245" s="7">
        <f>IF($B245="","",U245-G245)</f>
        <v/>
      </c>
      <c r="W245">
        <f>IF($B245="","",IF(COUNTIF($B$2:$B245,$B245)=1,1,0))</f>
        <v/>
      </c>
      <c r="X245">
        <f>IF($W245=1,SUMPRODUCT(--($Z$2:$Z$501&lt;$Z245))+1,"")</f>
        <v/>
      </c>
      <c r="Y245">
        <f>IF($B245="","",IF(OR($R245=TRUE(),$R245="TRUE"),1,0))</f>
        <v/>
      </c>
      <c r="Z245">
        <f>IF($W245=1,IFERROR(IF(VALUE($B245)&lt;100000000,VALUE($B245),1000000000),IFERROR(IF(VALUE(MID($B245,2,20))&lt;100000000,VALUE(MID($B245,2,20)),1000000000),1000000000))+ROW()/100000,"")</f>
        <v/>
      </c>
    </row>
    <row r="246">
      <c r="A246">
        <f>IF($B246="","",IFERROR(IF(INDEX('Per Invoice'!$A$2:$A$201,MATCH($B246,'Per Invoice'!$B$2:$B$201,0))=0,"",INDEX('Per Invoice'!$A$2:$A$201,MATCH($B246,'Per Invoice'!$B$2:$B$201,0))),""))</f>
        <v/>
      </c>
      <c r="G246" s="7">
        <f>IF($B246="","",F246*L246/100)</f>
        <v/>
      </c>
      <c r="J246" s="7" t="n"/>
      <c r="L246" s="7" t="n"/>
      <c r="M246" s="7" t="n"/>
      <c r="P246" s="11" t="n"/>
      <c r="S246">
        <f>IF($B246="","",IF($Y246=1,Settings!$C$6,Settings!$C$7)*1)</f>
        <v/>
      </c>
      <c r="T246" s="7">
        <f>IF($B246="","",S246*L246)</f>
        <v/>
      </c>
      <c r="U246" s="7">
        <f>IF($B246="","",L246-T246)</f>
        <v/>
      </c>
      <c r="V246" s="7">
        <f>IF($B246="","",U246-G246)</f>
        <v/>
      </c>
      <c r="W246">
        <f>IF($B246="","",IF(COUNTIF($B$2:$B246,$B246)=1,1,0))</f>
        <v/>
      </c>
      <c r="X246">
        <f>IF($W246=1,SUMPRODUCT(--($Z$2:$Z$501&lt;$Z246))+1,"")</f>
        <v/>
      </c>
      <c r="Y246">
        <f>IF($B246="","",IF(OR($R246=TRUE(),$R246="TRUE"),1,0))</f>
        <v/>
      </c>
      <c r="Z246">
        <f>IF($W246=1,IFERROR(IF(VALUE($B246)&lt;100000000,VALUE($B246),1000000000),IFERROR(IF(VALUE(MID($B246,2,20))&lt;100000000,VALUE(MID($B246,2,20)),1000000000),1000000000))+ROW()/100000,"")</f>
        <v/>
      </c>
    </row>
    <row r="247">
      <c r="A247">
        <f>IF($B247="","",IFERROR(IF(INDEX('Per Invoice'!$A$2:$A$201,MATCH($B247,'Per Invoice'!$B$2:$B$201,0))=0,"",INDEX('Per Invoice'!$A$2:$A$201,MATCH($B247,'Per Invoice'!$B$2:$B$201,0))),""))</f>
        <v/>
      </c>
      <c r="G247" s="7">
        <f>IF($B247="","",F247*L247/100)</f>
        <v/>
      </c>
      <c r="J247" s="7" t="n"/>
      <c r="L247" s="7" t="n"/>
      <c r="M247" s="7" t="n"/>
      <c r="P247" s="11" t="n"/>
      <c r="S247">
        <f>IF($B247="","",IF($Y247=1,Settings!$C$6,Settings!$C$7)*1)</f>
        <v/>
      </c>
      <c r="T247" s="7">
        <f>IF($B247="","",S247*L247)</f>
        <v/>
      </c>
      <c r="U247" s="7">
        <f>IF($B247="","",L247-T247)</f>
        <v/>
      </c>
      <c r="V247" s="7">
        <f>IF($B247="","",U247-G247)</f>
        <v/>
      </c>
      <c r="W247">
        <f>IF($B247="","",IF(COUNTIF($B$2:$B247,$B247)=1,1,0))</f>
        <v/>
      </c>
      <c r="X247">
        <f>IF($W247=1,SUMPRODUCT(--($Z$2:$Z$501&lt;$Z247))+1,"")</f>
        <v/>
      </c>
      <c r="Y247">
        <f>IF($B247="","",IF(OR($R247=TRUE(),$R247="TRUE"),1,0))</f>
        <v/>
      </c>
      <c r="Z247">
        <f>IF($W247=1,IFERROR(IF(VALUE($B247)&lt;100000000,VALUE($B247),1000000000),IFERROR(IF(VALUE(MID($B247,2,20))&lt;100000000,VALUE(MID($B247,2,20)),1000000000),1000000000))+ROW()/100000,"")</f>
        <v/>
      </c>
    </row>
    <row r="248">
      <c r="A248">
        <f>IF($B248="","",IFERROR(IF(INDEX('Per Invoice'!$A$2:$A$201,MATCH($B248,'Per Invoice'!$B$2:$B$201,0))=0,"",INDEX('Per Invoice'!$A$2:$A$201,MATCH($B248,'Per Invoice'!$B$2:$B$201,0))),""))</f>
        <v/>
      </c>
      <c r="G248" s="7">
        <f>IF($B248="","",F248*L248/100)</f>
        <v/>
      </c>
      <c r="J248" s="7" t="n"/>
      <c r="L248" s="7" t="n"/>
      <c r="M248" s="7" t="n"/>
      <c r="P248" s="11" t="n"/>
      <c r="S248">
        <f>IF($B248="","",IF($Y248=1,Settings!$C$6,Settings!$C$7)*1)</f>
        <v/>
      </c>
      <c r="T248" s="7">
        <f>IF($B248="","",S248*L248)</f>
        <v/>
      </c>
      <c r="U248" s="7">
        <f>IF($B248="","",L248-T248)</f>
        <v/>
      </c>
      <c r="V248" s="7">
        <f>IF($B248="","",U248-G248)</f>
        <v/>
      </c>
      <c r="W248">
        <f>IF($B248="","",IF(COUNTIF($B$2:$B248,$B248)=1,1,0))</f>
        <v/>
      </c>
      <c r="X248">
        <f>IF($W248=1,SUMPRODUCT(--($Z$2:$Z$501&lt;$Z248))+1,"")</f>
        <v/>
      </c>
      <c r="Y248">
        <f>IF($B248="","",IF(OR($R248=TRUE(),$R248="TRUE"),1,0))</f>
        <v/>
      </c>
      <c r="Z248">
        <f>IF($W248=1,IFERROR(IF(VALUE($B248)&lt;100000000,VALUE($B248),1000000000),IFERROR(IF(VALUE(MID($B248,2,20))&lt;100000000,VALUE(MID($B248,2,20)),1000000000),1000000000))+ROW()/100000,"")</f>
        <v/>
      </c>
    </row>
    <row r="249">
      <c r="A249">
        <f>IF($B249="","",IFERROR(IF(INDEX('Per Invoice'!$A$2:$A$201,MATCH($B249,'Per Invoice'!$B$2:$B$201,0))=0,"",INDEX('Per Invoice'!$A$2:$A$201,MATCH($B249,'Per Invoice'!$B$2:$B$201,0))),""))</f>
        <v/>
      </c>
      <c r="G249" s="7">
        <f>IF($B249="","",F249*L249/100)</f>
        <v/>
      </c>
      <c r="J249" s="7" t="n"/>
      <c r="L249" s="7" t="n"/>
      <c r="M249" s="7" t="n"/>
      <c r="P249" s="11" t="n"/>
      <c r="S249">
        <f>IF($B249="","",IF($Y249=1,Settings!$C$6,Settings!$C$7)*1)</f>
        <v/>
      </c>
      <c r="T249" s="7">
        <f>IF($B249="","",S249*L249)</f>
        <v/>
      </c>
      <c r="U249" s="7">
        <f>IF($B249="","",L249-T249)</f>
        <v/>
      </c>
      <c r="V249" s="7">
        <f>IF($B249="","",U249-G249)</f>
        <v/>
      </c>
      <c r="W249">
        <f>IF($B249="","",IF(COUNTIF($B$2:$B249,$B249)=1,1,0))</f>
        <v/>
      </c>
      <c r="X249">
        <f>IF($W249=1,SUMPRODUCT(--($Z$2:$Z$501&lt;$Z249))+1,"")</f>
        <v/>
      </c>
      <c r="Y249">
        <f>IF($B249="","",IF(OR($R249=TRUE(),$R249="TRUE"),1,0))</f>
        <v/>
      </c>
      <c r="Z249">
        <f>IF($W249=1,IFERROR(IF(VALUE($B249)&lt;100000000,VALUE($B249),1000000000),IFERROR(IF(VALUE(MID($B249,2,20))&lt;100000000,VALUE(MID($B249,2,20)),1000000000),1000000000))+ROW()/100000,"")</f>
        <v/>
      </c>
    </row>
    <row r="250">
      <c r="A250">
        <f>IF($B250="","",IFERROR(IF(INDEX('Per Invoice'!$A$2:$A$201,MATCH($B250,'Per Invoice'!$B$2:$B$201,0))=0,"",INDEX('Per Invoice'!$A$2:$A$201,MATCH($B250,'Per Invoice'!$B$2:$B$201,0))),""))</f>
        <v/>
      </c>
      <c r="G250" s="7">
        <f>IF($B250="","",F250*L250/100)</f>
        <v/>
      </c>
      <c r="J250" s="7" t="n"/>
      <c r="L250" s="7" t="n"/>
      <c r="M250" s="7" t="n"/>
      <c r="P250" s="11" t="n"/>
      <c r="S250">
        <f>IF($B250="","",IF($Y250=1,Settings!$C$6,Settings!$C$7)*1)</f>
        <v/>
      </c>
      <c r="T250" s="7">
        <f>IF($B250="","",S250*L250)</f>
        <v/>
      </c>
      <c r="U250" s="7">
        <f>IF($B250="","",L250-T250)</f>
        <v/>
      </c>
      <c r="V250" s="7">
        <f>IF($B250="","",U250-G250)</f>
        <v/>
      </c>
      <c r="W250">
        <f>IF($B250="","",IF(COUNTIF($B$2:$B250,$B250)=1,1,0))</f>
        <v/>
      </c>
      <c r="X250">
        <f>IF($W250=1,SUMPRODUCT(--($Z$2:$Z$501&lt;$Z250))+1,"")</f>
        <v/>
      </c>
      <c r="Y250">
        <f>IF($B250="","",IF(OR($R250=TRUE(),$R250="TRUE"),1,0))</f>
        <v/>
      </c>
      <c r="Z250">
        <f>IF($W250=1,IFERROR(IF(VALUE($B250)&lt;100000000,VALUE($B250),1000000000),IFERROR(IF(VALUE(MID($B250,2,20))&lt;100000000,VALUE(MID($B250,2,20)),1000000000),1000000000))+ROW()/100000,"")</f>
        <v/>
      </c>
    </row>
    <row r="251">
      <c r="A251">
        <f>IF($B251="","",IFERROR(IF(INDEX('Per Invoice'!$A$2:$A$201,MATCH($B251,'Per Invoice'!$B$2:$B$201,0))=0,"",INDEX('Per Invoice'!$A$2:$A$201,MATCH($B251,'Per Invoice'!$B$2:$B$201,0))),""))</f>
        <v/>
      </c>
      <c r="G251" s="7">
        <f>IF($B251="","",F251*L251/100)</f>
        <v/>
      </c>
      <c r="J251" s="7" t="n"/>
      <c r="L251" s="7" t="n"/>
      <c r="M251" s="7" t="n"/>
      <c r="P251" s="11" t="n"/>
      <c r="S251">
        <f>IF($B251="","",IF($Y251=1,Settings!$C$6,Settings!$C$7)*1)</f>
        <v/>
      </c>
      <c r="T251" s="7">
        <f>IF($B251="","",S251*L251)</f>
        <v/>
      </c>
      <c r="U251" s="7">
        <f>IF($B251="","",L251-T251)</f>
        <v/>
      </c>
      <c r="V251" s="7">
        <f>IF($B251="","",U251-G251)</f>
        <v/>
      </c>
      <c r="W251">
        <f>IF($B251="","",IF(COUNTIF($B$2:$B251,$B251)=1,1,0))</f>
        <v/>
      </c>
      <c r="X251">
        <f>IF($W251=1,SUMPRODUCT(--($Z$2:$Z$501&lt;$Z251))+1,"")</f>
        <v/>
      </c>
      <c r="Y251">
        <f>IF($B251="","",IF(OR($R251=TRUE(),$R251="TRUE"),1,0))</f>
        <v/>
      </c>
      <c r="Z251">
        <f>IF($W251=1,IFERROR(IF(VALUE($B251)&lt;100000000,VALUE($B251),1000000000),IFERROR(IF(VALUE(MID($B251,2,20))&lt;100000000,VALUE(MID($B251,2,20)),1000000000),1000000000))+ROW()/100000,"")</f>
        <v/>
      </c>
    </row>
    <row r="252">
      <c r="A252">
        <f>IF($B252="","",IFERROR(IF(INDEX('Per Invoice'!$A$2:$A$201,MATCH($B252,'Per Invoice'!$B$2:$B$201,0))=0,"",INDEX('Per Invoice'!$A$2:$A$201,MATCH($B252,'Per Invoice'!$B$2:$B$201,0))),""))</f>
        <v/>
      </c>
      <c r="G252" s="7">
        <f>IF($B252="","",F252*L252/100)</f>
        <v/>
      </c>
      <c r="J252" s="7" t="n"/>
      <c r="L252" s="7" t="n"/>
      <c r="M252" s="7" t="n"/>
      <c r="P252" s="11" t="n"/>
      <c r="S252">
        <f>IF($B252="","",IF($Y252=1,Settings!$C$6,Settings!$C$7)*1)</f>
        <v/>
      </c>
      <c r="T252" s="7">
        <f>IF($B252="","",S252*L252)</f>
        <v/>
      </c>
      <c r="U252" s="7">
        <f>IF($B252="","",L252-T252)</f>
        <v/>
      </c>
      <c r="V252" s="7">
        <f>IF($B252="","",U252-G252)</f>
        <v/>
      </c>
      <c r="W252">
        <f>IF($B252="","",IF(COUNTIF($B$2:$B252,$B252)=1,1,0))</f>
        <v/>
      </c>
      <c r="X252">
        <f>IF($W252=1,SUMPRODUCT(--($Z$2:$Z$501&lt;$Z252))+1,"")</f>
        <v/>
      </c>
      <c r="Y252">
        <f>IF($B252="","",IF(OR($R252=TRUE(),$R252="TRUE"),1,0))</f>
        <v/>
      </c>
      <c r="Z252">
        <f>IF($W252=1,IFERROR(IF(VALUE($B252)&lt;100000000,VALUE($B252),1000000000),IFERROR(IF(VALUE(MID($B252,2,20))&lt;100000000,VALUE(MID($B252,2,20)),1000000000),1000000000))+ROW()/100000,"")</f>
        <v/>
      </c>
    </row>
    <row r="253">
      <c r="A253">
        <f>IF($B253="","",IFERROR(IF(INDEX('Per Invoice'!$A$2:$A$201,MATCH($B253,'Per Invoice'!$B$2:$B$201,0))=0,"",INDEX('Per Invoice'!$A$2:$A$201,MATCH($B253,'Per Invoice'!$B$2:$B$201,0))),""))</f>
        <v/>
      </c>
      <c r="G253" s="7">
        <f>IF($B253="","",F253*L253/100)</f>
        <v/>
      </c>
      <c r="J253" s="7" t="n"/>
      <c r="L253" s="7" t="n"/>
      <c r="M253" s="7" t="n"/>
      <c r="P253" s="11" t="n"/>
      <c r="S253">
        <f>IF($B253="","",IF($Y253=1,Settings!$C$6,Settings!$C$7)*1)</f>
        <v/>
      </c>
      <c r="T253" s="7">
        <f>IF($B253="","",S253*L253)</f>
        <v/>
      </c>
      <c r="U253" s="7">
        <f>IF($B253="","",L253-T253)</f>
        <v/>
      </c>
      <c r="V253" s="7">
        <f>IF($B253="","",U253-G253)</f>
        <v/>
      </c>
      <c r="W253">
        <f>IF($B253="","",IF(COUNTIF($B$2:$B253,$B253)=1,1,0))</f>
        <v/>
      </c>
      <c r="X253">
        <f>IF($W253=1,SUMPRODUCT(--($Z$2:$Z$501&lt;$Z253))+1,"")</f>
        <v/>
      </c>
      <c r="Y253">
        <f>IF($B253="","",IF(OR($R253=TRUE(),$R253="TRUE"),1,0))</f>
        <v/>
      </c>
      <c r="Z253">
        <f>IF($W253=1,IFERROR(IF(VALUE($B253)&lt;100000000,VALUE($B253),1000000000),IFERROR(IF(VALUE(MID($B253,2,20))&lt;100000000,VALUE(MID($B253,2,20)),1000000000),1000000000))+ROW()/100000,"")</f>
        <v/>
      </c>
    </row>
    <row r="254">
      <c r="A254">
        <f>IF($B254="","",IFERROR(IF(INDEX('Per Invoice'!$A$2:$A$201,MATCH($B254,'Per Invoice'!$B$2:$B$201,0))=0,"",INDEX('Per Invoice'!$A$2:$A$201,MATCH($B254,'Per Invoice'!$B$2:$B$201,0))),""))</f>
        <v/>
      </c>
      <c r="G254" s="7">
        <f>IF($B254="","",F254*L254/100)</f>
        <v/>
      </c>
      <c r="J254" s="7" t="n"/>
      <c r="L254" s="7" t="n"/>
      <c r="M254" s="7" t="n"/>
      <c r="P254" s="11" t="n"/>
      <c r="S254">
        <f>IF($B254="","",IF($Y254=1,Settings!$C$6,Settings!$C$7)*1)</f>
        <v/>
      </c>
      <c r="T254" s="7">
        <f>IF($B254="","",S254*L254)</f>
        <v/>
      </c>
      <c r="U254" s="7">
        <f>IF($B254="","",L254-T254)</f>
        <v/>
      </c>
      <c r="V254" s="7">
        <f>IF($B254="","",U254-G254)</f>
        <v/>
      </c>
      <c r="W254">
        <f>IF($B254="","",IF(COUNTIF($B$2:$B254,$B254)=1,1,0))</f>
        <v/>
      </c>
      <c r="X254">
        <f>IF($W254=1,SUMPRODUCT(--($Z$2:$Z$501&lt;$Z254))+1,"")</f>
        <v/>
      </c>
      <c r="Y254">
        <f>IF($B254="","",IF(OR($R254=TRUE(),$R254="TRUE"),1,0))</f>
        <v/>
      </c>
      <c r="Z254">
        <f>IF($W254=1,IFERROR(IF(VALUE($B254)&lt;100000000,VALUE($B254),1000000000),IFERROR(IF(VALUE(MID($B254,2,20))&lt;100000000,VALUE(MID($B254,2,20)),1000000000),1000000000))+ROW()/100000,"")</f>
        <v/>
      </c>
    </row>
    <row r="255">
      <c r="A255">
        <f>IF($B255="","",IFERROR(IF(INDEX('Per Invoice'!$A$2:$A$201,MATCH($B255,'Per Invoice'!$B$2:$B$201,0))=0,"",INDEX('Per Invoice'!$A$2:$A$201,MATCH($B255,'Per Invoice'!$B$2:$B$201,0))),""))</f>
        <v/>
      </c>
      <c r="G255" s="7">
        <f>IF($B255="","",F255*L255/100)</f>
        <v/>
      </c>
      <c r="J255" s="7" t="n"/>
      <c r="L255" s="7" t="n"/>
      <c r="M255" s="7" t="n"/>
      <c r="P255" s="11" t="n"/>
      <c r="S255">
        <f>IF($B255="","",IF($Y255=1,Settings!$C$6,Settings!$C$7)*1)</f>
        <v/>
      </c>
      <c r="T255" s="7">
        <f>IF($B255="","",S255*L255)</f>
        <v/>
      </c>
      <c r="U255" s="7">
        <f>IF($B255="","",L255-T255)</f>
        <v/>
      </c>
      <c r="V255" s="7">
        <f>IF($B255="","",U255-G255)</f>
        <v/>
      </c>
      <c r="W255">
        <f>IF($B255="","",IF(COUNTIF($B$2:$B255,$B255)=1,1,0))</f>
        <v/>
      </c>
      <c r="X255">
        <f>IF($W255=1,SUMPRODUCT(--($Z$2:$Z$501&lt;$Z255))+1,"")</f>
        <v/>
      </c>
      <c r="Y255">
        <f>IF($B255="","",IF(OR($R255=TRUE(),$R255="TRUE"),1,0))</f>
        <v/>
      </c>
      <c r="Z255">
        <f>IF($W255=1,IFERROR(IF(VALUE($B255)&lt;100000000,VALUE($B255),1000000000),IFERROR(IF(VALUE(MID($B255,2,20))&lt;100000000,VALUE(MID($B255,2,20)),1000000000),1000000000))+ROW()/100000,"")</f>
        <v/>
      </c>
    </row>
    <row r="256">
      <c r="A256">
        <f>IF($B256="","",IFERROR(IF(INDEX('Per Invoice'!$A$2:$A$201,MATCH($B256,'Per Invoice'!$B$2:$B$201,0))=0,"",INDEX('Per Invoice'!$A$2:$A$201,MATCH($B256,'Per Invoice'!$B$2:$B$201,0))),""))</f>
        <v/>
      </c>
      <c r="G256" s="7">
        <f>IF($B256="","",F256*L256/100)</f>
        <v/>
      </c>
      <c r="J256" s="7" t="n"/>
      <c r="L256" s="7" t="n"/>
      <c r="M256" s="7" t="n"/>
      <c r="P256" s="11" t="n"/>
      <c r="S256">
        <f>IF($B256="","",IF($Y256=1,Settings!$C$6,Settings!$C$7)*1)</f>
        <v/>
      </c>
      <c r="T256" s="7">
        <f>IF($B256="","",S256*L256)</f>
        <v/>
      </c>
      <c r="U256" s="7">
        <f>IF($B256="","",L256-T256)</f>
        <v/>
      </c>
      <c r="V256" s="7">
        <f>IF($B256="","",U256-G256)</f>
        <v/>
      </c>
      <c r="W256">
        <f>IF($B256="","",IF(COUNTIF($B$2:$B256,$B256)=1,1,0))</f>
        <v/>
      </c>
      <c r="X256">
        <f>IF($W256=1,SUMPRODUCT(--($Z$2:$Z$501&lt;$Z256))+1,"")</f>
        <v/>
      </c>
      <c r="Y256">
        <f>IF($B256="","",IF(OR($R256=TRUE(),$R256="TRUE"),1,0))</f>
        <v/>
      </c>
      <c r="Z256">
        <f>IF($W256=1,IFERROR(IF(VALUE($B256)&lt;100000000,VALUE($B256),1000000000),IFERROR(IF(VALUE(MID($B256,2,20))&lt;100000000,VALUE(MID($B256,2,20)),1000000000),1000000000))+ROW()/100000,"")</f>
        <v/>
      </c>
    </row>
    <row r="257">
      <c r="A257">
        <f>IF($B257="","",IFERROR(IF(INDEX('Per Invoice'!$A$2:$A$201,MATCH($B257,'Per Invoice'!$B$2:$B$201,0))=0,"",INDEX('Per Invoice'!$A$2:$A$201,MATCH($B257,'Per Invoice'!$B$2:$B$201,0))),""))</f>
        <v/>
      </c>
      <c r="G257" s="7">
        <f>IF($B257="","",F257*L257/100)</f>
        <v/>
      </c>
      <c r="J257" s="7" t="n"/>
      <c r="L257" s="7" t="n"/>
      <c r="M257" s="7" t="n"/>
      <c r="P257" s="11" t="n"/>
      <c r="S257">
        <f>IF($B257="","",IF($Y257=1,Settings!$C$6,Settings!$C$7)*1)</f>
        <v/>
      </c>
      <c r="T257" s="7">
        <f>IF($B257="","",S257*L257)</f>
        <v/>
      </c>
      <c r="U257" s="7">
        <f>IF($B257="","",L257-T257)</f>
        <v/>
      </c>
      <c r="V257" s="7">
        <f>IF($B257="","",U257-G257)</f>
        <v/>
      </c>
      <c r="W257">
        <f>IF($B257="","",IF(COUNTIF($B$2:$B257,$B257)=1,1,0))</f>
        <v/>
      </c>
      <c r="X257">
        <f>IF($W257=1,SUMPRODUCT(--($Z$2:$Z$501&lt;$Z257))+1,"")</f>
        <v/>
      </c>
      <c r="Y257">
        <f>IF($B257="","",IF(OR($R257=TRUE(),$R257="TRUE"),1,0))</f>
        <v/>
      </c>
      <c r="Z257">
        <f>IF($W257=1,IFERROR(IF(VALUE($B257)&lt;100000000,VALUE($B257),1000000000),IFERROR(IF(VALUE(MID($B257,2,20))&lt;100000000,VALUE(MID($B257,2,20)),1000000000),1000000000))+ROW()/100000,"")</f>
        <v/>
      </c>
    </row>
    <row r="258">
      <c r="A258">
        <f>IF($B258="","",IFERROR(IF(INDEX('Per Invoice'!$A$2:$A$201,MATCH($B258,'Per Invoice'!$B$2:$B$201,0))=0,"",INDEX('Per Invoice'!$A$2:$A$201,MATCH($B258,'Per Invoice'!$B$2:$B$201,0))),""))</f>
        <v/>
      </c>
      <c r="G258" s="7">
        <f>IF($B258="","",F258*L258/100)</f>
        <v/>
      </c>
      <c r="J258" s="7" t="n"/>
      <c r="L258" s="7" t="n"/>
      <c r="M258" s="7" t="n"/>
      <c r="P258" s="11" t="n"/>
      <c r="S258">
        <f>IF($B258="","",IF($Y258=1,Settings!$C$6,Settings!$C$7)*1)</f>
        <v/>
      </c>
      <c r="T258" s="7">
        <f>IF($B258="","",S258*L258)</f>
        <v/>
      </c>
      <c r="U258" s="7">
        <f>IF($B258="","",L258-T258)</f>
        <v/>
      </c>
      <c r="V258" s="7">
        <f>IF($B258="","",U258-G258)</f>
        <v/>
      </c>
      <c r="W258">
        <f>IF($B258="","",IF(COUNTIF($B$2:$B258,$B258)=1,1,0))</f>
        <v/>
      </c>
      <c r="X258">
        <f>IF($W258=1,SUMPRODUCT(--($Z$2:$Z$501&lt;$Z258))+1,"")</f>
        <v/>
      </c>
      <c r="Y258">
        <f>IF($B258="","",IF(OR($R258=TRUE(),$R258="TRUE"),1,0))</f>
        <v/>
      </c>
      <c r="Z258">
        <f>IF($W258=1,IFERROR(IF(VALUE($B258)&lt;100000000,VALUE($B258),1000000000),IFERROR(IF(VALUE(MID($B258,2,20))&lt;100000000,VALUE(MID($B258,2,20)),1000000000),1000000000))+ROW()/100000,"")</f>
        <v/>
      </c>
    </row>
    <row r="259">
      <c r="A259">
        <f>IF($B259="","",IFERROR(IF(INDEX('Per Invoice'!$A$2:$A$201,MATCH($B259,'Per Invoice'!$B$2:$B$201,0))=0,"",INDEX('Per Invoice'!$A$2:$A$201,MATCH($B259,'Per Invoice'!$B$2:$B$201,0))),""))</f>
        <v/>
      </c>
      <c r="G259" s="7">
        <f>IF($B259="","",F259*L259/100)</f>
        <v/>
      </c>
      <c r="J259" s="7" t="n"/>
      <c r="L259" s="7" t="n"/>
      <c r="M259" s="7" t="n"/>
      <c r="P259" s="11" t="n"/>
      <c r="S259">
        <f>IF($B259="","",IF($Y259=1,Settings!$C$6,Settings!$C$7)*1)</f>
        <v/>
      </c>
      <c r="T259" s="7">
        <f>IF($B259="","",S259*L259)</f>
        <v/>
      </c>
      <c r="U259" s="7">
        <f>IF($B259="","",L259-T259)</f>
        <v/>
      </c>
      <c r="V259" s="7">
        <f>IF($B259="","",U259-G259)</f>
        <v/>
      </c>
      <c r="W259">
        <f>IF($B259="","",IF(COUNTIF($B$2:$B259,$B259)=1,1,0))</f>
        <v/>
      </c>
      <c r="X259">
        <f>IF($W259=1,SUMPRODUCT(--($Z$2:$Z$501&lt;$Z259))+1,"")</f>
        <v/>
      </c>
      <c r="Y259">
        <f>IF($B259="","",IF(OR($R259=TRUE(),$R259="TRUE"),1,0))</f>
        <v/>
      </c>
      <c r="Z259">
        <f>IF($W259=1,IFERROR(IF(VALUE($B259)&lt;100000000,VALUE($B259),1000000000),IFERROR(IF(VALUE(MID($B259,2,20))&lt;100000000,VALUE(MID($B259,2,20)),1000000000),1000000000))+ROW()/100000,"")</f>
        <v/>
      </c>
    </row>
    <row r="260">
      <c r="A260">
        <f>IF($B260="","",IFERROR(IF(INDEX('Per Invoice'!$A$2:$A$201,MATCH($B260,'Per Invoice'!$B$2:$B$201,0))=0,"",INDEX('Per Invoice'!$A$2:$A$201,MATCH($B260,'Per Invoice'!$B$2:$B$201,0))),""))</f>
        <v/>
      </c>
      <c r="G260" s="7">
        <f>IF($B260="","",F260*L260/100)</f>
        <v/>
      </c>
      <c r="J260" s="7" t="n"/>
      <c r="L260" s="7" t="n"/>
      <c r="M260" s="7" t="n"/>
      <c r="P260" s="11" t="n"/>
      <c r="S260">
        <f>IF($B260="","",IF($Y260=1,Settings!$C$6,Settings!$C$7)*1)</f>
        <v/>
      </c>
      <c r="T260" s="7">
        <f>IF($B260="","",S260*L260)</f>
        <v/>
      </c>
      <c r="U260" s="7">
        <f>IF($B260="","",L260-T260)</f>
        <v/>
      </c>
      <c r="V260" s="7">
        <f>IF($B260="","",U260-G260)</f>
        <v/>
      </c>
      <c r="W260">
        <f>IF($B260="","",IF(COUNTIF($B$2:$B260,$B260)=1,1,0))</f>
        <v/>
      </c>
      <c r="X260">
        <f>IF($W260=1,SUMPRODUCT(--($Z$2:$Z$501&lt;$Z260))+1,"")</f>
        <v/>
      </c>
      <c r="Y260">
        <f>IF($B260="","",IF(OR($R260=TRUE(),$R260="TRUE"),1,0))</f>
        <v/>
      </c>
      <c r="Z260">
        <f>IF($W260=1,IFERROR(IF(VALUE($B260)&lt;100000000,VALUE($B260),1000000000),IFERROR(IF(VALUE(MID($B260,2,20))&lt;100000000,VALUE(MID($B260,2,20)),1000000000),1000000000))+ROW()/100000,"")</f>
        <v/>
      </c>
    </row>
    <row r="261">
      <c r="A261">
        <f>IF($B261="","",IFERROR(IF(INDEX('Per Invoice'!$A$2:$A$201,MATCH($B261,'Per Invoice'!$B$2:$B$201,0))=0,"",INDEX('Per Invoice'!$A$2:$A$201,MATCH($B261,'Per Invoice'!$B$2:$B$201,0))),""))</f>
        <v/>
      </c>
      <c r="G261" s="7">
        <f>IF($B261="","",F261*L261/100)</f>
        <v/>
      </c>
      <c r="J261" s="7" t="n"/>
      <c r="L261" s="7" t="n"/>
      <c r="M261" s="7" t="n"/>
      <c r="P261" s="11" t="n"/>
      <c r="S261">
        <f>IF($B261="","",IF($Y261=1,Settings!$C$6,Settings!$C$7)*1)</f>
        <v/>
      </c>
      <c r="T261" s="7">
        <f>IF($B261="","",S261*L261)</f>
        <v/>
      </c>
      <c r="U261" s="7">
        <f>IF($B261="","",L261-T261)</f>
        <v/>
      </c>
      <c r="V261" s="7">
        <f>IF($B261="","",U261-G261)</f>
        <v/>
      </c>
      <c r="W261">
        <f>IF($B261="","",IF(COUNTIF($B$2:$B261,$B261)=1,1,0))</f>
        <v/>
      </c>
      <c r="X261">
        <f>IF($W261=1,SUMPRODUCT(--($Z$2:$Z$501&lt;$Z261))+1,"")</f>
        <v/>
      </c>
      <c r="Y261">
        <f>IF($B261="","",IF(OR($R261=TRUE(),$R261="TRUE"),1,0))</f>
        <v/>
      </c>
      <c r="Z261">
        <f>IF($W261=1,IFERROR(IF(VALUE($B261)&lt;100000000,VALUE($B261),1000000000),IFERROR(IF(VALUE(MID($B261,2,20))&lt;100000000,VALUE(MID($B261,2,20)),1000000000),1000000000))+ROW()/100000,"")</f>
        <v/>
      </c>
    </row>
    <row r="262">
      <c r="A262">
        <f>IF($B262="","",IFERROR(IF(INDEX('Per Invoice'!$A$2:$A$201,MATCH($B262,'Per Invoice'!$B$2:$B$201,0))=0,"",INDEX('Per Invoice'!$A$2:$A$201,MATCH($B262,'Per Invoice'!$B$2:$B$201,0))),""))</f>
        <v/>
      </c>
      <c r="G262" s="7">
        <f>IF($B262="","",F262*L262/100)</f>
        <v/>
      </c>
      <c r="J262" s="7" t="n"/>
      <c r="L262" s="7" t="n"/>
      <c r="M262" s="7" t="n"/>
      <c r="P262" s="11" t="n"/>
      <c r="S262">
        <f>IF($B262="","",IF($Y262=1,Settings!$C$6,Settings!$C$7)*1)</f>
        <v/>
      </c>
      <c r="T262" s="7">
        <f>IF($B262="","",S262*L262)</f>
        <v/>
      </c>
      <c r="U262" s="7">
        <f>IF($B262="","",L262-T262)</f>
        <v/>
      </c>
      <c r="V262" s="7">
        <f>IF($B262="","",U262-G262)</f>
        <v/>
      </c>
      <c r="W262">
        <f>IF($B262="","",IF(COUNTIF($B$2:$B262,$B262)=1,1,0))</f>
        <v/>
      </c>
      <c r="X262">
        <f>IF($W262=1,SUMPRODUCT(--($Z$2:$Z$501&lt;$Z262))+1,"")</f>
        <v/>
      </c>
      <c r="Y262">
        <f>IF($B262="","",IF(OR($R262=TRUE(),$R262="TRUE"),1,0))</f>
        <v/>
      </c>
      <c r="Z262">
        <f>IF($W262=1,IFERROR(IF(VALUE($B262)&lt;100000000,VALUE($B262),1000000000),IFERROR(IF(VALUE(MID($B262,2,20))&lt;100000000,VALUE(MID($B262,2,20)),1000000000),1000000000))+ROW()/100000,"")</f>
        <v/>
      </c>
    </row>
    <row r="263">
      <c r="A263">
        <f>IF($B263="","",IFERROR(IF(INDEX('Per Invoice'!$A$2:$A$201,MATCH($B263,'Per Invoice'!$B$2:$B$201,0))=0,"",INDEX('Per Invoice'!$A$2:$A$201,MATCH($B263,'Per Invoice'!$B$2:$B$201,0))),""))</f>
        <v/>
      </c>
      <c r="G263" s="7">
        <f>IF($B263="","",F263*L263/100)</f>
        <v/>
      </c>
      <c r="J263" s="7" t="n"/>
      <c r="L263" s="7" t="n"/>
      <c r="M263" s="7" t="n"/>
      <c r="P263" s="11" t="n"/>
      <c r="S263">
        <f>IF($B263="","",IF($Y263=1,Settings!$C$6,Settings!$C$7)*1)</f>
        <v/>
      </c>
      <c r="T263" s="7">
        <f>IF($B263="","",S263*L263)</f>
        <v/>
      </c>
      <c r="U263" s="7">
        <f>IF($B263="","",L263-T263)</f>
        <v/>
      </c>
      <c r="V263" s="7">
        <f>IF($B263="","",U263-G263)</f>
        <v/>
      </c>
      <c r="W263">
        <f>IF($B263="","",IF(COUNTIF($B$2:$B263,$B263)=1,1,0))</f>
        <v/>
      </c>
      <c r="X263">
        <f>IF($W263=1,SUMPRODUCT(--($Z$2:$Z$501&lt;$Z263))+1,"")</f>
        <v/>
      </c>
      <c r="Y263">
        <f>IF($B263="","",IF(OR($R263=TRUE(),$R263="TRUE"),1,0))</f>
        <v/>
      </c>
      <c r="Z263">
        <f>IF($W263=1,IFERROR(IF(VALUE($B263)&lt;100000000,VALUE($B263),1000000000),IFERROR(IF(VALUE(MID($B263,2,20))&lt;100000000,VALUE(MID($B263,2,20)),1000000000),1000000000))+ROW()/100000,"")</f>
        <v/>
      </c>
    </row>
    <row r="264">
      <c r="A264">
        <f>IF($B264="","",IFERROR(IF(INDEX('Per Invoice'!$A$2:$A$201,MATCH($B264,'Per Invoice'!$B$2:$B$201,0))=0,"",INDEX('Per Invoice'!$A$2:$A$201,MATCH($B264,'Per Invoice'!$B$2:$B$201,0))),""))</f>
        <v/>
      </c>
      <c r="G264" s="7">
        <f>IF($B264="","",F264*L264/100)</f>
        <v/>
      </c>
      <c r="J264" s="7" t="n"/>
      <c r="L264" s="7" t="n"/>
      <c r="M264" s="7" t="n"/>
      <c r="P264" s="11" t="n"/>
      <c r="S264">
        <f>IF($B264="","",IF($Y264=1,Settings!$C$6,Settings!$C$7)*1)</f>
        <v/>
      </c>
      <c r="T264" s="7">
        <f>IF($B264="","",S264*L264)</f>
        <v/>
      </c>
      <c r="U264" s="7">
        <f>IF($B264="","",L264-T264)</f>
        <v/>
      </c>
      <c r="V264" s="7">
        <f>IF($B264="","",U264-G264)</f>
        <v/>
      </c>
      <c r="W264">
        <f>IF($B264="","",IF(COUNTIF($B$2:$B264,$B264)=1,1,0))</f>
        <v/>
      </c>
      <c r="X264">
        <f>IF($W264=1,SUMPRODUCT(--($Z$2:$Z$501&lt;$Z264))+1,"")</f>
        <v/>
      </c>
      <c r="Y264">
        <f>IF($B264="","",IF(OR($R264=TRUE(),$R264="TRUE"),1,0))</f>
        <v/>
      </c>
      <c r="Z264">
        <f>IF($W264=1,IFERROR(IF(VALUE($B264)&lt;100000000,VALUE($B264),1000000000),IFERROR(IF(VALUE(MID($B264,2,20))&lt;100000000,VALUE(MID($B264,2,20)),1000000000),1000000000))+ROW()/100000,"")</f>
        <v/>
      </c>
    </row>
    <row r="265">
      <c r="A265">
        <f>IF($B265="","",IFERROR(IF(INDEX('Per Invoice'!$A$2:$A$201,MATCH($B265,'Per Invoice'!$B$2:$B$201,0))=0,"",INDEX('Per Invoice'!$A$2:$A$201,MATCH($B265,'Per Invoice'!$B$2:$B$201,0))),""))</f>
        <v/>
      </c>
      <c r="G265" s="7">
        <f>IF($B265="","",F265*L265/100)</f>
        <v/>
      </c>
      <c r="J265" s="7" t="n"/>
      <c r="L265" s="7" t="n"/>
      <c r="M265" s="7" t="n"/>
      <c r="P265" s="11" t="n"/>
      <c r="S265">
        <f>IF($B265="","",IF($Y265=1,Settings!$C$6,Settings!$C$7)*1)</f>
        <v/>
      </c>
      <c r="T265" s="7">
        <f>IF($B265="","",S265*L265)</f>
        <v/>
      </c>
      <c r="U265" s="7">
        <f>IF($B265="","",L265-T265)</f>
        <v/>
      </c>
      <c r="V265" s="7">
        <f>IF($B265="","",U265-G265)</f>
        <v/>
      </c>
      <c r="W265">
        <f>IF($B265="","",IF(COUNTIF($B$2:$B265,$B265)=1,1,0))</f>
        <v/>
      </c>
      <c r="X265">
        <f>IF($W265=1,SUMPRODUCT(--($Z$2:$Z$501&lt;$Z265))+1,"")</f>
        <v/>
      </c>
      <c r="Y265">
        <f>IF($B265="","",IF(OR($R265=TRUE(),$R265="TRUE"),1,0))</f>
        <v/>
      </c>
      <c r="Z265">
        <f>IF($W265=1,IFERROR(IF(VALUE($B265)&lt;100000000,VALUE($B265),1000000000),IFERROR(IF(VALUE(MID($B265,2,20))&lt;100000000,VALUE(MID($B265,2,20)),1000000000),1000000000))+ROW()/100000,"")</f>
        <v/>
      </c>
    </row>
    <row r="266">
      <c r="A266">
        <f>IF($B266="","",IFERROR(IF(INDEX('Per Invoice'!$A$2:$A$201,MATCH($B266,'Per Invoice'!$B$2:$B$201,0))=0,"",INDEX('Per Invoice'!$A$2:$A$201,MATCH($B266,'Per Invoice'!$B$2:$B$201,0))),""))</f>
        <v/>
      </c>
      <c r="G266" s="7">
        <f>IF($B266="","",F266*L266/100)</f>
        <v/>
      </c>
      <c r="J266" s="7" t="n"/>
      <c r="L266" s="7" t="n"/>
      <c r="M266" s="7" t="n"/>
      <c r="P266" s="11" t="n"/>
      <c r="S266">
        <f>IF($B266="","",IF($Y266=1,Settings!$C$6,Settings!$C$7)*1)</f>
        <v/>
      </c>
      <c r="T266" s="7">
        <f>IF($B266="","",S266*L266)</f>
        <v/>
      </c>
      <c r="U266" s="7">
        <f>IF($B266="","",L266-T266)</f>
        <v/>
      </c>
      <c r="V266" s="7">
        <f>IF($B266="","",U266-G266)</f>
        <v/>
      </c>
      <c r="W266">
        <f>IF($B266="","",IF(COUNTIF($B$2:$B266,$B266)=1,1,0))</f>
        <v/>
      </c>
      <c r="X266">
        <f>IF($W266=1,SUMPRODUCT(--($Z$2:$Z$501&lt;$Z266))+1,"")</f>
        <v/>
      </c>
      <c r="Y266">
        <f>IF($B266="","",IF(OR($R266=TRUE(),$R266="TRUE"),1,0))</f>
        <v/>
      </c>
      <c r="Z266">
        <f>IF($W266=1,IFERROR(IF(VALUE($B266)&lt;100000000,VALUE($B266),1000000000),IFERROR(IF(VALUE(MID($B266,2,20))&lt;100000000,VALUE(MID($B266,2,20)),1000000000),1000000000))+ROW()/100000,"")</f>
        <v/>
      </c>
    </row>
    <row r="267">
      <c r="A267">
        <f>IF($B267="","",IFERROR(IF(INDEX('Per Invoice'!$A$2:$A$201,MATCH($B267,'Per Invoice'!$B$2:$B$201,0))=0,"",INDEX('Per Invoice'!$A$2:$A$201,MATCH($B267,'Per Invoice'!$B$2:$B$201,0))),""))</f>
        <v/>
      </c>
      <c r="G267" s="7">
        <f>IF($B267="","",F267*L267/100)</f>
        <v/>
      </c>
      <c r="J267" s="7" t="n"/>
      <c r="L267" s="7" t="n"/>
      <c r="M267" s="7" t="n"/>
      <c r="P267" s="11" t="n"/>
      <c r="S267">
        <f>IF($B267="","",IF($Y267=1,Settings!$C$6,Settings!$C$7)*1)</f>
        <v/>
      </c>
      <c r="T267" s="7">
        <f>IF($B267="","",S267*L267)</f>
        <v/>
      </c>
      <c r="U267" s="7">
        <f>IF($B267="","",L267-T267)</f>
        <v/>
      </c>
      <c r="V267" s="7">
        <f>IF($B267="","",U267-G267)</f>
        <v/>
      </c>
      <c r="W267">
        <f>IF($B267="","",IF(COUNTIF($B$2:$B267,$B267)=1,1,0))</f>
        <v/>
      </c>
      <c r="X267">
        <f>IF($W267=1,SUMPRODUCT(--($Z$2:$Z$501&lt;$Z267))+1,"")</f>
        <v/>
      </c>
      <c r="Y267">
        <f>IF($B267="","",IF(OR($R267=TRUE(),$R267="TRUE"),1,0))</f>
        <v/>
      </c>
      <c r="Z267">
        <f>IF($W267=1,IFERROR(IF(VALUE($B267)&lt;100000000,VALUE($B267),1000000000),IFERROR(IF(VALUE(MID($B267,2,20))&lt;100000000,VALUE(MID($B267,2,20)),1000000000),1000000000))+ROW()/100000,"")</f>
        <v/>
      </c>
    </row>
    <row r="268">
      <c r="A268">
        <f>IF($B268="","",IFERROR(IF(INDEX('Per Invoice'!$A$2:$A$201,MATCH($B268,'Per Invoice'!$B$2:$B$201,0))=0,"",INDEX('Per Invoice'!$A$2:$A$201,MATCH($B268,'Per Invoice'!$B$2:$B$201,0))),""))</f>
        <v/>
      </c>
      <c r="G268" s="7">
        <f>IF($B268="","",F268*L268/100)</f>
        <v/>
      </c>
      <c r="J268" s="7" t="n"/>
      <c r="L268" s="7" t="n"/>
      <c r="M268" s="7" t="n"/>
      <c r="P268" s="11" t="n"/>
      <c r="S268">
        <f>IF($B268="","",IF($Y268=1,Settings!$C$6,Settings!$C$7)*1)</f>
        <v/>
      </c>
      <c r="T268" s="7">
        <f>IF($B268="","",S268*L268)</f>
        <v/>
      </c>
      <c r="U268" s="7">
        <f>IF($B268="","",L268-T268)</f>
        <v/>
      </c>
      <c r="V268" s="7">
        <f>IF($B268="","",U268-G268)</f>
        <v/>
      </c>
      <c r="W268">
        <f>IF($B268="","",IF(COUNTIF($B$2:$B268,$B268)=1,1,0))</f>
        <v/>
      </c>
      <c r="X268">
        <f>IF($W268=1,SUMPRODUCT(--($Z$2:$Z$501&lt;$Z268))+1,"")</f>
        <v/>
      </c>
      <c r="Y268">
        <f>IF($B268="","",IF(OR($R268=TRUE(),$R268="TRUE"),1,0))</f>
        <v/>
      </c>
      <c r="Z268">
        <f>IF($W268=1,IFERROR(IF(VALUE($B268)&lt;100000000,VALUE($B268),1000000000),IFERROR(IF(VALUE(MID($B268,2,20))&lt;100000000,VALUE(MID($B268,2,20)),1000000000),1000000000))+ROW()/100000,"")</f>
        <v/>
      </c>
    </row>
    <row r="269">
      <c r="A269">
        <f>IF($B269="","",IFERROR(IF(INDEX('Per Invoice'!$A$2:$A$201,MATCH($B269,'Per Invoice'!$B$2:$B$201,0))=0,"",INDEX('Per Invoice'!$A$2:$A$201,MATCH($B269,'Per Invoice'!$B$2:$B$201,0))),""))</f>
        <v/>
      </c>
      <c r="G269" s="7">
        <f>IF($B269="","",F269*L269/100)</f>
        <v/>
      </c>
      <c r="J269" s="7" t="n"/>
      <c r="L269" s="7" t="n"/>
      <c r="M269" s="7" t="n"/>
      <c r="P269" s="11" t="n"/>
      <c r="S269">
        <f>IF($B269="","",IF($Y269=1,Settings!$C$6,Settings!$C$7)*1)</f>
        <v/>
      </c>
      <c r="T269" s="7">
        <f>IF($B269="","",S269*L269)</f>
        <v/>
      </c>
      <c r="U269" s="7">
        <f>IF($B269="","",L269-T269)</f>
        <v/>
      </c>
      <c r="V269" s="7">
        <f>IF($B269="","",U269-G269)</f>
        <v/>
      </c>
      <c r="W269">
        <f>IF($B269="","",IF(COUNTIF($B$2:$B269,$B269)=1,1,0))</f>
        <v/>
      </c>
      <c r="X269">
        <f>IF($W269=1,SUMPRODUCT(--($Z$2:$Z$501&lt;$Z269))+1,"")</f>
        <v/>
      </c>
      <c r="Y269">
        <f>IF($B269="","",IF(OR($R269=TRUE(),$R269="TRUE"),1,0))</f>
        <v/>
      </c>
      <c r="Z269">
        <f>IF($W269=1,IFERROR(IF(VALUE($B269)&lt;100000000,VALUE($B269),1000000000),IFERROR(IF(VALUE(MID($B269,2,20))&lt;100000000,VALUE(MID($B269,2,20)),1000000000),1000000000))+ROW()/100000,"")</f>
        <v/>
      </c>
    </row>
    <row r="270">
      <c r="A270">
        <f>IF($B270="","",IFERROR(IF(INDEX('Per Invoice'!$A$2:$A$201,MATCH($B270,'Per Invoice'!$B$2:$B$201,0))=0,"",INDEX('Per Invoice'!$A$2:$A$201,MATCH($B270,'Per Invoice'!$B$2:$B$201,0))),""))</f>
        <v/>
      </c>
      <c r="G270" s="7">
        <f>IF($B270="","",F270*L270/100)</f>
        <v/>
      </c>
      <c r="J270" s="7" t="n"/>
      <c r="L270" s="7" t="n"/>
      <c r="M270" s="7" t="n"/>
      <c r="P270" s="11" t="n"/>
      <c r="S270">
        <f>IF($B270="","",IF($Y270=1,Settings!$C$6,Settings!$C$7)*1)</f>
        <v/>
      </c>
      <c r="T270" s="7">
        <f>IF($B270="","",S270*L270)</f>
        <v/>
      </c>
      <c r="U270" s="7">
        <f>IF($B270="","",L270-T270)</f>
        <v/>
      </c>
      <c r="V270" s="7">
        <f>IF($B270="","",U270-G270)</f>
        <v/>
      </c>
      <c r="W270">
        <f>IF($B270="","",IF(COUNTIF($B$2:$B270,$B270)=1,1,0))</f>
        <v/>
      </c>
      <c r="X270">
        <f>IF($W270=1,SUMPRODUCT(--($Z$2:$Z$501&lt;$Z270))+1,"")</f>
        <v/>
      </c>
      <c r="Y270">
        <f>IF($B270="","",IF(OR($R270=TRUE(),$R270="TRUE"),1,0))</f>
        <v/>
      </c>
      <c r="Z270">
        <f>IF($W270=1,IFERROR(IF(VALUE($B270)&lt;100000000,VALUE($B270),1000000000),IFERROR(IF(VALUE(MID($B270,2,20))&lt;100000000,VALUE(MID($B270,2,20)),1000000000),1000000000))+ROW()/100000,"")</f>
        <v/>
      </c>
    </row>
    <row r="271">
      <c r="A271">
        <f>IF($B271="","",IFERROR(IF(INDEX('Per Invoice'!$A$2:$A$201,MATCH($B271,'Per Invoice'!$B$2:$B$201,0))=0,"",INDEX('Per Invoice'!$A$2:$A$201,MATCH($B271,'Per Invoice'!$B$2:$B$201,0))),""))</f>
        <v/>
      </c>
      <c r="G271" s="7">
        <f>IF($B271="","",F271*L271/100)</f>
        <v/>
      </c>
      <c r="J271" s="7" t="n"/>
      <c r="L271" s="7" t="n"/>
      <c r="M271" s="7" t="n"/>
      <c r="P271" s="11" t="n"/>
      <c r="S271">
        <f>IF($B271="","",IF($Y271=1,Settings!$C$6,Settings!$C$7)*1)</f>
        <v/>
      </c>
      <c r="T271" s="7">
        <f>IF($B271="","",S271*L271)</f>
        <v/>
      </c>
      <c r="U271" s="7">
        <f>IF($B271="","",L271-T271)</f>
        <v/>
      </c>
      <c r="V271" s="7">
        <f>IF($B271="","",U271-G271)</f>
        <v/>
      </c>
      <c r="W271">
        <f>IF($B271="","",IF(COUNTIF($B$2:$B271,$B271)=1,1,0))</f>
        <v/>
      </c>
      <c r="X271">
        <f>IF($W271=1,SUMPRODUCT(--($Z$2:$Z$501&lt;$Z271))+1,"")</f>
        <v/>
      </c>
      <c r="Y271">
        <f>IF($B271="","",IF(OR($R271=TRUE(),$R271="TRUE"),1,0))</f>
        <v/>
      </c>
      <c r="Z271">
        <f>IF($W271=1,IFERROR(IF(VALUE($B271)&lt;100000000,VALUE($B271),1000000000),IFERROR(IF(VALUE(MID($B271,2,20))&lt;100000000,VALUE(MID($B271,2,20)),1000000000),1000000000))+ROW()/100000,"")</f>
        <v/>
      </c>
    </row>
    <row r="272">
      <c r="A272">
        <f>IF($B272="","",IFERROR(IF(INDEX('Per Invoice'!$A$2:$A$201,MATCH($B272,'Per Invoice'!$B$2:$B$201,0))=0,"",INDEX('Per Invoice'!$A$2:$A$201,MATCH($B272,'Per Invoice'!$B$2:$B$201,0))),""))</f>
        <v/>
      </c>
      <c r="G272" s="7">
        <f>IF($B272="","",F272*L272/100)</f>
        <v/>
      </c>
      <c r="J272" s="7" t="n"/>
      <c r="L272" s="7" t="n"/>
      <c r="M272" s="7" t="n"/>
      <c r="P272" s="11" t="n"/>
      <c r="S272">
        <f>IF($B272="","",IF($Y272=1,Settings!$C$6,Settings!$C$7)*1)</f>
        <v/>
      </c>
      <c r="T272" s="7">
        <f>IF($B272="","",S272*L272)</f>
        <v/>
      </c>
      <c r="U272" s="7">
        <f>IF($B272="","",L272-T272)</f>
        <v/>
      </c>
      <c r="V272" s="7">
        <f>IF($B272="","",U272-G272)</f>
        <v/>
      </c>
      <c r="W272">
        <f>IF($B272="","",IF(COUNTIF($B$2:$B272,$B272)=1,1,0))</f>
        <v/>
      </c>
      <c r="X272">
        <f>IF($W272=1,SUMPRODUCT(--($Z$2:$Z$501&lt;$Z272))+1,"")</f>
        <v/>
      </c>
      <c r="Y272">
        <f>IF($B272="","",IF(OR($R272=TRUE(),$R272="TRUE"),1,0))</f>
        <v/>
      </c>
      <c r="Z272">
        <f>IF($W272=1,IFERROR(IF(VALUE($B272)&lt;100000000,VALUE($B272),1000000000),IFERROR(IF(VALUE(MID($B272,2,20))&lt;100000000,VALUE(MID($B272,2,20)),1000000000),1000000000))+ROW()/100000,"")</f>
        <v/>
      </c>
    </row>
    <row r="273">
      <c r="A273">
        <f>IF($B273="","",IFERROR(IF(INDEX('Per Invoice'!$A$2:$A$201,MATCH($B273,'Per Invoice'!$B$2:$B$201,0))=0,"",INDEX('Per Invoice'!$A$2:$A$201,MATCH($B273,'Per Invoice'!$B$2:$B$201,0))),""))</f>
        <v/>
      </c>
      <c r="G273" s="7">
        <f>IF($B273="","",F273*L273/100)</f>
        <v/>
      </c>
      <c r="J273" s="7" t="n"/>
      <c r="L273" s="7" t="n"/>
      <c r="M273" s="7" t="n"/>
      <c r="P273" s="11" t="n"/>
      <c r="S273">
        <f>IF($B273="","",IF($Y273=1,Settings!$C$6,Settings!$C$7)*1)</f>
        <v/>
      </c>
      <c r="T273" s="7">
        <f>IF($B273="","",S273*L273)</f>
        <v/>
      </c>
      <c r="U273" s="7">
        <f>IF($B273="","",L273-T273)</f>
        <v/>
      </c>
      <c r="V273" s="7">
        <f>IF($B273="","",U273-G273)</f>
        <v/>
      </c>
      <c r="W273">
        <f>IF($B273="","",IF(COUNTIF($B$2:$B273,$B273)=1,1,0))</f>
        <v/>
      </c>
      <c r="X273">
        <f>IF($W273=1,SUMPRODUCT(--($Z$2:$Z$501&lt;$Z273))+1,"")</f>
        <v/>
      </c>
      <c r="Y273">
        <f>IF($B273="","",IF(OR($R273=TRUE(),$R273="TRUE"),1,0))</f>
        <v/>
      </c>
      <c r="Z273">
        <f>IF($W273=1,IFERROR(IF(VALUE($B273)&lt;100000000,VALUE($B273),1000000000),IFERROR(IF(VALUE(MID($B273,2,20))&lt;100000000,VALUE(MID($B273,2,20)),1000000000),1000000000))+ROW()/100000,"")</f>
        <v/>
      </c>
    </row>
    <row r="274">
      <c r="A274">
        <f>IF($B274="","",IFERROR(IF(INDEX('Per Invoice'!$A$2:$A$201,MATCH($B274,'Per Invoice'!$B$2:$B$201,0))=0,"",INDEX('Per Invoice'!$A$2:$A$201,MATCH($B274,'Per Invoice'!$B$2:$B$201,0))),""))</f>
        <v/>
      </c>
      <c r="G274" s="7">
        <f>IF($B274="","",F274*L274/100)</f>
        <v/>
      </c>
      <c r="J274" s="7" t="n"/>
      <c r="L274" s="7" t="n"/>
      <c r="M274" s="7" t="n"/>
      <c r="P274" s="11" t="n"/>
      <c r="S274">
        <f>IF($B274="","",IF($Y274=1,Settings!$C$6,Settings!$C$7)*1)</f>
        <v/>
      </c>
      <c r="T274" s="7">
        <f>IF($B274="","",S274*L274)</f>
        <v/>
      </c>
      <c r="U274" s="7">
        <f>IF($B274="","",L274-T274)</f>
        <v/>
      </c>
      <c r="V274" s="7">
        <f>IF($B274="","",U274-G274)</f>
        <v/>
      </c>
      <c r="W274">
        <f>IF($B274="","",IF(COUNTIF($B$2:$B274,$B274)=1,1,0))</f>
        <v/>
      </c>
      <c r="X274">
        <f>IF($W274=1,SUMPRODUCT(--($Z$2:$Z$501&lt;$Z274))+1,"")</f>
        <v/>
      </c>
      <c r="Y274">
        <f>IF($B274="","",IF(OR($R274=TRUE(),$R274="TRUE"),1,0))</f>
        <v/>
      </c>
      <c r="Z274">
        <f>IF($W274=1,IFERROR(IF(VALUE($B274)&lt;100000000,VALUE($B274),1000000000),IFERROR(IF(VALUE(MID($B274,2,20))&lt;100000000,VALUE(MID($B274,2,20)),1000000000),1000000000))+ROW()/100000,"")</f>
        <v/>
      </c>
    </row>
    <row r="275">
      <c r="A275">
        <f>IF($B275="","",IFERROR(IF(INDEX('Per Invoice'!$A$2:$A$201,MATCH($B275,'Per Invoice'!$B$2:$B$201,0))=0,"",INDEX('Per Invoice'!$A$2:$A$201,MATCH($B275,'Per Invoice'!$B$2:$B$201,0))),""))</f>
        <v/>
      </c>
      <c r="G275" s="7">
        <f>IF($B275="","",F275*L275/100)</f>
        <v/>
      </c>
      <c r="J275" s="7" t="n"/>
      <c r="L275" s="7" t="n"/>
      <c r="M275" s="7" t="n"/>
      <c r="P275" s="11" t="n"/>
      <c r="S275">
        <f>IF($B275="","",IF($Y275=1,Settings!$C$6,Settings!$C$7)*1)</f>
        <v/>
      </c>
      <c r="T275" s="7">
        <f>IF($B275="","",S275*L275)</f>
        <v/>
      </c>
      <c r="U275" s="7">
        <f>IF($B275="","",L275-T275)</f>
        <v/>
      </c>
      <c r="V275" s="7">
        <f>IF($B275="","",U275-G275)</f>
        <v/>
      </c>
      <c r="W275">
        <f>IF($B275="","",IF(COUNTIF($B$2:$B275,$B275)=1,1,0))</f>
        <v/>
      </c>
      <c r="X275">
        <f>IF($W275=1,SUMPRODUCT(--($Z$2:$Z$501&lt;$Z275))+1,"")</f>
        <v/>
      </c>
      <c r="Y275">
        <f>IF($B275="","",IF(OR($R275=TRUE(),$R275="TRUE"),1,0))</f>
        <v/>
      </c>
      <c r="Z275">
        <f>IF($W275=1,IFERROR(IF(VALUE($B275)&lt;100000000,VALUE($B275),1000000000),IFERROR(IF(VALUE(MID($B275,2,20))&lt;100000000,VALUE(MID($B275,2,20)),1000000000),1000000000))+ROW()/100000,"")</f>
        <v/>
      </c>
    </row>
    <row r="276">
      <c r="A276">
        <f>IF($B276="","",IFERROR(IF(INDEX('Per Invoice'!$A$2:$A$201,MATCH($B276,'Per Invoice'!$B$2:$B$201,0))=0,"",INDEX('Per Invoice'!$A$2:$A$201,MATCH($B276,'Per Invoice'!$B$2:$B$201,0))),""))</f>
        <v/>
      </c>
      <c r="G276" s="7">
        <f>IF($B276="","",F276*L276/100)</f>
        <v/>
      </c>
      <c r="J276" s="7" t="n"/>
      <c r="L276" s="7" t="n"/>
      <c r="M276" s="7" t="n"/>
      <c r="P276" s="11" t="n"/>
      <c r="S276">
        <f>IF($B276="","",IF($Y276=1,Settings!$C$6,Settings!$C$7)*1)</f>
        <v/>
      </c>
      <c r="T276" s="7">
        <f>IF($B276="","",S276*L276)</f>
        <v/>
      </c>
      <c r="U276" s="7">
        <f>IF($B276="","",L276-T276)</f>
        <v/>
      </c>
      <c r="V276" s="7">
        <f>IF($B276="","",U276-G276)</f>
        <v/>
      </c>
      <c r="W276">
        <f>IF($B276="","",IF(COUNTIF($B$2:$B276,$B276)=1,1,0))</f>
        <v/>
      </c>
      <c r="X276">
        <f>IF($W276=1,SUMPRODUCT(--($Z$2:$Z$501&lt;$Z276))+1,"")</f>
        <v/>
      </c>
      <c r="Y276">
        <f>IF($B276="","",IF(OR($R276=TRUE(),$R276="TRUE"),1,0))</f>
        <v/>
      </c>
      <c r="Z276">
        <f>IF($W276=1,IFERROR(IF(VALUE($B276)&lt;100000000,VALUE($B276),1000000000),IFERROR(IF(VALUE(MID($B276,2,20))&lt;100000000,VALUE(MID($B276,2,20)),1000000000),1000000000))+ROW()/100000,"")</f>
        <v/>
      </c>
    </row>
    <row r="277">
      <c r="A277">
        <f>IF($B277="","",IFERROR(IF(INDEX('Per Invoice'!$A$2:$A$201,MATCH($B277,'Per Invoice'!$B$2:$B$201,0))=0,"",INDEX('Per Invoice'!$A$2:$A$201,MATCH($B277,'Per Invoice'!$B$2:$B$201,0))),""))</f>
        <v/>
      </c>
      <c r="G277" s="7">
        <f>IF($B277="","",F277*L277/100)</f>
        <v/>
      </c>
      <c r="J277" s="7" t="n"/>
      <c r="L277" s="7" t="n"/>
      <c r="M277" s="7" t="n"/>
      <c r="P277" s="11" t="n"/>
      <c r="S277">
        <f>IF($B277="","",IF($Y277=1,Settings!$C$6,Settings!$C$7)*1)</f>
        <v/>
      </c>
      <c r="T277" s="7">
        <f>IF($B277="","",S277*L277)</f>
        <v/>
      </c>
      <c r="U277" s="7">
        <f>IF($B277="","",L277-T277)</f>
        <v/>
      </c>
      <c r="V277" s="7">
        <f>IF($B277="","",U277-G277)</f>
        <v/>
      </c>
      <c r="W277">
        <f>IF($B277="","",IF(COUNTIF($B$2:$B277,$B277)=1,1,0))</f>
        <v/>
      </c>
      <c r="X277">
        <f>IF($W277=1,SUMPRODUCT(--($Z$2:$Z$501&lt;$Z277))+1,"")</f>
        <v/>
      </c>
      <c r="Y277">
        <f>IF($B277="","",IF(OR($R277=TRUE(),$R277="TRUE"),1,0))</f>
        <v/>
      </c>
      <c r="Z277">
        <f>IF($W277=1,IFERROR(IF(VALUE($B277)&lt;100000000,VALUE($B277),1000000000),IFERROR(IF(VALUE(MID($B277,2,20))&lt;100000000,VALUE(MID($B277,2,20)),1000000000),1000000000))+ROW()/100000,"")</f>
        <v/>
      </c>
    </row>
    <row r="278">
      <c r="A278">
        <f>IF($B278="","",IFERROR(IF(INDEX('Per Invoice'!$A$2:$A$201,MATCH($B278,'Per Invoice'!$B$2:$B$201,0))=0,"",INDEX('Per Invoice'!$A$2:$A$201,MATCH($B278,'Per Invoice'!$B$2:$B$201,0))),""))</f>
        <v/>
      </c>
      <c r="G278" s="7">
        <f>IF($B278="","",F278*L278/100)</f>
        <v/>
      </c>
      <c r="J278" s="7" t="n"/>
      <c r="L278" s="7" t="n"/>
      <c r="M278" s="7" t="n"/>
      <c r="P278" s="11" t="n"/>
      <c r="S278">
        <f>IF($B278="","",IF($Y278=1,Settings!$C$6,Settings!$C$7)*1)</f>
        <v/>
      </c>
      <c r="T278" s="7">
        <f>IF($B278="","",S278*L278)</f>
        <v/>
      </c>
      <c r="U278" s="7">
        <f>IF($B278="","",L278-T278)</f>
        <v/>
      </c>
      <c r="V278" s="7">
        <f>IF($B278="","",U278-G278)</f>
        <v/>
      </c>
      <c r="W278">
        <f>IF($B278="","",IF(COUNTIF($B$2:$B278,$B278)=1,1,0))</f>
        <v/>
      </c>
      <c r="X278">
        <f>IF($W278=1,SUMPRODUCT(--($Z$2:$Z$501&lt;$Z278))+1,"")</f>
        <v/>
      </c>
      <c r="Y278">
        <f>IF($B278="","",IF(OR($R278=TRUE(),$R278="TRUE"),1,0))</f>
        <v/>
      </c>
      <c r="Z278">
        <f>IF($W278=1,IFERROR(IF(VALUE($B278)&lt;100000000,VALUE($B278),1000000000),IFERROR(IF(VALUE(MID($B278,2,20))&lt;100000000,VALUE(MID($B278,2,20)),1000000000),1000000000))+ROW()/100000,"")</f>
        <v/>
      </c>
    </row>
    <row r="279">
      <c r="A279">
        <f>IF($B279="","",IFERROR(IF(INDEX('Per Invoice'!$A$2:$A$201,MATCH($B279,'Per Invoice'!$B$2:$B$201,0))=0,"",INDEX('Per Invoice'!$A$2:$A$201,MATCH($B279,'Per Invoice'!$B$2:$B$201,0))),""))</f>
        <v/>
      </c>
      <c r="G279" s="7">
        <f>IF($B279="","",F279*L279/100)</f>
        <v/>
      </c>
      <c r="J279" s="7" t="n"/>
      <c r="L279" s="7" t="n"/>
      <c r="M279" s="7" t="n"/>
      <c r="P279" s="11" t="n"/>
      <c r="S279">
        <f>IF($B279="","",IF($Y279=1,Settings!$C$6,Settings!$C$7)*1)</f>
        <v/>
      </c>
      <c r="T279" s="7">
        <f>IF($B279="","",S279*L279)</f>
        <v/>
      </c>
      <c r="U279" s="7">
        <f>IF($B279="","",L279-T279)</f>
        <v/>
      </c>
      <c r="V279" s="7">
        <f>IF($B279="","",U279-G279)</f>
        <v/>
      </c>
      <c r="W279">
        <f>IF($B279="","",IF(COUNTIF($B$2:$B279,$B279)=1,1,0))</f>
        <v/>
      </c>
      <c r="X279">
        <f>IF($W279=1,SUMPRODUCT(--($Z$2:$Z$501&lt;$Z279))+1,"")</f>
        <v/>
      </c>
      <c r="Y279">
        <f>IF($B279="","",IF(OR($R279=TRUE(),$R279="TRUE"),1,0))</f>
        <v/>
      </c>
      <c r="Z279">
        <f>IF($W279=1,IFERROR(IF(VALUE($B279)&lt;100000000,VALUE($B279),1000000000),IFERROR(IF(VALUE(MID($B279,2,20))&lt;100000000,VALUE(MID($B279,2,20)),1000000000),1000000000))+ROW()/100000,"")</f>
        <v/>
      </c>
    </row>
    <row r="280">
      <c r="A280">
        <f>IF($B280="","",IFERROR(IF(INDEX('Per Invoice'!$A$2:$A$201,MATCH($B280,'Per Invoice'!$B$2:$B$201,0))=0,"",INDEX('Per Invoice'!$A$2:$A$201,MATCH($B280,'Per Invoice'!$B$2:$B$201,0))),""))</f>
        <v/>
      </c>
      <c r="G280" s="7">
        <f>IF($B280="","",F280*L280/100)</f>
        <v/>
      </c>
      <c r="J280" s="7" t="n"/>
      <c r="L280" s="7" t="n"/>
      <c r="M280" s="7" t="n"/>
      <c r="P280" s="11" t="n"/>
      <c r="S280">
        <f>IF($B280="","",IF($Y280=1,Settings!$C$6,Settings!$C$7)*1)</f>
        <v/>
      </c>
      <c r="T280" s="7">
        <f>IF($B280="","",S280*L280)</f>
        <v/>
      </c>
      <c r="U280" s="7">
        <f>IF($B280="","",L280-T280)</f>
        <v/>
      </c>
      <c r="V280" s="7">
        <f>IF($B280="","",U280-G280)</f>
        <v/>
      </c>
      <c r="W280">
        <f>IF($B280="","",IF(COUNTIF($B$2:$B280,$B280)=1,1,0))</f>
        <v/>
      </c>
      <c r="X280">
        <f>IF($W280=1,SUMPRODUCT(--($Z$2:$Z$501&lt;$Z280))+1,"")</f>
        <v/>
      </c>
      <c r="Y280">
        <f>IF($B280="","",IF(OR($R280=TRUE(),$R280="TRUE"),1,0))</f>
        <v/>
      </c>
      <c r="Z280">
        <f>IF($W280=1,IFERROR(IF(VALUE($B280)&lt;100000000,VALUE($B280),1000000000),IFERROR(IF(VALUE(MID($B280,2,20))&lt;100000000,VALUE(MID($B280,2,20)),1000000000),1000000000))+ROW()/100000,"")</f>
        <v/>
      </c>
    </row>
    <row r="281">
      <c r="A281">
        <f>IF($B281="","",IFERROR(IF(INDEX('Per Invoice'!$A$2:$A$201,MATCH($B281,'Per Invoice'!$B$2:$B$201,0))=0,"",INDEX('Per Invoice'!$A$2:$A$201,MATCH($B281,'Per Invoice'!$B$2:$B$201,0))),""))</f>
        <v/>
      </c>
      <c r="G281" s="7">
        <f>IF($B281="","",F281*L281/100)</f>
        <v/>
      </c>
      <c r="J281" s="7" t="n"/>
      <c r="L281" s="7" t="n"/>
      <c r="M281" s="7" t="n"/>
      <c r="P281" s="11" t="n"/>
      <c r="S281">
        <f>IF($B281="","",IF($Y281=1,Settings!$C$6,Settings!$C$7)*1)</f>
        <v/>
      </c>
      <c r="T281" s="7">
        <f>IF($B281="","",S281*L281)</f>
        <v/>
      </c>
      <c r="U281" s="7">
        <f>IF($B281="","",L281-T281)</f>
        <v/>
      </c>
      <c r="V281" s="7">
        <f>IF($B281="","",U281-G281)</f>
        <v/>
      </c>
      <c r="W281">
        <f>IF($B281="","",IF(COUNTIF($B$2:$B281,$B281)=1,1,0))</f>
        <v/>
      </c>
      <c r="X281">
        <f>IF($W281=1,SUMPRODUCT(--($Z$2:$Z$501&lt;$Z281))+1,"")</f>
        <v/>
      </c>
      <c r="Y281">
        <f>IF($B281="","",IF(OR($R281=TRUE(),$R281="TRUE"),1,0))</f>
        <v/>
      </c>
      <c r="Z281">
        <f>IF($W281=1,IFERROR(IF(VALUE($B281)&lt;100000000,VALUE($B281),1000000000),IFERROR(IF(VALUE(MID($B281,2,20))&lt;100000000,VALUE(MID($B281,2,20)),1000000000),1000000000))+ROW()/100000,"")</f>
        <v/>
      </c>
    </row>
    <row r="282">
      <c r="A282">
        <f>IF($B282="","",IFERROR(IF(INDEX('Per Invoice'!$A$2:$A$201,MATCH($B282,'Per Invoice'!$B$2:$B$201,0))=0,"",INDEX('Per Invoice'!$A$2:$A$201,MATCH($B282,'Per Invoice'!$B$2:$B$201,0))),""))</f>
        <v/>
      </c>
      <c r="G282" s="7">
        <f>IF($B282="","",F282*L282/100)</f>
        <v/>
      </c>
      <c r="J282" s="7" t="n"/>
      <c r="L282" s="7" t="n"/>
      <c r="M282" s="7" t="n"/>
      <c r="P282" s="11" t="n"/>
      <c r="S282">
        <f>IF($B282="","",IF($Y282=1,Settings!$C$6,Settings!$C$7)*1)</f>
        <v/>
      </c>
      <c r="T282" s="7">
        <f>IF($B282="","",S282*L282)</f>
        <v/>
      </c>
      <c r="U282" s="7">
        <f>IF($B282="","",L282-T282)</f>
        <v/>
      </c>
      <c r="V282" s="7">
        <f>IF($B282="","",U282-G282)</f>
        <v/>
      </c>
      <c r="W282">
        <f>IF($B282="","",IF(COUNTIF($B$2:$B282,$B282)=1,1,0))</f>
        <v/>
      </c>
      <c r="X282">
        <f>IF($W282=1,SUMPRODUCT(--($Z$2:$Z$501&lt;$Z282))+1,"")</f>
        <v/>
      </c>
      <c r="Y282">
        <f>IF($B282="","",IF(OR($R282=TRUE(),$R282="TRUE"),1,0))</f>
        <v/>
      </c>
      <c r="Z282">
        <f>IF($W282=1,IFERROR(IF(VALUE($B282)&lt;100000000,VALUE($B282),1000000000),IFERROR(IF(VALUE(MID($B282,2,20))&lt;100000000,VALUE(MID($B282,2,20)),1000000000),1000000000))+ROW()/100000,"")</f>
        <v/>
      </c>
    </row>
    <row r="283">
      <c r="A283">
        <f>IF($B283="","",IFERROR(IF(INDEX('Per Invoice'!$A$2:$A$201,MATCH($B283,'Per Invoice'!$B$2:$B$201,0))=0,"",INDEX('Per Invoice'!$A$2:$A$201,MATCH($B283,'Per Invoice'!$B$2:$B$201,0))),""))</f>
        <v/>
      </c>
      <c r="G283" s="7">
        <f>IF($B283="","",F283*L283/100)</f>
        <v/>
      </c>
      <c r="J283" s="7" t="n"/>
      <c r="L283" s="7" t="n"/>
      <c r="M283" s="7" t="n"/>
      <c r="P283" s="11" t="n"/>
      <c r="S283">
        <f>IF($B283="","",IF($Y283=1,Settings!$C$6,Settings!$C$7)*1)</f>
        <v/>
      </c>
      <c r="T283" s="7">
        <f>IF($B283="","",S283*L283)</f>
        <v/>
      </c>
      <c r="U283" s="7">
        <f>IF($B283="","",L283-T283)</f>
        <v/>
      </c>
      <c r="V283" s="7">
        <f>IF($B283="","",U283-G283)</f>
        <v/>
      </c>
      <c r="W283">
        <f>IF($B283="","",IF(COUNTIF($B$2:$B283,$B283)=1,1,0))</f>
        <v/>
      </c>
      <c r="X283">
        <f>IF($W283=1,SUMPRODUCT(--($Z$2:$Z$501&lt;$Z283))+1,"")</f>
        <v/>
      </c>
      <c r="Y283">
        <f>IF($B283="","",IF(OR($R283=TRUE(),$R283="TRUE"),1,0))</f>
        <v/>
      </c>
      <c r="Z283">
        <f>IF($W283=1,IFERROR(IF(VALUE($B283)&lt;100000000,VALUE($B283),1000000000),IFERROR(IF(VALUE(MID($B283,2,20))&lt;100000000,VALUE(MID($B283,2,20)),1000000000),1000000000))+ROW()/100000,"")</f>
        <v/>
      </c>
    </row>
    <row r="284">
      <c r="A284">
        <f>IF($B284="","",IFERROR(IF(INDEX('Per Invoice'!$A$2:$A$201,MATCH($B284,'Per Invoice'!$B$2:$B$201,0))=0,"",INDEX('Per Invoice'!$A$2:$A$201,MATCH($B284,'Per Invoice'!$B$2:$B$201,0))),""))</f>
        <v/>
      </c>
      <c r="G284" s="7">
        <f>IF($B284="","",F284*L284/100)</f>
        <v/>
      </c>
      <c r="J284" s="7" t="n"/>
      <c r="L284" s="7" t="n"/>
      <c r="M284" s="7" t="n"/>
      <c r="P284" s="11" t="n"/>
      <c r="S284">
        <f>IF($B284="","",IF($Y284=1,Settings!$C$6,Settings!$C$7)*1)</f>
        <v/>
      </c>
      <c r="T284" s="7">
        <f>IF($B284="","",S284*L284)</f>
        <v/>
      </c>
      <c r="U284" s="7">
        <f>IF($B284="","",L284-T284)</f>
        <v/>
      </c>
      <c r="V284" s="7">
        <f>IF($B284="","",U284-G284)</f>
        <v/>
      </c>
      <c r="W284">
        <f>IF($B284="","",IF(COUNTIF($B$2:$B284,$B284)=1,1,0))</f>
        <v/>
      </c>
      <c r="X284">
        <f>IF($W284=1,SUMPRODUCT(--($Z$2:$Z$501&lt;$Z284))+1,"")</f>
        <v/>
      </c>
      <c r="Y284">
        <f>IF($B284="","",IF(OR($R284=TRUE(),$R284="TRUE"),1,0))</f>
        <v/>
      </c>
      <c r="Z284">
        <f>IF($W284=1,IFERROR(IF(VALUE($B284)&lt;100000000,VALUE($B284),1000000000),IFERROR(IF(VALUE(MID($B284,2,20))&lt;100000000,VALUE(MID($B284,2,20)),1000000000),1000000000))+ROW()/100000,"")</f>
        <v/>
      </c>
    </row>
    <row r="285">
      <c r="A285">
        <f>IF($B285="","",IFERROR(IF(INDEX('Per Invoice'!$A$2:$A$201,MATCH($B285,'Per Invoice'!$B$2:$B$201,0))=0,"",INDEX('Per Invoice'!$A$2:$A$201,MATCH($B285,'Per Invoice'!$B$2:$B$201,0))),""))</f>
        <v/>
      </c>
      <c r="G285" s="7">
        <f>IF($B285="","",F285*L285/100)</f>
        <v/>
      </c>
      <c r="J285" s="7" t="n"/>
      <c r="L285" s="7" t="n"/>
      <c r="M285" s="7" t="n"/>
      <c r="P285" s="11" t="n"/>
      <c r="S285">
        <f>IF($B285="","",IF($Y285=1,Settings!$C$6,Settings!$C$7)*1)</f>
        <v/>
      </c>
      <c r="T285" s="7">
        <f>IF($B285="","",S285*L285)</f>
        <v/>
      </c>
      <c r="U285" s="7">
        <f>IF($B285="","",L285-T285)</f>
        <v/>
      </c>
      <c r="V285" s="7">
        <f>IF($B285="","",U285-G285)</f>
        <v/>
      </c>
      <c r="W285">
        <f>IF($B285="","",IF(COUNTIF($B$2:$B285,$B285)=1,1,0))</f>
        <v/>
      </c>
      <c r="X285">
        <f>IF($W285=1,SUMPRODUCT(--($Z$2:$Z$501&lt;$Z285))+1,"")</f>
        <v/>
      </c>
      <c r="Y285">
        <f>IF($B285="","",IF(OR($R285=TRUE(),$R285="TRUE"),1,0))</f>
        <v/>
      </c>
      <c r="Z285">
        <f>IF($W285=1,IFERROR(IF(VALUE($B285)&lt;100000000,VALUE($B285),1000000000),IFERROR(IF(VALUE(MID($B285,2,20))&lt;100000000,VALUE(MID($B285,2,20)),1000000000),1000000000))+ROW()/100000,"")</f>
        <v/>
      </c>
    </row>
    <row r="286">
      <c r="A286">
        <f>IF($B286="","",IFERROR(IF(INDEX('Per Invoice'!$A$2:$A$201,MATCH($B286,'Per Invoice'!$B$2:$B$201,0))=0,"",INDEX('Per Invoice'!$A$2:$A$201,MATCH($B286,'Per Invoice'!$B$2:$B$201,0))),""))</f>
        <v/>
      </c>
      <c r="G286" s="7">
        <f>IF($B286="","",F286*L286/100)</f>
        <v/>
      </c>
      <c r="J286" s="7" t="n"/>
      <c r="L286" s="7" t="n"/>
      <c r="M286" s="7" t="n"/>
      <c r="P286" s="11" t="n"/>
      <c r="S286">
        <f>IF($B286="","",IF($Y286=1,Settings!$C$6,Settings!$C$7)*1)</f>
        <v/>
      </c>
      <c r="T286" s="7">
        <f>IF($B286="","",S286*L286)</f>
        <v/>
      </c>
      <c r="U286" s="7">
        <f>IF($B286="","",L286-T286)</f>
        <v/>
      </c>
      <c r="V286" s="7">
        <f>IF($B286="","",U286-G286)</f>
        <v/>
      </c>
      <c r="W286">
        <f>IF($B286="","",IF(COUNTIF($B$2:$B286,$B286)=1,1,0))</f>
        <v/>
      </c>
      <c r="X286">
        <f>IF($W286=1,SUMPRODUCT(--($Z$2:$Z$501&lt;$Z286))+1,"")</f>
        <v/>
      </c>
      <c r="Y286">
        <f>IF($B286="","",IF(OR($R286=TRUE(),$R286="TRUE"),1,0))</f>
        <v/>
      </c>
      <c r="Z286">
        <f>IF($W286=1,IFERROR(IF(VALUE($B286)&lt;100000000,VALUE($B286),1000000000),IFERROR(IF(VALUE(MID($B286,2,20))&lt;100000000,VALUE(MID($B286,2,20)),1000000000),1000000000))+ROW()/100000,"")</f>
        <v/>
      </c>
    </row>
    <row r="287">
      <c r="A287">
        <f>IF($B287="","",IFERROR(IF(INDEX('Per Invoice'!$A$2:$A$201,MATCH($B287,'Per Invoice'!$B$2:$B$201,0))=0,"",INDEX('Per Invoice'!$A$2:$A$201,MATCH($B287,'Per Invoice'!$B$2:$B$201,0))),""))</f>
        <v/>
      </c>
      <c r="G287" s="7">
        <f>IF($B287="","",F287*L287/100)</f>
        <v/>
      </c>
      <c r="J287" s="7" t="n"/>
      <c r="L287" s="7" t="n"/>
      <c r="M287" s="7" t="n"/>
      <c r="P287" s="11" t="n"/>
      <c r="S287">
        <f>IF($B287="","",IF($Y287=1,Settings!$C$6,Settings!$C$7)*1)</f>
        <v/>
      </c>
      <c r="T287" s="7">
        <f>IF($B287="","",S287*L287)</f>
        <v/>
      </c>
      <c r="U287" s="7">
        <f>IF($B287="","",L287-T287)</f>
        <v/>
      </c>
      <c r="V287" s="7">
        <f>IF($B287="","",U287-G287)</f>
        <v/>
      </c>
      <c r="W287">
        <f>IF($B287="","",IF(COUNTIF($B$2:$B287,$B287)=1,1,0))</f>
        <v/>
      </c>
      <c r="X287">
        <f>IF($W287=1,SUMPRODUCT(--($Z$2:$Z$501&lt;$Z287))+1,"")</f>
        <v/>
      </c>
      <c r="Y287">
        <f>IF($B287="","",IF(OR($R287=TRUE(),$R287="TRUE"),1,0))</f>
        <v/>
      </c>
      <c r="Z287">
        <f>IF($W287=1,IFERROR(IF(VALUE($B287)&lt;100000000,VALUE($B287),1000000000),IFERROR(IF(VALUE(MID($B287,2,20))&lt;100000000,VALUE(MID($B287,2,20)),1000000000),1000000000))+ROW()/100000,"")</f>
        <v/>
      </c>
    </row>
    <row r="288">
      <c r="A288">
        <f>IF($B288="","",IFERROR(IF(INDEX('Per Invoice'!$A$2:$A$201,MATCH($B288,'Per Invoice'!$B$2:$B$201,0))=0,"",INDEX('Per Invoice'!$A$2:$A$201,MATCH($B288,'Per Invoice'!$B$2:$B$201,0))),""))</f>
        <v/>
      </c>
      <c r="G288" s="7">
        <f>IF($B288="","",F288*L288/100)</f>
        <v/>
      </c>
      <c r="J288" s="7" t="n"/>
      <c r="L288" s="7" t="n"/>
      <c r="M288" s="7" t="n"/>
      <c r="P288" s="11" t="n"/>
      <c r="S288">
        <f>IF($B288="","",IF($Y288=1,Settings!$C$6,Settings!$C$7)*1)</f>
        <v/>
      </c>
      <c r="T288" s="7">
        <f>IF($B288="","",S288*L288)</f>
        <v/>
      </c>
      <c r="U288" s="7">
        <f>IF($B288="","",L288-T288)</f>
        <v/>
      </c>
      <c r="V288" s="7">
        <f>IF($B288="","",U288-G288)</f>
        <v/>
      </c>
      <c r="W288">
        <f>IF($B288="","",IF(COUNTIF($B$2:$B288,$B288)=1,1,0))</f>
        <v/>
      </c>
      <c r="X288">
        <f>IF($W288=1,SUMPRODUCT(--($Z$2:$Z$501&lt;$Z288))+1,"")</f>
        <v/>
      </c>
      <c r="Y288">
        <f>IF($B288="","",IF(OR($R288=TRUE(),$R288="TRUE"),1,0))</f>
        <v/>
      </c>
      <c r="Z288">
        <f>IF($W288=1,IFERROR(IF(VALUE($B288)&lt;100000000,VALUE($B288),1000000000),IFERROR(IF(VALUE(MID($B288,2,20))&lt;100000000,VALUE(MID($B288,2,20)),1000000000),1000000000))+ROW()/100000,"")</f>
        <v/>
      </c>
    </row>
    <row r="289">
      <c r="A289">
        <f>IF($B289="","",IFERROR(IF(INDEX('Per Invoice'!$A$2:$A$201,MATCH($B289,'Per Invoice'!$B$2:$B$201,0))=0,"",INDEX('Per Invoice'!$A$2:$A$201,MATCH($B289,'Per Invoice'!$B$2:$B$201,0))),""))</f>
        <v/>
      </c>
      <c r="G289" s="7">
        <f>IF($B289="","",F289*L289/100)</f>
        <v/>
      </c>
      <c r="J289" s="7" t="n"/>
      <c r="L289" s="7" t="n"/>
      <c r="M289" s="7" t="n"/>
      <c r="P289" s="11" t="n"/>
      <c r="S289">
        <f>IF($B289="","",IF($Y289=1,Settings!$C$6,Settings!$C$7)*1)</f>
        <v/>
      </c>
      <c r="T289" s="7">
        <f>IF($B289="","",S289*L289)</f>
        <v/>
      </c>
      <c r="U289" s="7">
        <f>IF($B289="","",L289-T289)</f>
        <v/>
      </c>
      <c r="V289" s="7">
        <f>IF($B289="","",U289-G289)</f>
        <v/>
      </c>
      <c r="W289">
        <f>IF($B289="","",IF(COUNTIF($B$2:$B289,$B289)=1,1,0))</f>
        <v/>
      </c>
      <c r="X289">
        <f>IF($W289=1,SUMPRODUCT(--($Z$2:$Z$501&lt;$Z289))+1,"")</f>
        <v/>
      </c>
      <c r="Y289">
        <f>IF($B289="","",IF(OR($R289=TRUE(),$R289="TRUE"),1,0))</f>
        <v/>
      </c>
      <c r="Z289">
        <f>IF($W289=1,IFERROR(IF(VALUE($B289)&lt;100000000,VALUE($B289),1000000000),IFERROR(IF(VALUE(MID($B289,2,20))&lt;100000000,VALUE(MID($B289,2,20)),1000000000),1000000000))+ROW()/100000,"")</f>
        <v/>
      </c>
    </row>
    <row r="290">
      <c r="A290">
        <f>IF($B290="","",IFERROR(IF(INDEX('Per Invoice'!$A$2:$A$201,MATCH($B290,'Per Invoice'!$B$2:$B$201,0))=0,"",INDEX('Per Invoice'!$A$2:$A$201,MATCH($B290,'Per Invoice'!$B$2:$B$201,0))),""))</f>
        <v/>
      </c>
      <c r="G290" s="7">
        <f>IF($B290="","",F290*L290/100)</f>
        <v/>
      </c>
      <c r="J290" s="7" t="n"/>
      <c r="L290" s="7" t="n"/>
      <c r="M290" s="7" t="n"/>
      <c r="P290" s="11" t="n"/>
      <c r="S290">
        <f>IF($B290="","",IF($Y290=1,Settings!$C$6,Settings!$C$7)*1)</f>
        <v/>
      </c>
      <c r="T290" s="7">
        <f>IF($B290="","",S290*L290)</f>
        <v/>
      </c>
      <c r="U290" s="7">
        <f>IF($B290="","",L290-T290)</f>
        <v/>
      </c>
      <c r="V290" s="7">
        <f>IF($B290="","",U290-G290)</f>
        <v/>
      </c>
      <c r="W290">
        <f>IF($B290="","",IF(COUNTIF($B$2:$B290,$B290)=1,1,0))</f>
        <v/>
      </c>
      <c r="X290">
        <f>IF($W290=1,SUMPRODUCT(--($Z$2:$Z$501&lt;$Z290))+1,"")</f>
        <v/>
      </c>
      <c r="Y290">
        <f>IF($B290="","",IF(OR($R290=TRUE(),$R290="TRUE"),1,0))</f>
        <v/>
      </c>
      <c r="Z290">
        <f>IF($W290=1,IFERROR(IF(VALUE($B290)&lt;100000000,VALUE($B290),1000000000),IFERROR(IF(VALUE(MID($B290,2,20))&lt;100000000,VALUE(MID($B290,2,20)),1000000000),1000000000))+ROW()/100000,"")</f>
        <v/>
      </c>
    </row>
    <row r="291">
      <c r="A291">
        <f>IF($B291="","",IFERROR(IF(INDEX('Per Invoice'!$A$2:$A$201,MATCH($B291,'Per Invoice'!$B$2:$B$201,0))=0,"",INDEX('Per Invoice'!$A$2:$A$201,MATCH($B291,'Per Invoice'!$B$2:$B$201,0))),""))</f>
        <v/>
      </c>
      <c r="G291" s="7">
        <f>IF($B291="","",F291*L291/100)</f>
        <v/>
      </c>
      <c r="J291" s="7" t="n"/>
      <c r="L291" s="7" t="n"/>
      <c r="M291" s="7" t="n"/>
      <c r="P291" s="11" t="n"/>
      <c r="S291">
        <f>IF($B291="","",IF($Y291=1,Settings!$C$6,Settings!$C$7)*1)</f>
        <v/>
      </c>
      <c r="T291" s="7">
        <f>IF($B291="","",S291*L291)</f>
        <v/>
      </c>
      <c r="U291" s="7">
        <f>IF($B291="","",L291-T291)</f>
        <v/>
      </c>
      <c r="V291" s="7">
        <f>IF($B291="","",U291-G291)</f>
        <v/>
      </c>
      <c r="W291">
        <f>IF($B291="","",IF(COUNTIF($B$2:$B291,$B291)=1,1,0))</f>
        <v/>
      </c>
      <c r="X291">
        <f>IF($W291=1,SUMPRODUCT(--($Z$2:$Z$501&lt;$Z291))+1,"")</f>
        <v/>
      </c>
      <c r="Y291">
        <f>IF($B291="","",IF(OR($R291=TRUE(),$R291="TRUE"),1,0))</f>
        <v/>
      </c>
      <c r="Z291">
        <f>IF($W291=1,IFERROR(IF(VALUE($B291)&lt;100000000,VALUE($B291),1000000000),IFERROR(IF(VALUE(MID($B291,2,20))&lt;100000000,VALUE(MID($B291,2,20)),1000000000),1000000000))+ROW()/100000,"")</f>
        <v/>
      </c>
    </row>
    <row r="292">
      <c r="A292">
        <f>IF($B292="","",IFERROR(IF(INDEX('Per Invoice'!$A$2:$A$201,MATCH($B292,'Per Invoice'!$B$2:$B$201,0))=0,"",INDEX('Per Invoice'!$A$2:$A$201,MATCH($B292,'Per Invoice'!$B$2:$B$201,0))),""))</f>
        <v/>
      </c>
      <c r="G292" s="7">
        <f>IF($B292="","",F292*L292/100)</f>
        <v/>
      </c>
      <c r="J292" s="7" t="n"/>
      <c r="L292" s="7" t="n"/>
      <c r="M292" s="7" t="n"/>
      <c r="P292" s="11" t="n"/>
      <c r="S292">
        <f>IF($B292="","",IF($Y292=1,Settings!$C$6,Settings!$C$7)*1)</f>
        <v/>
      </c>
      <c r="T292" s="7">
        <f>IF($B292="","",S292*L292)</f>
        <v/>
      </c>
      <c r="U292" s="7">
        <f>IF($B292="","",L292-T292)</f>
        <v/>
      </c>
      <c r="V292" s="7">
        <f>IF($B292="","",U292-G292)</f>
        <v/>
      </c>
      <c r="W292">
        <f>IF($B292="","",IF(COUNTIF($B$2:$B292,$B292)=1,1,0))</f>
        <v/>
      </c>
      <c r="X292">
        <f>IF($W292=1,SUMPRODUCT(--($Z$2:$Z$501&lt;$Z292))+1,"")</f>
        <v/>
      </c>
      <c r="Y292">
        <f>IF($B292="","",IF(OR($R292=TRUE(),$R292="TRUE"),1,0))</f>
        <v/>
      </c>
      <c r="Z292">
        <f>IF($W292=1,IFERROR(IF(VALUE($B292)&lt;100000000,VALUE($B292),1000000000),IFERROR(IF(VALUE(MID($B292,2,20))&lt;100000000,VALUE(MID($B292,2,20)),1000000000),1000000000))+ROW()/100000,"")</f>
        <v/>
      </c>
    </row>
    <row r="293">
      <c r="A293">
        <f>IF($B293="","",IFERROR(IF(INDEX('Per Invoice'!$A$2:$A$201,MATCH($B293,'Per Invoice'!$B$2:$B$201,0))=0,"",INDEX('Per Invoice'!$A$2:$A$201,MATCH($B293,'Per Invoice'!$B$2:$B$201,0))),""))</f>
        <v/>
      </c>
      <c r="G293" s="7">
        <f>IF($B293="","",F293*L293/100)</f>
        <v/>
      </c>
      <c r="J293" s="7" t="n"/>
      <c r="L293" s="7" t="n"/>
      <c r="M293" s="7" t="n"/>
      <c r="P293" s="11" t="n"/>
      <c r="S293">
        <f>IF($B293="","",IF($Y293=1,Settings!$C$6,Settings!$C$7)*1)</f>
        <v/>
      </c>
      <c r="T293" s="7">
        <f>IF($B293="","",S293*L293)</f>
        <v/>
      </c>
      <c r="U293" s="7">
        <f>IF($B293="","",L293-T293)</f>
        <v/>
      </c>
      <c r="V293" s="7">
        <f>IF($B293="","",U293-G293)</f>
        <v/>
      </c>
      <c r="W293">
        <f>IF($B293="","",IF(COUNTIF($B$2:$B293,$B293)=1,1,0))</f>
        <v/>
      </c>
      <c r="X293">
        <f>IF($W293=1,SUMPRODUCT(--($Z$2:$Z$501&lt;$Z293))+1,"")</f>
        <v/>
      </c>
      <c r="Y293">
        <f>IF($B293="","",IF(OR($R293=TRUE(),$R293="TRUE"),1,0))</f>
        <v/>
      </c>
      <c r="Z293">
        <f>IF($W293=1,IFERROR(IF(VALUE($B293)&lt;100000000,VALUE($B293),1000000000),IFERROR(IF(VALUE(MID($B293,2,20))&lt;100000000,VALUE(MID($B293,2,20)),1000000000),1000000000))+ROW()/100000,"")</f>
        <v/>
      </c>
    </row>
    <row r="294">
      <c r="A294">
        <f>IF($B294="","",IFERROR(IF(INDEX('Per Invoice'!$A$2:$A$201,MATCH($B294,'Per Invoice'!$B$2:$B$201,0))=0,"",INDEX('Per Invoice'!$A$2:$A$201,MATCH($B294,'Per Invoice'!$B$2:$B$201,0))),""))</f>
        <v/>
      </c>
      <c r="G294" s="7">
        <f>IF($B294="","",F294*L294/100)</f>
        <v/>
      </c>
      <c r="J294" s="7" t="n"/>
      <c r="L294" s="7" t="n"/>
      <c r="M294" s="7" t="n"/>
      <c r="P294" s="11" t="n"/>
      <c r="S294">
        <f>IF($B294="","",IF($Y294=1,Settings!$C$6,Settings!$C$7)*1)</f>
        <v/>
      </c>
      <c r="T294" s="7">
        <f>IF($B294="","",S294*L294)</f>
        <v/>
      </c>
      <c r="U294" s="7">
        <f>IF($B294="","",L294-T294)</f>
        <v/>
      </c>
      <c r="V294" s="7">
        <f>IF($B294="","",U294-G294)</f>
        <v/>
      </c>
      <c r="W294">
        <f>IF($B294="","",IF(COUNTIF($B$2:$B294,$B294)=1,1,0))</f>
        <v/>
      </c>
      <c r="X294">
        <f>IF($W294=1,SUMPRODUCT(--($Z$2:$Z$501&lt;$Z294))+1,"")</f>
        <v/>
      </c>
      <c r="Y294">
        <f>IF($B294="","",IF(OR($R294=TRUE(),$R294="TRUE"),1,0))</f>
        <v/>
      </c>
      <c r="Z294">
        <f>IF($W294=1,IFERROR(IF(VALUE($B294)&lt;100000000,VALUE($B294),1000000000),IFERROR(IF(VALUE(MID($B294,2,20))&lt;100000000,VALUE(MID($B294,2,20)),1000000000),1000000000))+ROW()/100000,"")</f>
        <v/>
      </c>
    </row>
    <row r="295">
      <c r="A295">
        <f>IF($B295="","",IFERROR(IF(INDEX('Per Invoice'!$A$2:$A$201,MATCH($B295,'Per Invoice'!$B$2:$B$201,0))=0,"",INDEX('Per Invoice'!$A$2:$A$201,MATCH($B295,'Per Invoice'!$B$2:$B$201,0))),""))</f>
        <v/>
      </c>
      <c r="G295" s="7">
        <f>IF($B295="","",F295*L295/100)</f>
        <v/>
      </c>
      <c r="J295" s="7" t="n"/>
      <c r="L295" s="7" t="n"/>
      <c r="M295" s="7" t="n"/>
      <c r="P295" s="11" t="n"/>
      <c r="S295">
        <f>IF($B295="","",IF($Y295=1,Settings!$C$6,Settings!$C$7)*1)</f>
        <v/>
      </c>
      <c r="T295" s="7">
        <f>IF($B295="","",S295*L295)</f>
        <v/>
      </c>
      <c r="U295" s="7">
        <f>IF($B295="","",L295-T295)</f>
        <v/>
      </c>
      <c r="V295" s="7">
        <f>IF($B295="","",U295-G295)</f>
        <v/>
      </c>
      <c r="W295">
        <f>IF($B295="","",IF(COUNTIF($B$2:$B295,$B295)=1,1,0))</f>
        <v/>
      </c>
      <c r="X295">
        <f>IF($W295=1,SUMPRODUCT(--($Z$2:$Z$501&lt;$Z295))+1,"")</f>
        <v/>
      </c>
      <c r="Y295">
        <f>IF($B295="","",IF(OR($R295=TRUE(),$R295="TRUE"),1,0))</f>
        <v/>
      </c>
      <c r="Z295">
        <f>IF($W295=1,IFERROR(IF(VALUE($B295)&lt;100000000,VALUE($B295),1000000000),IFERROR(IF(VALUE(MID($B295,2,20))&lt;100000000,VALUE(MID($B295,2,20)),1000000000),1000000000))+ROW()/100000,"")</f>
        <v/>
      </c>
    </row>
    <row r="296">
      <c r="A296">
        <f>IF($B296="","",IFERROR(IF(INDEX('Per Invoice'!$A$2:$A$201,MATCH($B296,'Per Invoice'!$B$2:$B$201,0))=0,"",INDEX('Per Invoice'!$A$2:$A$201,MATCH($B296,'Per Invoice'!$B$2:$B$201,0))),""))</f>
        <v/>
      </c>
      <c r="G296" s="7">
        <f>IF($B296="","",F296*L296/100)</f>
        <v/>
      </c>
      <c r="J296" s="7" t="n"/>
      <c r="L296" s="7" t="n"/>
      <c r="M296" s="7" t="n"/>
      <c r="P296" s="11" t="n"/>
      <c r="S296">
        <f>IF($B296="","",IF($Y296=1,Settings!$C$6,Settings!$C$7)*1)</f>
        <v/>
      </c>
      <c r="T296" s="7">
        <f>IF($B296="","",S296*L296)</f>
        <v/>
      </c>
      <c r="U296" s="7">
        <f>IF($B296="","",L296-T296)</f>
        <v/>
      </c>
      <c r="V296" s="7">
        <f>IF($B296="","",U296-G296)</f>
        <v/>
      </c>
      <c r="W296">
        <f>IF($B296="","",IF(COUNTIF($B$2:$B296,$B296)=1,1,0))</f>
        <v/>
      </c>
      <c r="X296">
        <f>IF($W296=1,SUMPRODUCT(--($Z$2:$Z$501&lt;$Z296))+1,"")</f>
        <v/>
      </c>
      <c r="Y296">
        <f>IF($B296="","",IF(OR($R296=TRUE(),$R296="TRUE"),1,0))</f>
        <v/>
      </c>
      <c r="Z296">
        <f>IF($W296=1,IFERROR(IF(VALUE($B296)&lt;100000000,VALUE($B296),1000000000),IFERROR(IF(VALUE(MID($B296,2,20))&lt;100000000,VALUE(MID($B296,2,20)),1000000000),1000000000))+ROW()/100000,"")</f>
        <v/>
      </c>
    </row>
    <row r="297">
      <c r="A297">
        <f>IF($B297="","",IFERROR(IF(INDEX('Per Invoice'!$A$2:$A$201,MATCH($B297,'Per Invoice'!$B$2:$B$201,0))=0,"",INDEX('Per Invoice'!$A$2:$A$201,MATCH($B297,'Per Invoice'!$B$2:$B$201,0))),""))</f>
        <v/>
      </c>
      <c r="G297" s="7">
        <f>IF($B297="","",F297*L297/100)</f>
        <v/>
      </c>
      <c r="J297" s="7" t="n"/>
      <c r="L297" s="7" t="n"/>
      <c r="M297" s="7" t="n"/>
      <c r="P297" s="11" t="n"/>
      <c r="S297">
        <f>IF($B297="","",IF($Y297=1,Settings!$C$6,Settings!$C$7)*1)</f>
        <v/>
      </c>
      <c r="T297" s="7">
        <f>IF($B297="","",S297*L297)</f>
        <v/>
      </c>
      <c r="U297" s="7">
        <f>IF($B297="","",L297-T297)</f>
        <v/>
      </c>
      <c r="V297" s="7">
        <f>IF($B297="","",U297-G297)</f>
        <v/>
      </c>
      <c r="W297">
        <f>IF($B297="","",IF(COUNTIF($B$2:$B297,$B297)=1,1,0))</f>
        <v/>
      </c>
      <c r="X297">
        <f>IF($W297=1,SUMPRODUCT(--($Z$2:$Z$501&lt;$Z297))+1,"")</f>
        <v/>
      </c>
      <c r="Y297">
        <f>IF($B297="","",IF(OR($R297=TRUE(),$R297="TRUE"),1,0))</f>
        <v/>
      </c>
      <c r="Z297">
        <f>IF($W297=1,IFERROR(IF(VALUE($B297)&lt;100000000,VALUE($B297),1000000000),IFERROR(IF(VALUE(MID($B297,2,20))&lt;100000000,VALUE(MID($B297,2,20)),1000000000),1000000000))+ROW()/100000,"")</f>
        <v/>
      </c>
    </row>
    <row r="298">
      <c r="A298">
        <f>IF($B298="","",IFERROR(IF(INDEX('Per Invoice'!$A$2:$A$201,MATCH($B298,'Per Invoice'!$B$2:$B$201,0))=0,"",INDEX('Per Invoice'!$A$2:$A$201,MATCH($B298,'Per Invoice'!$B$2:$B$201,0))),""))</f>
        <v/>
      </c>
      <c r="G298" s="7">
        <f>IF($B298="","",F298*L298/100)</f>
        <v/>
      </c>
      <c r="J298" s="7" t="n"/>
      <c r="L298" s="7" t="n"/>
      <c r="M298" s="7" t="n"/>
      <c r="P298" s="11" t="n"/>
      <c r="S298">
        <f>IF($B298="","",IF($Y298=1,Settings!$C$6,Settings!$C$7)*1)</f>
        <v/>
      </c>
      <c r="T298" s="7">
        <f>IF($B298="","",S298*L298)</f>
        <v/>
      </c>
      <c r="U298" s="7">
        <f>IF($B298="","",L298-T298)</f>
        <v/>
      </c>
      <c r="V298" s="7">
        <f>IF($B298="","",U298-G298)</f>
        <v/>
      </c>
      <c r="W298">
        <f>IF($B298="","",IF(COUNTIF($B$2:$B298,$B298)=1,1,0))</f>
        <v/>
      </c>
      <c r="X298">
        <f>IF($W298=1,SUMPRODUCT(--($Z$2:$Z$501&lt;$Z298))+1,"")</f>
        <v/>
      </c>
      <c r="Y298">
        <f>IF($B298="","",IF(OR($R298=TRUE(),$R298="TRUE"),1,0))</f>
        <v/>
      </c>
      <c r="Z298">
        <f>IF($W298=1,IFERROR(IF(VALUE($B298)&lt;100000000,VALUE($B298),1000000000),IFERROR(IF(VALUE(MID($B298,2,20))&lt;100000000,VALUE(MID($B298,2,20)),1000000000),1000000000))+ROW()/100000,"")</f>
        <v/>
      </c>
    </row>
    <row r="299">
      <c r="A299">
        <f>IF($B299="","",IFERROR(IF(INDEX('Per Invoice'!$A$2:$A$201,MATCH($B299,'Per Invoice'!$B$2:$B$201,0))=0,"",INDEX('Per Invoice'!$A$2:$A$201,MATCH($B299,'Per Invoice'!$B$2:$B$201,0))),""))</f>
        <v/>
      </c>
      <c r="G299" s="7">
        <f>IF($B299="","",F299*L299/100)</f>
        <v/>
      </c>
      <c r="J299" s="7" t="n"/>
      <c r="L299" s="7" t="n"/>
      <c r="M299" s="7" t="n"/>
      <c r="P299" s="11" t="n"/>
      <c r="S299">
        <f>IF($B299="","",IF($Y299=1,Settings!$C$6,Settings!$C$7)*1)</f>
        <v/>
      </c>
      <c r="T299" s="7">
        <f>IF($B299="","",S299*L299)</f>
        <v/>
      </c>
      <c r="U299" s="7">
        <f>IF($B299="","",L299-T299)</f>
        <v/>
      </c>
      <c r="V299" s="7">
        <f>IF($B299="","",U299-G299)</f>
        <v/>
      </c>
      <c r="W299">
        <f>IF($B299="","",IF(COUNTIF($B$2:$B299,$B299)=1,1,0))</f>
        <v/>
      </c>
      <c r="X299">
        <f>IF($W299=1,SUMPRODUCT(--($Z$2:$Z$501&lt;$Z299))+1,"")</f>
        <v/>
      </c>
      <c r="Y299">
        <f>IF($B299="","",IF(OR($R299=TRUE(),$R299="TRUE"),1,0))</f>
        <v/>
      </c>
      <c r="Z299">
        <f>IF($W299=1,IFERROR(IF(VALUE($B299)&lt;100000000,VALUE($B299),1000000000),IFERROR(IF(VALUE(MID($B299,2,20))&lt;100000000,VALUE(MID($B299,2,20)),1000000000),1000000000))+ROW()/100000,"")</f>
        <v/>
      </c>
    </row>
    <row r="300">
      <c r="A300">
        <f>IF($B300="","",IFERROR(IF(INDEX('Per Invoice'!$A$2:$A$201,MATCH($B300,'Per Invoice'!$B$2:$B$201,0))=0,"",INDEX('Per Invoice'!$A$2:$A$201,MATCH($B300,'Per Invoice'!$B$2:$B$201,0))),""))</f>
        <v/>
      </c>
      <c r="G300" s="7">
        <f>IF($B300="","",F300*L300/100)</f>
        <v/>
      </c>
      <c r="J300" s="7" t="n"/>
      <c r="L300" s="7" t="n"/>
      <c r="M300" s="7" t="n"/>
      <c r="P300" s="11" t="n"/>
      <c r="S300">
        <f>IF($B300="","",IF($Y300=1,Settings!$C$6,Settings!$C$7)*1)</f>
        <v/>
      </c>
      <c r="T300" s="7">
        <f>IF($B300="","",S300*L300)</f>
        <v/>
      </c>
      <c r="U300" s="7">
        <f>IF($B300="","",L300-T300)</f>
        <v/>
      </c>
      <c r="V300" s="7">
        <f>IF($B300="","",U300-G300)</f>
        <v/>
      </c>
      <c r="W300">
        <f>IF($B300="","",IF(COUNTIF($B$2:$B300,$B300)=1,1,0))</f>
        <v/>
      </c>
      <c r="X300">
        <f>IF($W300=1,SUMPRODUCT(--($Z$2:$Z$501&lt;$Z300))+1,"")</f>
        <v/>
      </c>
      <c r="Y300">
        <f>IF($B300="","",IF(OR($R300=TRUE(),$R300="TRUE"),1,0))</f>
        <v/>
      </c>
      <c r="Z300">
        <f>IF($W300=1,IFERROR(IF(VALUE($B300)&lt;100000000,VALUE($B300),1000000000),IFERROR(IF(VALUE(MID($B300,2,20))&lt;100000000,VALUE(MID($B300,2,20)),1000000000),1000000000))+ROW()/100000,"")</f>
        <v/>
      </c>
    </row>
    <row r="301">
      <c r="A301">
        <f>IF($B301="","",IFERROR(IF(INDEX('Per Invoice'!$A$2:$A$201,MATCH($B301,'Per Invoice'!$B$2:$B$201,0))=0,"",INDEX('Per Invoice'!$A$2:$A$201,MATCH($B301,'Per Invoice'!$B$2:$B$201,0))),""))</f>
        <v/>
      </c>
      <c r="G301" s="7">
        <f>IF($B301="","",F301*L301/100)</f>
        <v/>
      </c>
      <c r="J301" s="7" t="n"/>
      <c r="L301" s="7" t="n"/>
      <c r="M301" s="7" t="n"/>
      <c r="P301" s="11" t="n"/>
      <c r="S301">
        <f>IF($B301="","",IF($Y301=1,Settings!$C$6,Settings!$C$7)*1)</f>
        <v/>
      </c>
      <c r="T301" s="7">
        <f>IF($B301="","",S301*L301)</f>
        <v/>
      </c>
      <c r="U301" s="7">
        <f>IF($B301="","",L301-T301)</f>
        <v/>
      </c>
      <c r="V301" s="7">
        <f>IF($B301="","",U301-G301)</f>
        <v/>
      </c>
      <c r="W301">
        <f>IF($B301="","",IF(COUNTIF($B$2:$B301,$B301)=1,1,0))</f>
        <v/>
      </c>
      <c r="X301">
        <f>IF($W301=1,SUMPRODUCT(--($Z$2:$Z$501&lt;$Z301))+1,"")</f>
        <v/>
      </c>
      <c r="Y301">
        <f>IF($B301="","",IF(OR($R301=TRUE(),$R301="TRUE"),1,0))</f>
        <v/>
      </c>
      <c r="Z301">
        <f>IF($W301=1,IFERROR(IF(VALUE($B301)&lt;100000000,VALUE($B301),1000000000),IFERROR(IF(VALUE(MID($B301,2,20))&lt;100000000,VALUE(MID($B301,2,20)),1000000000),1000000000))+ROW()/100000,"")</f>
        <v/>
      </c>
    </row>
    <row r="302">
      <c r="A302">
        <f>IF($B302="","",IFERROR(IF(INDEX('Per Invoice'!$A$2:$A$201,MATCH($B302,'Per Invoice'!$B$2:$B$201,0))=0,"",INDEX('Per Invoice'!$A$2:$A$201,MATCH($B302,'Per Invoice'!$B$2:$B$201,0))),""))</f>
        <v/>
      </c>
      <c r="G302" s="7">
        <f>IF($B302="","",F302*L302/100)</f>
        <v/>
      </c>
      <c r="J302" s="7" t="n"/>
      <c r="L302" s="7" t="n"/>
      <c r="M302" s="7" t="n"/>
      <c r="P302" s="11" t="n"/>
      <c r="S302">
        <f>IF($B302="","",IF($Y302=1,Settings!$C$6,Settings!$C$7)*1)</f>
        <v/>
      </c>
      <c r="T302" s="7">
        <f>IF($B302="","",S302*L302)</f>
        <v/>
      </c>
      <c r="U302" s="7">
        <f>IF($B302="","",L302-T302)</f>
        <v/>
      </c>
      <c r="V302" s="7">
        <f>IF($B302="","",U302-G302)</f>
        <v/>
      </c>
      <c r="W302">
        <f>IF($B302="","",IF(COUNTIF($B$2:$B302,$B302)=1,1,0))</f>
        <v/>
      </c>
      <c r="X302">
        <f>IF($W302=1,SUMPRODUCT(--($Z$2:$Z$501&lt;$Z302))+1,"")</f>
        <v/>
      </c>
      <c r="Y302">
        <f>IF($B302="","",IF(OR($R302=TRUE(),$R302="TRUE"),1,0))</f>
        <v/>
      </c>
      <c r="Z302">
        <f>IF($W302=1,IFERROR(IF(VALUE($B302)&lt;100000000,VALUE($B302),1000000000),IFERROR(IF(VALUE(MID($B302,2,20))&lt;100000000,VALUE(MID($B302,2,20)),1000000000),1000000000))+ROW()/100000,"")</f>
        <v/>
      </c>
    </row>
    <row r="303">
      <c r="A303">
        <f>IF($B303="","",IFERROR(IF(INDEX('Per Invoice'!$A$2:$A$201,MATCH($B303,'Per Invoice'!$B$2:$B$201,0))=0,"",INDEX('Per Invoice'!$A$2:$A$201,MATCH($B303,'Per Invoice'!$B$2:$B$201,0))),""))</f>
        <v/>
      </c>
      <c r="G303" s="7">
        <f>IF($B303="","",F303*L303/100)</f>
        <v/>
      </c>
      <c r="J303" s="7" t="n"/>
      <c r="L303" s="7" t="n"/>
      <c r="M303" s="7" t="n"/>
      <c r="P303" s="11" t="n"/>
      <c r="S303">
        <f>IF($B303="","",IF($Y303=1,Settings!$C$6,Settings!$C$7)*1)</f>
        <v/>
      </c>
      <c r="T303" s="7">
        <f>IF($B303="","",S303*L303)</f>
        <v/>
      </c>
      <c r="U303" s="7">
        <f>IF($B303="","",L303-T303)</f>
        <v/>
      </c>
      <c r="V303" s="7">
        <f>IF($B303="","",U303-G303)</f>
        <v/>
      </c>
      <c r="W303">
        <f>IF($B303="","",IF(COUNTIF($B$2:$B303,$B303)=1,1,0))</f>
        <v/>
      </c>
      <c r="X303">
        <f>IF($W303=1,SUMPRODUCT(--($Z$2:$Z$501&lt;$Z303))+1,"")</f>
        <v/>
      </c>
      <c r="Y303">
        <f>IF($B303="","",IF(OR($R303=TRUE(),$R303="TRUE"),1,0))</f>
        <v/>
      </c>
      <c r="Z303">
        <f>IF($W303=1,IFERROR(IF(VALUE($B303)&lt;100000000,VALUE($B303),1000000000),IFERROR(IF(VALUE(MID($B303,2,20))&lt;100000000,VALUE(MID($B303,2,20)),1000000000),1000000000))+ROW()/100000,"")</f>
        <v/>
      </c>
    </row>
    <row r="304">
      <c r="A304">
        <f>IF($B304="","",IFERROR(IF(INDEX('Per Invoice'!$A$2:$A$201,MATCH($B304,'Per Invoice'!$B$2:$B$201,0))=0,"",INDEX('Per Invoice'!$A$2:$A$201,MATCH($B304,'Per Invoice'!$B$2:$B$201,0))),""))</f>
        <v/>
      </c>
      <c r="G304" s="7">
        <f>IF($B304="","",F304*L304/100)</f>
        <v/>
      </c>
      <c r="J304" s="7" t="n"/>
      <c r="L304" s="7" t="n"/>
      <c r="M304" s="7" t="n"/>
      <c r="P304" s="11" t="n"/>
      <c r="S304">
        <f>IF($B304="","",IF($Y304=1,Settings!$C$6,Settings!$C$7)*1)</f>
        <v/>
      </c>
      <c r="T304" s="7">
        <f>IF($B304="","",S304*L304)</f>
        <v/>
      </c>
      <c r="U304" s="7">
        <f>IF($B304="","",L304-T304)</f>
        <v/>
      </c>
      <c r="V304" s="7">
        <f>IF($B304="","",U304-G304)</f>
        <v/>
      </c>
      <c r="W304">
        <f>IF($B304="","",IF(COUNTIF($B$2:$B304,$B304)=1,1,0))</f>
        <v/>
      </c>
      <c r="X304">
        <f>IF($W304=1,SUMPRODUCT(--($Z$2:$Z$501&lt;$Z304))+1,"")</f>
        <v/>
      </c>
      <c r="Y304">
        <f>IF($B304="","",IF(OR($R304=TRUE(),$R304="TRUE"),1,0))</f>
        <v/>
      </c>
      <c r="Z304">
        <f>IF($W304=1,IFERROR(IF(VALUE($B304)&lt;100000000,VALUE($B304),1000000000),IFERROR(IF(VALUE(MID($B304,2,20))&lt;100000000,VALUE(MID($B304,2,20)),1000000000),1000000000))+ROW()/100000,"")</f>
        <v/>
      </c>
    </row>
    <row r="305">
      <c r="A305">
        <f>IF($B305="","",IFERROR(IF(INDEX('Per Invoice'!$A$2:$A$201,MATCH($B305,'Per Invoice'!$B$2:$B$201,0))=0,"",INDEX('Per Invoice'!$A$2:$A$201,MATCH($B305,'Per Invoice'!$B$2:$B$201,0))),""))</f>
        <v/>
      </c>
      <c r="G305" s="7">
        <f>IF($B305="","",F305*L305/100)</f>
        <v/>
      </c>
      <c r="J305" s="7" t="n"/>
      <c r="L305" s="7" t="n"/>
      <c r="M305" s="7" t="n"/>
      <c r="P305" s="11" t="n"/>
      <c r="S305">
        <f>IF($B305="","",IF($Y305=1,Settings!$C$6,Settings!$C$7)*1)</f>
        <v/>
      </c>
      <c r="T305" s="7">
        <f>IF($B305="","",S305*L305)</f>
        <v/>
      </c>
      <c r="U305" s="7">
        <f>IF($B305="","",L305-T305)</f>
        <v/>
      </c>
      <c r="V305" s="7">
        <f>IF($B305="","",U305-G305)</f>
        <v/>
      </c>
      <c r="W305">
        <f>IF($B305="","",IF(COUNTIF($B$2:$B305,$B305)=1,1,0))</f>
        <v/>
      </c>
      <c r="X305">
        <f>IF($W305=1,SUMPRODUCT(--($Z$2:$Z$501&lt;$Z305))+1,"")</f>
        <v/>
      </c>
      <c r="Y305">
        <f>IF($B305="","",IF(OR($R305=TRUE(),$R305="TRUE"),1,0))</f>
        <v/>
      </c>
      <c r="Z305">
        <f>IF($W305=1,IFERROR(IF(VALUE($B305)&lt;100000000,VALUE($B305),1000000000),IFERROR(IF(VALUE(MID($B305,2,20))&lt;100000000,VALUE(MID($B305,2,20)),1000000000),1000000000))+ROW()/100000,"")</f>
        <v/>
      </c>
    </row>
    <row r="306">
      <c r="A306">
        <f>IF($B306="","",IFERROR(IF(INDEX('Per Invoice'!$A$2:$A$201,MATCH($B306,'Per Invoice'!$B$2:$B$201,0))=0,"",INDEX('Per Invoice'!$A$2:$A$201,MATCH($B306,'Per Invoice'!$B$2:$B$201,0))),""))</f>
        <v/>
      </c>
      <c r="G306" s="7">
        <f>IF($B306="","",F306*L306/100)</f>
        <v/>
      </c>
      <c r="J306" s="7" t="n"/>
      <c r="L306" s="7" t="n"/>
      <c r="M306" s="7" t="n"/>
      <c r="P306" s="11" t="n"/>
      <c r="S306">
        <f>IF($B306="","",IF($Y306=1,Settings!$C$6,Settings!$C$7)*1)</f>
        <v/>
      </c>
      <c r="T306" s="7">
        <f>IF($B306="","",S306*L306)</f>
        <v/>
      </c>
      <c r="U306" s="7">
        <f>IF($B306="","",L306-T306)</f>
        <v/>
      </c>
      <c r="V306" s="7">
        <f>IF($B306="","",U306-G306)</f>
        <v/>
      </c>
      <c r="W306">
        <f>IF($B306="","",IF(COUNTIF($B$2:$B306,$B306)=1,1,0))</f>
        <v/>
      </c>
      <c r="X306">
        <f>IF($W306=1,SUMPRODUCT(--($Z$2:$Z$501&lt;$Z306))+1,"")</f>
        <v/>
      </c>
      <c r="Y306">
        <f>IF($B306="","",IF(OR($R306=TRUE(),$R306="TRUE"),1,0))</f>
        <v/>
      </c>
      <c r="Z306">
        <f>IF($W306=1,IFERROR(IF(VALUE($B306)&lt;100000000,VALUE($B306),1000000000),IFERROR(IF(VALUE(MID($B306,2,20))&lt;100000000,VALUE(MID($B306,2,20)),1000000000),1000000000))+ROW()/100000,"")</f>
        <v/>
      </c>
    </row>
    <row r="307">
      <c r="A307">
        <f>IF($B307="","",IFERROR(IF(INDEX('Per Invoice'!$A$2:$A$201,MATCH($B307,'Per Invoice'!$B$2:$B$201,0))=0,"",INDEX('Per Invoice'!$A$2:$A$201,MATCH($B307,'Per Invoice'!$B$2:$B$201,0))),""))</f>
        <v/>
      </c>
      <c r="G307" s="7">
        <f>IF($B307="","",F307*L307/100)</f>
        <v/>
      </c>
      <c r="J307" s="7" t="n"/>
      <c r="L307" s="7" t="n"/>
      <c r="M307" s="7" t="n"/>
      <c r="P307" s="11" t="n"/>
      <c r="S307">
        <f>IF($B307="","",IF($Y307=1,Settings!$C$6,Settings!$C$7)*1)</f>
        <v/>
      </c>
      <c r="T307" s="7">
        <f>IF($B307="","",S307*L307)</f>
        <v/>
      </c>
      <c r="U307" s="7">
        <f>IF($B307="","",L307-T307)</f>
        <v/>
      </c>
      <c r="V307" s="7">
        <f>IF($B307="","",U307-G307)</f>
        <v/>
      </c>
      <c r="W307">
        <f>IF($B307="","",IF(COUNTIF($B$2:$B307,$B307)=1,1,0))</f>
        <v/>
      </c>
      <c r="X307">
        <f>IF($W307=1,SUMPRODUCT(--($Z$2:$Z$501&lt;$Z307))+1,"")</f>
        <v/>
      </c>
      <c r="Y307">
        <f>IF($B307="","",IF(OR($R307=TRUE(),$R307="TRUE"),1,0))</f>
        <v/>
      </c>
      <c r="Z307">
        <f>IF($W307=1,IFERROR(IF(VALUE($B307)&lt;100000000,VALUE($B307),1000000000),IFERROR(IF(VALUE(MID($B307,2,20))&lt;100000000,VALUE(MID($B307,2,20)),1000000000),1000000000))+ROW()/100000,"")</f>
        <v/>
      </c>
    </row>
    <row r="308">
      <c r="A308">
        <f>IF($B308="","",IFERROR(IF(INDEX('Per Invoice'!$A$2:$A$201,MATCH($B308,'Per Invoice'!$B$2:$B$201,0))=0,"",INDEX('Per Invoice'!$A$2:$A$201,MATCH($B308,'Per Invoice'!$B$2:$B$201,0))),""))</f>
        <v/>
      </c>
      <c r="G308" s="7">
        <f>IF($B308="","",F308*L308/100)</f>
        <v/>
      </c>
      <c r="J308" s="7" t="n"/>
      <c r="L308" s="7" t="n"/>
      <c r="M308" s="7" t="n"/>
      <c r="P308" s="11" t="n"/>
      <c r="S308">
        <f>IF($B308="","",IF($Y308=1,Settings!$C$6,Settings!$C$7)*1)</f>
        <v/>
      </c>
      <c r="T308" s="7">
        <f>IF($B308="","",S308*L308)</f>
        <v/>
      </c>
      <c r="U308" s="7">
        <f>IF($B308="","",L308-T308)</f>
        <v/>
      </c>
      <c r="V308" s="7">
        <f>IF($B308="","",U308-G308)</f>
        <v/>
      </c>
      <c r="W308">
        <f>IF($B308="","",IF(COUNTIF($B$2:$B308,$B308)=1,1,0))</f>
        <v/>
      </c>
      <c r="X308">
        <f>IF($W308=1,SUMPRODUCT(--($Z$2:$Z$501&lt;$Z308))+1,"")</f>
        <v/>
      </c>
      <c r="Y308">
        <f>IF($B308="","",IF(OR($R308=TRUE(),$R308="TRUE"),1,0))</f>
        <v/>
      </c>
      <c r="Z308">
        <f>IF($W308=1,IFERROR(IF(VALUE($B308)&lt;100000000,VALUE($B308),1000000000),IFERROR(IF(VALUE(MID($B308,2,20))&lt;100000000,VALUE(MID($B308,2,20)),1000000000),1000000000))+ROW()/100000,"")</f>
        <v/>
      </c>
    </row>
    <row r="309">
      <c r="A309">
        <f>IF($B309="","",IFERROR(IF(INDEX('Per Invoice'!$A$2:$A$201,MATCH($B309,'Per Invoice'!$B$2:$B$201,0))=0,"",INDEX('Per Invoice'!$A$2:$A$201,MATCH($B309,'Per Invoice'!$B$2:$B$201,0))),""))</f>
        <v/>
      </c>
      <c r="G309" s="7">
        <f>IF($B309="","",F309*L309/100)</f>
        <v/>
      </c>
      <c r="J309" s="7" t="n"/>
      <c r="L309" s="7" t="n"/>
      <c r="M309" s="7" t="n"/>
      <c r="P309" s="11" t="n"/>
      <c r="S309">
        <f>IF($B309="","",IF($Y309=1,Settings!$C$6,Settings!$C$7)*1)</f>
        <v/>
      </c>
      <c r="T309" s="7">
        <f>IF($B309="","",S309*L309)</f>
        <v/>
      </c>
      <c r="U309" s="7">
        <f>IF($B309="","",L309-T309)</f>
        <v/>
      </c>
      <c r="V309" s="7">
        <f>IF($B309="","",U309-G309)</f>
        <v/>
      </c>
      <c r="W309">
        <f>IF($B309="","",IF(COUNTIF($B$2:$B309,$B309)=1,1,0))</f>
        <v/>
      </c>
      <c r="X309">
        <f>IF($W309=1,SUMPRODUCT(--($Z$2:$Z$501&lt;$Z309))+1,"")</f>
        <v/>
      </c>
      <c r="Y309">
        <f>IF($B309="","",IF(OR($R309=TRUE(),$R309="TRUE"),1,0))</f>
        <v/>
      </c>
      <c r="Z309">
        <f>IF($W309=1,IFERROR(IF(VALUE($B309)&lt;100000000,VALUE($B309),1000000000),IFERROR(IF(VALUE(MID($B309,2,20))&lt;100000000,VALUE(MID($B309,2,20)),1000000000),1000000000))+ROW()/100000,"")</f>
        <v/>
      </c>
    </row>
    <row r="310">
      <c r="A310">
        <f>IF($B310="","",IFERROR(IF(INDEX('Per Invoice'!$A$2:$A$201,MATCH($B310,'Per Invoice'!$B$2:$B$201,0))=0,"",INDEX('Per Invoice'!$A$2:$A$201,MATCH($B310,'Per Invoice'!$B$2:$B$201,0))),""))</f>
        <v/>
      </c>
      <c r="G310" s="7">
        <f>IF($B310="","",F310*L310/100)</f>
        <v/>
      </c>
      <c r="J310" s="7" t="n"/>
      <c r="L310" s="7" t="n"/>
      <c r="M310" s="7" t="n"/>
      <c r="P310" s="11" t="n"/>
      <c r="S310">
        <f>IF($B310="","",IF($Y310=1,Settings!$C$6,Settings!$C$7)*1)</f>
        <v/>
      </c>
      <c r="T310" s="7">
        <f>IF($B310="","",S310*L310)</f>
        <v/>
      </c>
      <c r="U310" s="7">
        <f>IF($B310="","",L310-T310)</f>
        <v/>
      </c>
      <c r="V310" s="7">
        <f>IF($B310="","",U310-G310)</f>
        <v/>
      </c>
      <c r="W310">
        <f>IF($B310="","",IF(COUNTIF($B$2:$B310,$B310)=1,1,0))</f>
        <v/>
      </c>
      <c r="X310">
        <f>IF($W310=1,SUMPRODUCT(--($Z$2:$Z$501&lt;$Z310))+1,"")</f>
        <v/>
      </c>
      <c r="Y310">
        <f>IF($B310="","",IF(OR($R310=TRUE(),$R310="TRUE"),1,0))</f>
        <v/>
      </c>
      <c r="Z310">
        <f>IF($W310=1,IFERROR(IF(VALUE($B310)&lt;100000000,VALUE($B310),1000000000),IFERROR(IF(VALUE(MID($B310,2,20))&lt;100000000,VALUE(MID($B310,2,20)),1000000000),1000000000))+ROW()/100000,"")</f>
        <v/>
      </c>
    </row>
    <row r="311">
      <c r="A311">
        <f>IF($B311="","",IFERROR(IF(INDEX('Per Invoice'!$A$2:$A$201,MATCH($B311,'Per Invoice'!$B$2:$B$201,0))=0,"",INDEX('Per Invoice'!$A$2:$A$201,MATCH($B311,'Per Invoice'!$B$2:$B$201,0))),""))</f>
        <v/>
      </c>
      <c r="G311" s="7">
        <f>IF($B311="","",F311*L311/100)</f>
        <v/>
      </c>
      <c r="J311" s="7" t="n"/>
      <c r="L311" s="7" t="n"/>
      <c r="M311" s="7" t="n"/>
      <c r="P311" s="11" t="n"/>
      <c r="S311">
        <f>IF($B311="","",IF($Y311=1,Settings!$C$6,Settings!$C$7)*1)</f>
        <v/>
      </c>
      <c r="T311" s="7">
        <f>IF($B311="","",S311*L311)</f>
        <v/>
      </c>
      <c r="U311" s="7">
        <f>IF($B311="","",L311-T311)</f>
        <v/>
      </c>
      <c r="V311" s="7">
        <f>IF($B311="","",U311-G311)</f>
        <v/>
      </c>
      <c r="W311">
        <f>IF($B311="","",IF(COUNTIF($B$2:$B311,$B311)=1,1,0))</f>
        <v/>
      </c>
      <c r="X311">
        <f>IF($W311=1,SUMPRODUCT(--($Z$2:$Z$501&lt;$Z311))+1,"")</f>
        <v/>
      </c>
      <c r="Y311">
        <f>IF($B311="","",IF(OR($R311=TRUE(),$R311="TRUE"),1,0))</f>
        <v/>
      </c>
      <c r="Z311">
        <f>IF($W311=1,IFERROR(IF(VALUE($B311)&lt;100000000,VALUE($B311),1000000000),IFERROR(IF(VALUE(MID($B311,2,20))&lt;100000000,VALUE(MID($B311,2,20)),1000000000),1000000000))+ROW()/100000,"")</f>
        <v/>
      </c>
    </row>
    <row r="312">
      <c r="A312">
        <f>IF($B312="","",IFERROR(IF(INDEX('Per Invoice'!$A$2:$A$201,MATCH($B312,'Per Invoice'!$B$2:$B$201,0))=0,"",INDEX('Per Invoice'!$A$2:$A$201,MATCH($B312,'Per Invoice'!$B$2:$B$201,0))),""))</f>
        <v/>
      </c>
      <c r="G312" s="7">
        <f>IF($B312="","",F312*L312/100)</f>
        <v/>
      </c>
      <c r="J312" s="7" t="n"/>
      <c r="L312" s="7" t="n"/>
      <c r="M312" s="7" t="n"/>
      <c r="P312" s="11" t="n"/>
      <c r="S312">
        <f>IF($B312="","",IF($Y312=1,Settings!$C$6,Settings!$C$7)*1)</f>
        <v/>
      </c>
      <c r="T312" s="7">
        <f>IF($B312="","",S312*L312)</f>
        <v/>
      </c>
      <c r="U312" s="7">
        <f>IF($B312="","",L312-T312)</f>
        <v/>
      </c>
      <c r="V312" s="7">
        <f>IF($B312="","",U312-G312)</f>
        <v/>
      </c>
      <c r="W312">
        <f>IF($B312="","",IF(COUNTIF($B$2:$B312,$B312)=1,1,0))</f>
        <v/>
      </c>
      <c r="X312">
        <f>IF($W312=1,SUMPRODUCT(--($Z$2:$Z$501&lt;$Z312))+1,"")</f>
        <v/>
      </c>
      <c r="Y312">
        <f>IF($B312="","",IF(OR($R312=TRUE(),$R312="TRUE"),1,0))</f>
        <v/>
      </c>
      <c r="Z312">
        <f>IF($W312=1,IFERROR(IF(VALUE($B312)&lt;100000000,VALUE($B312),1000000000),IFERROR(IF(VALUE(MID($B312,2,20))&lt;100000000,VALUE(MID($B312,2,20)),1000000000),1000000000))+ROW()/100000,"")</f>
        <v/>
      </c>
    </row>
    <row r="313">
      <c r="A313">
        <f>IF($B313="","",IFERROR(IF(INDEX('Per Invoice'!$A$2:$A$201,MATCH($B313,'Per Invoice'!$B$2:$B$201,0))=0,"",INDEX('Per Invoice'!$A$2:$A$201,MATCH($B313,'Per Invoice'!$B$2:$B$201,0))),""))</f>
        <v/>
      </c>
      <c r="G313" s="7">
        <f>IF($B313="","",F313*L313/100)</f>
        <v/>
      </c>
      <c r="J313" s="7" t="n"/>
      <c r="L313" s="7" t="n"/>
      <c r="M313" s="7" t="n"/>
      <c r="P313" s="11" t="n"/>
      <c r="S313">
        <f>IF($B313="","",IF($Y313=1,Settings!$C$6,Settings!$C$7)*1)</f>
        <v/>
      </c>
      <c r="T313" s="7">
        <f>IF($B313="","",S313*L313)</f>
        <v/>
      </c>
      <c r="U313" s="7">
        <f>IF($B313="","",L313-T313)</f>
        <v/>
      </c>
      <c r="V313" s="7">
        <f>IF($B313="","",U313-G313)</f>
        <v/>
      </c>
      <c r="W313">
        <f>IF($B313="","",IF(COUNTIF($B$2:$B313,$B313)=1,1,0))</f>
        <v/>
      </c>
      <c r="X313">
        <f>IF($W313=1,SUMPRODUCT(--($Z$2:$Z$501&lt;$Z313))+1,"")</f>
        <v/>
      </c>
      <c r="Y313">
        <f>IF($B313="","",IF(OR($R313=TRUE(),$R313="TRUE"),1,0))</f>
        <v/>
      </c>
      <c r="Z313">
        <f>IF($W313=1,IFERROR(IF(VALUE($B313)&lt;100000000,VALUE($B313),1000000000),IFERROR(IF(VALUE(MID($B313,2,20))&lt;100000000,VALUE(MID($B313,2,20)),1000000000),1000000000))+ROW()/100000,"")</f>
        <v/>
      </c>
    </row>
    <row r="314">
      <c r="A314">
        <f>IF($B314="","",IFERROR(IF(INDEX('Per Invoice'!$A$2:$A$201,MATCH($B314,'Per Invoice'!$B$2:$B$201,0))=0,"",INDEX('Per Invoice'!$A$2:$A$201,MATCH($B314,'Per Invoice'!$B$2:$B$201,0))),""))</f>
        <v/>
      </c>
      <c r="G314" s="7">
        <f>IF($B314="","",F314*L314/100)</f>
        <v/>
      </c>
      <c r="J314" s="7" t="n"/>
      <c r="L314" s="7" t="n"/>
      <c r="M314" s="7" t="n"/>
      <c r="P314" s="11" t="n"/>
      <c r="S314">
        <f>IF($B314="","",IF($Y314=1,Settings!$C$6,Settings!$C$7)*1)</f>
        <v/>
      </c>
      <c r="T314" s="7">
        <f>IF($B314="","",S314*L314)</f>
        <v/>
      </c>
      <c r="U314" s="7">
        <f>IF($B314="","",L314-T314)</f>
        <v/>
      </c>
      <c r="V314" s="7">
        <f>IF($B314="","",U314-G314)</f>
        <v/>
      </c>
      <c r="W314">
        <f>IF($B314="","",IF(COUNTIF($B$2:$B314,$B314)=1,1,0))</f>
        <v/>
      </c>
      <c r="X314">
        <f>IF($W314=1,SUMPRODUCT(--($Z$2:$Z$501&lt;$Z314))+1,"")</f>
        <v/>
      </c>
      <c r="Y314">
        <f>IF($B314="","",IF(OR($R314=TRUE(),$R314="TRUE"),1,0))</f>
        <v/>
      </c>
      <c r="Z314">
        <f>IF($W314=1,IFERROR(IF(VALUE($B314)&lt;100000000,VALUE($B314),1000000000),IFERROR(IF(VALUE(MID($B314,2,20))&lt;100000000,VALUE(MID($B314,2,20)),1000000000),1000000000))+ROW()/100000,"")</f>
        <v/>
      </c>
    </row>
    <row r="315">
      <c r="A315">
        <f>IF($B315="","",IFERROR(IF(INDEX('Per Invoice'!$A$2:$A$201,MATCH($B315,'Per Invoice'!$B$2:$B$201,0))=0,"",INDEX('Per Invoice'!$A$2:$A$201,MATCH($B315,'Per Invoice'!$B$2:$B$201,0))),""))</f>
        <v/>
      </c>
      <c r="G315" s="7">
        <f>IF($B315="","",F315*L315/100)</f>
        <v/>
      </c>
      <c r="J315" s="7" t="n"/>
      <c r="L315" s="7" t="n"/>
      <c r="M315" s="7" t="n"/>
      <c r="P315" s="11" t="n"/>
      <c r="S315">
        <f>IF($B315="","",IF($Y315=1,Settings!$C$6,Settings!$C$7)*1)</f>
        <v/>
      </c>
      <c r="T315" s="7">
        <f>IF($B315="","",S315*L315)</f>
        <v/>
      </c>
      <c r="U315" s="7">
        <f>IF($B315="","",L315-T315)</f>
        <v/>
      </c>
      <c r="V315" s="7">
        <f>IF($B315="","",U315-G315)</f>
        <v/>
      </c>
      <c r="W315">
        <f>IF($B315="","",IF(COUNTIF($B$2:$B315,$B315)=1,1,0))</f>
        <v/>
      </c>
      <c r="X315">
        <f>IF($W315=1,SUMPRODUCT(--($Z$2:$Z$501&lt;$Z315))+1,"")</f>
        <v/>
      </c>
      <c r="Y315">
        <f>IF($B315="","",IF(OR($R315=TRUE(),$R315="TRUE"),1,0))</f>
        <v/>
      </c>
      <c r="Z315">
        <f>IF($W315=1,IFERROR(IF(VALUE($B315)&lt;100000000,VALUE($B315),1000000000),IFERROR(IF(VALUE(MID($B315,2,20))&lt;100000000,VALUE(MID($B315,2,20)),1000000000),1000000000))+ROW()/100000,"")</f>
        <v/>
      </c>
    </row>
    <row r="316">
      <c r="A316">
        <f>IF($B316="","",IFERROR(IF(INDEX('Per Invoice'!$A$2:$A$201,MATCH($B316,'Per Invoice'!$B$2:$B$201,0))=0,"",INDEX('Per Invoice'!$A$2:$A$201,MATCH($B316,'Per Invoice'!$B$2:$B$201,0))),""))</f>
        <v/>
      </c>
      <c r="G316" s="7">
        <f>IF($B316="","",F316*L316/100)</f>
        <v/>
      </c>
      <c r="J316" s="7" t="n"/>
      <c r="L316" s="7" t="n"/>
      <c r="M316" s="7" t="n"/>
      <c r="P316" s="11" t="n"/>
      <c r="S316">
        <f>IF($B316="","",IF($Y316=1,Settings!$C$6,Settings!$C$7)*1)</f>
        <v/>
      </c>
      <c r="T316" s="7">
        <f>IF($B316="","",S316*L316)</f>
        <v/>
      </c>
      <c r="U316" s="7">
        <f>IF($B316="","",L316-T316)</f>
        <v/>
      </c>
      <c r="V316" s="7">
        <f>IF($B316="","",U316-G316)</f>
        <v/>
      </c>
      <c r="W316">
        <f>IF($B316="","",IF(COUNTIF($B$2:$B316,$B316)=1,1,0))</f>
        <v/>
      </c>
      <c r="X316">
        <f>IF($W316=1,SUMPRODUCT(--($Z$2:$Z$501&lt;$Z316))+1,"")</f>
        <v/>
      </c>
      <c r="Y316">
        <f>IF($B316="","",IF(OR($R316=TRUE(),$R316="TRUE"),1,0))</f>
        <v/>
      </c>
      <c r="Z316">
        <f>IF($W316=1,IFERROR(IF(VALUE($B316)&lt;100000000,VALUE($B316),1000000000),IFERROR(IF(VALUE(MID($B316,2,20))&lt;100000000,VALUE(MID($B316,2,20)),1000000000),1000000000))+ROW()/100000,"")</f>
        <v/>
      </c>
    </row>
    <row r="317">
      <c r="A317">
        <f>IF($B317="","",IFERROR(IF(INDEX('Per Invoice'!$A$2:$A$201,MATCH($B317,'Per Invoice'!$B$2:$B$201,0))=0,"",INDEX('Per Invoice'!$A$2:$A$201,MATCH($B317,'Per Invoice'!$B$2:$B$201,0))),""))</f>
        <v/>
      </c>
      <c r="G317" s="7">
        <f>IF($B317="","",F317*L317/100)</f>
        <v/>
      </c>
      <c r="J317" s="7" t="n"/>
      <c r="L317" s="7" t="n"/>
      <c r="M317" s="7" t="n"/>
      <c r="P317" s="11" t="n"/>
      <c r="S317">
        <f>IF($B317="","",IF($Y317=1,Settings!$C$6,Settings!$C$7)*1)</f>
        <v/>
      </c>
      <c r="T317" s="7">
        <f>IF($B317="","",S317*L317)</f>
        <v/>
      </c>
      <c r="U317" s="7">
        <f>IF($B317="","",L317-T317)</f>
        <v/>
      </c>
      <c r="V317" s="7">
        <f>IF($B317="","",U317-G317)</f>
        <v/>
      </c>
      <c r="W317">
        <f>IF($B317="","",IF(COUNTIF($B$2:$B317,$B317)=1,1,0))</f>
        <v/>
      </c>
      <c r="X317">
        <f>IF($W317=1,SUMPRODUCT(--($Z$2:$Z$501&lt;$Z317))+1,"")</f>
        <v/>
      </c>
      <c r="Y317">
        <f>IF($B317="","",IF(OR($R317=TRUE(),$R317="TRUE"),1,0))</f>
        <v/>
      </c>
      <c r="Z317">
        <f>IF($W317=1,IFERROR(IF(VALUE($B317)&lt;100000000,VALUE($B317),1000000000),IFERROR(IF(VALUE(MID($B317,2,20))&lt;100000000,VALUE(MID($B317,2,20)),1000000000),1000000000))+ROW()/100000,"")</f>
        <v/>
      </c>
    </row>
    <row r="318">
      <c r="A318">
        <f>IF($B318="","",IFERROR(IF(INDEX('Per Invoice'!$A$2:$A$201,MATCH($B318,'Per Invoice'!$B$2:$B$201,0))=0,"",INDEX('Per Invoice'!$A$2:$A$201,MATCH($B318,'Per Invoice'!$B$2:$B$201,0))),""))</f>
        <v/>
      </c>
      <c r="G318" s="7">
        <f>IF($B318="","",F318*L318/100)</f>
        <v/>
      </c>
      <c r="J318" s="7" t="n"/>
      <c r="L318" s="7" t="n"/>
      <c r="M318" s="7" t="n"/>
      <c r="P318" s="11" t="n"/>
      <c r="S318">
        <f>IF($B318="","",IF($Y318=1,Settings!$C$6,Settings!$C$7)*1)</f>
        <v/>
      </c>
      <c r="T318" s="7">
        <f>IF($B318="","",S318*L318)</f>
        <v/>
      </c>
      <c r="U318" s="7">
        <f>IF($B318="","",L318-T318)</f>
        <v/>
      </c>
      <c r="V318" s="7">
        <f>IF($B318="","",U318-G318)</f>
        <v/>
      </c>
      <c r="W318">
        <f>IF($B318="","",IF(COUNTIF($B$2:$B318,$B318)=1,1,0))</f>
        <v/>
      </c>
      <c r="X318">
        <f>IF($W318=1,SUMPRODUCT(--($Z$2:$Z$501&lt;$Z318))+1,"")</f>
        <v/>
      </c>
      <c r="Y318">
        <f>IF($B318="","",IF(OR($R318=TRUE(),$R318="TRUE"),1,0))</f>
        <v/>
      </c>
      <c r="Z318">
        <f>IF($W318=1,IFERROR(IF(VALUE($B318)&lt;100000000,VALUE($B318),1000000000),IFERROR(IF(VALUE(MID($B318,2,20))&lt;100000000,VALUE(MID($B318,2,20)),1000000000),1000000000))+ROW()/100000,"")</f>
        <v/>
      </c>
    </row>
    <row r="319">
      <c r="A319">
        <f>IF($B319="","",IFERROR(IF(INDEX('Per Invoice'!$A$2:$A$201,MATCH($B319,'Per Invoice'!$B$2:$B$201,0))=0,"",INDEX('Per Invoice'!$A$2:$A$201,MATCH($B319,'Per Invoice'!$B$2:$B$201,0))),""))</f>
        <v/>
      </c>
      <c r="G319" s="7">
        <f>IF($B319="","",F319*L319/100)</f>
        <v/>
      </c>
      <c r="J319" s="7" t="n"/>
      <c r="L319" s="7" t="n"/>
      <c r="M319" s="7" t="n"/>
      <c r="P319" s="11" t="n"/>
      <c r="S319">
        <f>IF($B319="","",IF($Y319=1,Settings!$C$6,Settings!$C$7)*1)</f>
        <v/>
      </c>
      <c r="T319" s="7">
        <f>IF($B319="","",S319*L319)</f>
        <v/>
      </c>
      <c r="U319" s="7">
        <f>IF($B319="","",L319-T319)</f>
        <v/>
      </c>
      <c r="V319" s="7">
        <f>IF($B319="","",U319-G319)</f>
        <v/>
      </c>
      <c r="W319">
        <f>IF($B319="","",IF(COUNTIF($B$2:$B319,$B319)=1,1,0))</f>
        <v/>
      </c>
      <c r="X319">
        <f>IF($W319=1,SUMPRODUCT(--($Z$2:$Z$501&lt;$Z319))+1,"")</f>
        <v/>
      </c>
      <c r="Y319">
        <f>IF($B319="","",IF(OR($R319=TRUE(),$R319="TRUE"),1,0))</f>
        <v/>
      </c>
      <c r="Z319">
        <f>IF($W319=1,IFERROR(IF(VALUE($B319)&lt;100000000,VALUE($B319),1000000000),IFERROR(IF(VALUE(MID($B319,2,20))&lt;100000000,VALUE(MID($B319,2,20)),1000000000),1000000000))+ROW()/100000,"")</f>
        <v/>
      </c>
    </row>
    <row r="320">
      <c r="A320">
        <f>IF($B320="","",IFERROR(IF(INDEX('Per Invoice'!$A$2:$A$201,MATCH($B320,'Per Invoice'!$B$2:$B$201,0))=0,"",INDEX('Per Invoice'!$A$2:$A$201,MATCH($B320,'Per Invoice'!$B$2:$B$201,0))),""))</f>
        <v/>
      </c>
      <c r="G320" s="7">
        <f>IF($B320="","",F320*L320/100)</f>
        <v/>
      </c>
      <c r="J320" s="7" t="n"/>
      <c r="L320" s="7" t="n"/>
      <c r="M320" s="7" t="n"/>
      <c r="P320" s="11" t="n"/>
      <c r="S320">
        <f>IF($B320="","",IF($Y320=1,Settings!$C$6,Settings!$C$7)*1)</f>
        <v/>
      </c>
      <c r="T320" s="7">
        <f>IF($B320="","",S320*L320)</f>
        <v/>
      </c>
      <c r="U320" s="7">
        <f>IF($B320="","",L320-T320)</f>
        <v/>
      </c>
      <c r="V320" s="7">
        <f>IF($B320="","",U320-G320)</f>
        <v/>
      </c>
      <c r="W320">
        <f>IF($B320="","",IF(COUNTIF($B$2:$B320,$B320)=1,1,0))</f>
        <v/>
      </c>
      <c r="X320">
        <f>IF($W320=1,SUMPRODUCT(--($Z$2:$Z$501&lt;$Z320))+1,"")</f>
        <v/>
      </c>
      <c r="Y320">
        <f>IF($B320="","",IF(OR($R320=TRUE(),$R320="TRUE"),1,0))</f>
        <v/>
      </c>
      <c r="Z320">
        <f>IF($W320=1,IFERROR(IF(VALUE($B320)&lt;100000000,VALUE($B320),1000000000),IFERROR(IF(VALUE(MID($B320,2,20))&lt;100000000,VALUE(MID($B320,2,20)),1000000000),1000000000))+ROW()/100000,"")</f>
        <v/>
      </c>
    </row>
    <row r="321">
      <c r="A321">
        <f>IF($B321="","",IFERROR(IF(INDEX('Per Invoice'!$A$2:$A$201,MATCH($B321,'Per Invoice'!$B$2:$B$201,0))=0,"",INDEX('Per Invoice'!$A$2:$A$201,MATCH($B321,'Per Invoice'!$B$2:$B$201,0))),""))</f>
        <v/>
      </c>
      <c r="G321" s="7">
        <f>IF($B321="","",F321*L321/100)</f>
        <v/>
      </c>
      <c r="J321" s="7" t="n"/>
      <c r="L321" s="7" t="n"/>
      <c r="M321" s="7" t="n"/>
      <c r="P321" s="11" t="n"/>
      <c r="S321">
        <f>IF($B321="","",IF($Y321=1,Settings!$C$6,Settings!$C$7)*1)</f>
        <v/>
      </c>
      <c r="T321" s="7">
        <f>IF($B321="","",S321*L321)</f>
        <v/>
      </c>
      <c r="U321" s="7">
        <f>IF($B321="","",L321-T321)</f>
        <v/>
      </c>
      <c r="V321" s="7">
        <f>IF($B321="","",U321-G321)</f>
        <v/>
      </c>
      <c r="W321">
        <f>IF($B321="","",IF(COUNTIF($B$2:$B321,$B321)=1,1,0))</f>
        <v/>
      </c>
      <c r="X321">
        <f>IF($W321=1,SUMPRODUCT(--($Z$2:$Z$501&lt;$Z321))+1,"")</f>
        <v/>
      </c>
      <c r="Y321">
        <f>IF($B321="","",IF(OR($R321=TRUE(),$R321="TRUE"),1,0))</f>
        <v/>
      </c>
      <c r="Z321">
        <f>IF($W321=1,IFERROR(IF(VALUE($B321)&lt;100000000,VALUE($B321),1000000000),IFERROR(IF(VALUE(MID($B321,2,20))&lt;100000000,VALUE(MID($B321,2,20)),1000000000),1000000000))+ROW()/100000,"")</f>
        <v/>
      </c>
    </row>
    <row r="322">
      <c r="A322">
        <f>IF($B322="","",IFERROR(IF(INDEX('Per Invoice'!$A$2:$A$201,MATCH($B322,'Per Invoice'!$B$2:$B$201,0))=0,"",INDEX('Per Invoice'!$A$2:$A$201,MATCH($B322,'Per Invoice'!$B$2:$B$201,0))),""))</f>
        <v/>
      </c>
      <c r="G322" s="7">
        <f>IF($B322="","",F322*L322/100)</f>
        <v/>
      </c>
      <c r="J322" s="7" t="n"/>
      <c r="L322" s="7" t="n"/>
      <c r="M322" s="7" t="n"/>
      <c r="P322" s="11" t="n"/>
      <c r="S322">
        <f>IF($B322="","",IF($Y322=1,Settings!$C$6,Settings!$C$7)*1)</f>
        <v/>
      </c>
      <c r="T322" s="7">
        <f>IF($B322="","",S322*L322)</f>
        <v/>
      </c>
      <c r="U322" s="7">
        <f>IF($B322="","",L322-T322)</f>
        <v/>
      </c>
      <c r="V322" s="7">
        <f>IF($B322="","",U322-G322)</f>
        <v/>
      </c>
      <c r="W322">
        <f>IF($B322="","",IF(COUNTIF($B$2:$B322,$B322)=1,1,0))</f>
        <v/>
      </c>
      <c r="X322">
        <f>IF($W322=1,SUMPRODUCT(--($Z$2:$Z$501&lt;$Z322))+1,"")</f>
        <v/>
      </c>
      <c r="Y322">
        <f>IF($B322="","",IF(OR($R322=TRUE(),$R322="TRUE"),1,0))</f>
        <v/>
      </c>
      <c r="Z322">
        <f>IF($W322=1,IFERROR(IF(VALUE($B322)&lt;100000000,VALUE($B322),1000000000),IFERROR(IF(VALUE(MID($B322,2,20))&lt;100000000,VALUE(MID($B322,2,20)),1000000000),1000000000))+ROW()/100000,"")</f>
        <v/>
      </c>
    </row>
    <row r="323">
      <c r="A323">
        <f>IF($B323="","",IFERROR(IF(INDEX('Per Invoice'!$A$2:$A$201,MATCH($B323,'Per Invoice'!$B$2:$B$201,0))=0,"",INDEX('Per Invoice'!$A$2:$A$201,MATCH($B323,'Per Invoice'!$B$2:$B$201,0))),""))</f>
        <v/>
      </c>
      <c r="G323" s="7">
        <f>IF($B323="","",F323*L323/100)</f>
        <v/>
      </c>
      <c r="J323" s="7" t="n"/>
      <c r="L323" s="7" t="n"/>
      <c r="M323" s="7" t="n"/>
      <c r="P323" s="11" t="n"/>
      <c r="S323">
        <f>IF($B323="","",IF($Y323=1,Settings!$C$6,Settings!$C$7)*1)</f>
        <v/>
      </c>
      <c r="T323" s="7">
        <f>IF($B323="","",S323*L323)</f>
        <v/>
      </c>
      <c r="U323" s="7">
        <f>IF($B323="","",L323-T323)</f>
        <v/>
      </c>
      <c r="V323" s="7">
        <f>IF($B323="","",U323-G323)</f>
        <v/>
      </c>
      <c r="W323">
        <f>IF($B323="","",IF(COUNTIF($B$2:$B323,$B323)=1,1,0))</f>
        <v/>
      </c>
      <c r="X323">
        <f>IF($W323=1,SUMPRODUCT(--($Z$2:$Z$501&lt;$Z323))+1,"")</f>
        <v/>
      </c>
      <c r="Y323">
        <f>IF($B323="","",IF(OR($R323=TRUE(),$R323="TRUE"),1,0))</f>
        <v/>
      </c>
      <c r="Z323">
        <f>IF($W323=1,IFERROR(IF(VALUE($B323)&lt;100000000,VALUE($B323),1000000000),IFERROR(IF(VALUE(MID($B323,2,20))&lt;100000000,VALUE(MID($B323,2,20)),1000000000),1000000000))+ROW()/100000,"")</f>
        <v/>
      </c>
    </row>
    <row r="324">
      <c r="A324">
        <f>IF($B324="","",IFERROR(IF(INDEX('Per Invoice'!$A$2:$A$201,MATCH($B324,'Per Invoice'!$B$2:$B$201,0))=0,"",INDEX('Per Invoice'!$A$2:$A$201,MATCH($B324,'Per Invoice'!$B$2:$B$201,0))),""))</f>
        <v/>
      </c>
      <c r="G324" s="7">
        <f>IF($B324="","",F324*L324/100)</f>
        <v/>
      </c>
      <c r="J324" s="7" t="n"/>
      <c r="L324" s="7" t="n"/>
      <c r="M324" s="7" t="n"/>
      <c r="P324" s="11" t="n"/>
      <c r="S324">
        <f>IF($B324="","",IF($Y324=1,Settings!$C$6,Settings!$C$7)*1)</f>
        <v/>
      </c>
      <c r="T324" s="7">
        <f>IF($B324="","",S324*L324)</f>
        <v/>
      </c>
      <c r="U324" s="7">
        <f>IF($B324="","",L324-T324)</f>
        <v/>
      </c>
      <c r="V324" s="7">
        <f>IF($B324="","",U324-G324)</f>
        <v/>
      </c>
      <c r="W324">
        <f>IF($B324="","",IF(COUNTIF($B$2:$B324,$B324)=1,1,0))</f>
        <v/>
      </c>
      <c r="X324">
        <f>IF($W324=1,SUMPRODUCT(--($Z$2:$Z$501&lt;$Z324))+1,"")</f>
        <v/>
      </c>
      <c r="Y324">
        <f>IF($B324="","",IF(OR($R324=TRUE(),$R324="TRUE"),1,0))</f>
        <v/>
      </c>
      <c r="Z324">
        <f>IF($W324=1,IFERROR(IF(VALUE($B324)&lt;100000000,VALUE($B324),1000000000),IFERROR(IF(VALUE(MID($B324,2,20))&lt;100000000,VALUE(MID($B324,2,20)),1000000000),1000000000))+ROW()/100000,"")</f>
        <v/>
      </c>
    </row>
    <row r="325">
      <c r="A325">
        <f>IF($B325="","",IFERROR(IF(INDEX('Per Invoice'!$A$2:$A$201,MATCH($B325,'Per Invoice'!$B$2:$B$201,0))=0,"",INDEX('Per Invoice'!$A$2:$A$201,MATCH($B325,'Per Invoice'!$B$2:$B$201,0))),""))</f>
        <v/>
      </c>
      <c r="G325" s="7">
        <f>IF($B325="","",F325*L325/100)</f>
        <v/>
      </c>
      <c r="J325" s="7" t="n"/>
      <c r="L325" s="7" t="n"/>
      <c r="M325" s="7" t="n"/>
      <c r="P325" s="11" t="n"/>
      <c r="S325">
        <f>IF($B325="","",IF($Y325=1,Settings!$C$6,Settings!$C$7)*1)</f>
        <v/>
      </c>
      <c r="T325" s="7">
        <f>IF($B325="","",S325*L325)</f>
        <v/>
      </c>
      <c r="U325" s="7">
        <f>IF($B325="","",L325-T325)</f>
        <v/>
      </c>
      <c r="V325" s="7">
        <f>IF($B325="","",U325-G325)</f>
        <v/>
      </c>
      <c r="W325">
        <f>IF($B325="","",IF(COUNTIF($B$2:$B325,$B325)=1,1,0))</f>
        <v/>
      </c>
      <c r="X325">
        <f>IF($W325=1,SUMPRODUCT(--($Z$2:$Z$501&lt;$Z325))+1,"")</f>
        <v/>
      </c>
      <c r="Y325">
        <f>IF($B325="","",IF(OR($R325=TRUE(),$R325="TRUE"),1,0))</f>
        <v/>
      </c>
      <c r="Z325">
        <f>IF($W325=1,IFERROR(IF(VALUE($B325)&lt;100000000,VALUE($B325),1000000000),IFERROR(IF(VALUE(MID($B325,2,20))&lt;100000000,VALUE(MID($B325,2,20)),1000000000),1000000000))+ROW()/100000,"")</f>
        <v/>
      </c>
    </row>
    <row r="326">
      <c r="A326">
        <f>IF($B326="","",IFERROR(IF(INDEX('Per Invoice'!$A$2:$A$201,MATCH($B326,'Per Invoice'!$B$2:$B$201,0))=0,"",INDEX('Per Invoice'!$A$2:$A$201,MATCH($B326,'Per Invoice'!$B$2:$B$201,0))),""))</f>
        <v/>
      </c>
      <c r="G326" s="7">
        <f>IF($B326="","",F326*L326/100)</f>
        <v/>
      </c>
      <c r="J326" s="7" t="n"/>
      <c r="L326" s="7" t="n"/>
      <c r="M326" s="7" t="n"/>
      <c r="P326" s="11" t="n"/>
      <c r="S326">
        <f>IF($B326="","",IF($Y326=1,Settings!$C$6,Settings!$C$7)*1)</f>
        <v/>
      </c>
      <c r="T326" s="7">
        <f>IF($B326="","",S326*L326)</f>
        <v/>
      </c>
      <c r="U326" s="7">
        <f>IF($B326="","",L326-T326)</f>
        <v/>
      </c>
      <c r="V326" s="7">
        <f>IF($B326="","",U326-G326)</f>
        <v/>
      </c>
      <c r="W326">
        <f>IF($B326="","",IF(COUNTIF($B$2:$B326,$B326)=1,1,0))</f>
        <v/>
      </c>
      <c r="X326">
        <f>IF($W326=1,SUMPRODUCT(--($Z$2:$Z$501&lt;$Z326))+1,"")</f>
        <v/>
      </c>
      <c r="Y326">
        <f>IF($B326="","",IF(OR($R326=TRUE(),$R326="TRUE"),1,0))</f>
        <v/>
      </c>
      <c r="Z326">
        <f>IF($W326=1,IFERROR(IF(VALUE($B326)&lt;100000000,VALUE($B326),1000000000),IFERROR(IF(VALUE(MID($B326,2,20))&lt;100000000,VALUE(MID($B326,2,20)),1000000000),1000000000))+ROW()/100000,"")</f>
        <v/>
      </c>
    </row>
    <row r="327">
      <c r="A327">
        <f>IF($B327="","",IFERROR(IF(INDEX('Per Invoice'!$A$2:$A$201,MATCH($B327,'Per Invoice'!$B$2:$B$201,0))=0,"",INDEX('Per Invoice'!$A$2:$A$201,MATCH($B327,'Per Invoice'!$B$2:$B$201,0))),""))</f>
        <v/>
      </c>
      <c r="G327" s="7">
        <f>IF($B327="","",F327*L327/100)</f>
        <v/>
      </c>
      <c r="J327" s="7" t="n"/>
      <c r="L327" s="7" t="n"/>
      <c r="M327" s="7" t="n"/>
      <c r="P327" s="11" t="n"/>
      <c r="S327">
        <f>IF($B327="","",IF($Y327=1,Settings!$C$6,Settings!$C$7)*1)</f>
        <v/>
      </c>
      <c r="T327" s="7">
        <f>IF($B327="","",S327*L327)</f>
        <v/>
      </c>
      <c r="U327" s="7">
        <f>IF($B327="","",L327-T327)</f>
        <v/>
      </c>
      <c r="V327" s="7">
        <f>IF($B327="","",U327-G327)</f>
        <v/>
      </c>
      <c r="W327">
        <f>IF($B327="","",IF(COUNTIF($B$2:$B327,$B327)=1,1,0))</f>
        <v/>
      </c>
      <c r="X327">
        <f>IF($W327=1,SUMPRODUCT(--($Z$2:$Z$501&lt;$Z327))+1,"")</f>
        <v/>
      </c>
      <c r="Y327">
        <f>IF($B327="","",IF(OR($R327=TRUE(),$R327="TRUE"),1,0))</f>
        <v/>
      </c>
      <c r="Z327">
        <f>IF($W327=1,IFERROR(IF(VALUE($B327)&lt;100000000,VALUE($B327),1000000000),IFERROR(IF(VALUE(MID($B327,2,20))&lt;100000000,VALUE(MID($B327,2,20)),1000000000),1000000000))+ROW()/100000,"")</f>
        <v/>
      </c>
    </row>
    <row r="328">
      <c r="A328">
        <f>IF($B328="","",IFERROR(IF(INDEX('Per Invoice'!$A$2:$A$201,MATCH($B328,'Per Invoice'!$B$2:$B$201,0))=0,"",INDEX('Per Invoice'!$A$2:$A$201,MATCH($B328,'Per Invoice'!$B$2:$B$201,0))),""))</f>
        <v/>
      </c>
      <c r="G328" s="7">
        <f>IF($B328="","",F328*L328/100)</f>
        <v/>
      </c>
      <c r="J328" s="7" t="n"/>
      <c r="L328" s="7" t="n"/>
      <c r="M328" s="7" t="n"/>
      <c r="P328" s="11" t="n"/>
      <c r="S328">
        <f>IF($B328="","",IF($Y328=1,Settings!$C$6,Settings!$C$7)*1)</f>
        <v/>
      </c>
      <c r="T328" s="7">
        <f>IF($B328="","",S328*L328)</f>
        <v/>
      </c>
      <c r="U328" s="7">
        <f>IF($B328="","",L328-T328)</f>
        <v/>
      </c>
      <c r="V328" s="7">
        <f>IF($B328="","",U328-G328)</f>
        <v/>
      </c>
      <c r="W328">
        <f>IF($B328="","",IF(COUNTIF($B$2:$B328,$B328)=1,1,0))</f>
        <v/>
      </c>
      <c r="X328">
        <f>IF($W328=1,SUMPRODUCT(--($Z$2:$Z$501&lt;$Z328))+1,"")</f>
        <v/>
      </c>
      <c r="Y328">
        <f>IF($B328="","",IF(OR($R328=TRUE(),$R328="TRUE"),1,0))</f>
        <v/>
      </c>
      <c r="Z328">
        <f>IF($W328=1,IFERROR(IF(VALUE($B328)&lt;100000000,VALUE($B328),1000000000),IFERROR(IF(VALUE(MID($B328,2,20))&lt;100000000,VALUE(MID($B328,2,20)),1000000000),1000000000))+ROW()/100000,"")</f>
        <v/>
      </c>
    </row>
    <row r="329">
      <c r="A329">
        <f>IF($B329="","",IFERROR(IF(INDEX('Per Invoice'!$A$2:$A$201,MATCH($B329,'Per Invoice'!$B$2:$B$201,0))=0,"",INDEX('Per Invoice'!$A$2:$A$201,MATCH($B329,'Per Invoice'!$B$2:$B$201,0))),""))</f>
        <v/>
      </c>
      <c r="G329" s="7">
        <f>IF($B329="","",F329*L329/100)</f>
        <v/>
      </c>
      <c r="J329" s="7" t="n"/>
      <c r="L329" s="7" t="n"/>
      <c r="M329" s="7" t="n"/>
      <c r="P329" s="11" t="n"/>
      <c r="S329">
        <f>IF($B329="","",IF($Y329=1,Settings!$C$6,Settings!$C$7)*1)</f>
        <v/>
      </c>
      <c r="T329" s="7">
        <f>IF($B329="","",S329*L329)</f>
        <v/>
      </c>
      <c r="U329" s="7">
        <f>IF($B329="","",L329-T329)</f>
        <v/>
      </c>
      <c r="V329" s="7">
        <f>IF($B329="","",U329-G329)</f>
        <v/>
      </c>
      <c r="W329">
        <f>IF($B329="","",IF(COUNTIF($B$2:$B329,$B329)=1,1,0))</f>
        <v/>
      </c>
      <c r="X329">
        <f>IF($W329=1,SUMPRODUCT(--($Z$2:$Z$501&lt;$Z329))+1,"")</f>
        <v/>
      </c>
      <c r="Y329">
        <f>IF($B329="","",IF(OR($R329=TRUE(),$R329="TRUE"),1,0))</f>
        <v/>
      </c>
      <c r="Z329">
        <f>IF($W329=1,IFERROR(IF(VALUE($B329)&lt;100000000,VALUE($B329),1000000000),IFERROR(IF(VALUE(MID($B329,2,20))&lt;100000000,VALUE(MID($B329,2,20)),1000000000),1000000000))+ROW()/100000,"")</f>
        <v/>
      </c>
    </row>
    <row r="330">
      <c r="A330">
        <f>IF($B330="","",IFERROR(IF(INDEX('Per Invoice'!$A$2:$A$201,MATCH($B330,'Per Invoice'!$B$2:$B$201,0))=0,"",INDEX('Per Invoice'!$A$2:$A$201,MATCH($B330,'Per Invoice'!$B$2:$B$201,0))),""))</f>
        <v/>
      </c>
      <c r="G330" s="7">
        <f>IF($B330="","",F330*L330/100)</f>
        <v/>
      </c>
      <c r="J330" s="7" t="n"/>
      <c r="L330" s="7" t="n"/>
      <c r="M330" s="7" t="n"/>
      <c r="P330" s="11" t="n"/>
      <c r="S330">
        <f>IF($B330="","",IF($Y330=1,Settings!$C$6,Settings!$C$7)*1)</f>
        <v/>
      </c>
      <c r="T330" s="7">
        <f>IF($B330="","",S330*L330)</f>
        <v/>
      </c>
      <c r="U330" s="7">
        <f>IF($B330="","",L330-T330)</f>
        <v/>
      </c>
      <c r="V330" s="7">
        <f>IF($B330="","",U330-G330)</f>
        <v/>
      </c>
      <c r="W330">
        <f>IF($B330="","",IF(COUNTIF($B$2:$B330,$B330)=1,1,0))</f>
        <v/>
      </c>
      <c r="X330">
        <f>IF($W330=1,SUMPRODUCT(--($Z$2:$Z$501&lt;$Z330))+1,"")</f>
        <v/>
      </c>
      <c r="Y330">
        <f>IF($B330="","",IF(OR($R330=TRUE(),$R330="TRUE"),1,0))</f>
        <v/>
      </c>
      <c r="Z330">
        <f>IF($W330=1,IFERROR(IF(VALUE($B330)&lt;100000000,VALUE($B330),1000000000),IFERROR(IF(VALUE(MID($B330,2,20))&lt;100000000,VALUE(MID($B330,2,20)),1000000000),1000000000))+ROW()/100000,"")</f>
        <v/>
      </c>
    </row>
    <row r="331">
      <c r="A331">
        <f>IF($B331="","",IFERROR(IF(INDEX('Per Invoice'!$A$2:$A$201,MATCH($B331,'Per Invoice'!$B$2:$B$201,0))=0,"",INDEX('Per Invoice'!$A$2:$A$201,MATCH($B331,'Per Invoice'!$B$2:$B$201,0))),""))</f>
        <v/>
      </c>
      <c r="G331" s="7">
        <f>IF($B331="","",F331*L331/100)</f>
        <v/>
      </c>
      <c r="J331" s="7" t="n"/>
      <c r="L331" s="7" t="n"/>
      <c r="M331" s="7" t="n"/>
      <c r="P331" s="11" t="n"/>
      <c r="S331">
        <f>IF($B331="","",IF($Y331=1,Settings!$C$6,Settings!$C$7)*1)</f>
        <v/>
      </c>
      <c r="T331" s="7">
        <f>IF($B331="","",S331*L331)</f>
        <v/>
      </c>
      <c r="U331" s="7">
        <f>IF($B331="","",L331-T331)</f>
        <v/>
      </c>
      <c r="V331" s="7">
        <f>IF($B331="","",U331-G331)</f>
        <v/>
      </c>
      <c r="W331">
        <f>IF($B331="","",IF(COUNTIF($B$2:$B331,$B331)=1,1,0))</f>
        <v/>
      </c>
      <c r="X331">
        <f>IF($W331=1,SUMPRODUCT(--($Z$2:$Z$501&lt;$Z331))+1,"")</f>
        <v/>
      </c>
      <c r="Y331">
        <f>IF($B331="","",IF(OR($R331=TRUE(),$R331="TRUE"),1,0))</f>
        <v/>
      </c>
      <c r="Z331">
        <f>IF($W331=1,IFERROR(IF(VALUE($B331)&lt;100000000,VALUE($B331),1000000000),IFERROR(IF(VALUE(MID($B331,2,20))&lt;100000000,VALUE(MID($B331,2,20)),1000000000),1000000000))+ROW()/100000,"")</f>
        <v/>
      </c>
    </row>
    <row r="332">
      <c r="A332">
        <f>IF($B332="","",IFERROR(IF(INDEX('Per Invoice'!$A$2:$A$201,MATCH($B332,'Per Invoice'!$B$2:$B$201,0))=0,"",INDEX('Per Invoice'!$A$2:$A$201,MATCH($B332,'Per Invoice'!$B$2:$B$201,0))),""))</f>
        <v/>
      </c>
      <c r="G332" s="7">
        <f>IF($B332="","",F332*L332/100)</f>
        <v/>
      </c>
      <c r="J332" s="7" t="n"/>
      <c r="L332" s="7" t="n"/>
      <c r="M332" s="7" t="n"/>
      <c r="P332" s="11" t="n"/>
      <c r="S332">
        <f>IF($B332="","",IF($Y332=1,Settings!$C$6,Settings!$C$7)*1)</f>
        <v/>
      </c>
      <c r="T332" s="7">
        <f>IF($B332="","",S332*L332)</f>
        <v/>
      </c>
      <c r="U332" s="7">
        <f>IF($B332="","",L332-T332)</f>
        <v/>
      </c>
      <c r="V332" s="7">
        <f>IF($B332="","",U332-G332)</f>
        <v/>
      </c>
      <c r="W332">
        <f>IF($B332="","",IF(COUNTIF($B$2:$B332,$B332)=1,1,0))</f>
        <v/>
      </c>
      <c r="X332">
        <f>IF($W332=1,SUMPRODUCT(--($Z$2:$Z$501&lt;$Z332))+1,"")</f>
        <v/>
      </c>
      <c r="Y332">
        <f>IF($B332="","",IF(OR($R332=TRUE(),$R332="TRUE"),1,0))</f>
        <v/>
      </c>
      <c r="Z332">
        <f>IF($W332=1,IFERROR(IF(VALUE($B332)&lt;100000000,VALUE($B332),1000000000),IFERROR(IF(VALUE(MID($B332,2,20))&lt;100000000,VALUE(MID($B332,2,20)),1000000000),1000000000))+ROW()/100000,"")</f>
        <v/>
      </c>
    </row>
    <row r="333">
      <c r="A333">
        <f>IF($B333="","",IFERROR(IF(INDEX('Per Invoice'!$A$2:$A$201,MATCH($B333,'Per Invoice'!$B$2:$B$201,0))=0,"",INDEX('Per Invoice'!$A$2:$A$201,MATCH($B333,'Per Invoice'!$B$2:$B$201,0))),""))</f>
        <v/>
      </c>
      <c r="G333" s="7">
        <f>IF($B333="","",F333*L333/100)</f>
        <v/>
      </c>
      <c r="J333" s="7" t="n"/>
      <c r="L333" s="7" t="n"/>
      <c r="M333" s="7" t="n"/>
      <c r="P333" s="11" t="n"/>
      <c r="S333">
        <f>IF($B333="","",IF($Y333=1,Settings!$C$6,Settings!$C$7)*1)</f>
        <v/>
      </c>
      <c r="T333" s="7">
        <f>IF($B333="","",S333*L333)</f>
        <v/>
      </c>
      <c r="U333" s="7">
        <f>IF($B333="","",L333-T333)</f>
        <v/>
      </c>
      <c r="V333" s="7">
        <f>IF($B333="","",U333-G333)</f>
        <v/>
      </c>
      <c r="W333">
        <f>IF($B333="","",IF(COUNTIF($B$2:$B333,$B333)=1,1,0))</f>
        <v/>
      </c>
      <c r="X333">
        <f>IF($W333=1,SUMPRODUCT(--($Z$2:$Z$501&lt;$Z333))+1,"")</f>
        <v/>
      </c>
      <c r="Y333">
        <f>IF($B333="","",IF(OR($R333=TRUE(),$R333="TRUE"),1,0))</f>
        <v/>
      </c>
      <c r="Z333">
        <f>IF($W333=1,IFERROR(IF(VALUE($B333)&lt;100000000,VALUE($B333),1000000000),IFERROR(IF(VALUE(MID($B333,2,20))&lt;100000000,VALUE(MID($B333,2,20)),1000000000),1000000000))+ROW()/100000,"")</f>
        <v/>
      </c>
    </row>
    <row r="334">
      <c r="A334">
        <f>IF($B334="","",IFERROR(IF(INDEX('Per Invoice'!$A$2:$A$201,MATCH($B334,'Per Invoice'!$B$2:$B$201,0))=0,"",INDEX('Per Invoice'!$A$2:$A$201,MATCH($B334,'Per Invoice'!$B$2:$B$201,0))),""))</f>
        <v/>
      </c>
      <c r="G334" s="7">
        <f>IF($B334="","",F334*L334/100)</f>
        <v/>
      </c>
      <c r="J334" s="7" t="n"/>
      <c r="L334" s="7" t="n"/>
      <c r="M334" s="7" t="n"/>
      <c r="P334" s="11" t="n"/>
      <c r="S334">
        <f>IF($B334="","",IF($Y334=1,Settings!$C$6,Settings!$C$7)*1)</f>
        <v/>
      </c>
      <c r="T334" s="7">
        <f>IF($B334="","",S334*L334)</f>
        <v/>
      </c>
      <c r="U334" s="7">
        <f>IF($B334="","",L334-T334)</f>
        <v/>
      </c>
      <c r="V334" s="7">
        <f>IF($B334="","",U334-G334)</f>
        <v/>
      </c>
      <c r="W334">
        <f>IF($B334="","",IF(COUNTIF($B$2:$B334,$B334)=1,1,0))</f>
        <v/>
      </c>
      <c r="X334">
        <f>IF($W334=1,SUMPRODUCT(--($Z$2:$Z$501&lt;$Z334))+1,"")</f>
        <v/>
      </c>
      <c r="Y334">
        <f>IF($B334="","",IF(OR($R334=TRUE(),$R334="TRUE"),1,0))</f>
        <v/>
      </c>
      <c r="Z334">
        <f>IF($W334=1,IFERROR(IF(VALUE($B334)&lt;100000000,VALUE($B334),1000000000),IFERROR(IF(VALUE(MID($B334,2,20))&lt;100000000,VALUE(MID($B334,2,20)),1000000000),1000000000))+ROW()/100000,"")</f>
        <v/>
      </c>
    </row>
    <row r="335">
      <c r="A335">
        <f>IF($B335="","",IFERROR(IF(INDEX('Per Invoice'!$A$2:$A$201,MATCH($B335,'Per Invoice'!$B$2:$B$201,0))=0,"",INDEX('Per Invoice'!$A$2:$A$201,MATCH($B335,'Per Invoice'!$B$2:$B$201,0))),""))</f>
        <v/>
      </c>
      <c r="G335" s="7">
        <f>IF($B335="","",F335*L335/100)</f>
        <v/>
      </c>
      <c r="J335" s="7" t="n"/>
      <c r="L335" s="7" t="n"/>
      <c r="M335" s="7" t="n"/>
      <c r="P335" s="11" t="n"/>
      <c r="S335">
        <f>IF($B335="","",IF($Y335=1,Settings!$C$6,Settings!$C$7)*1)</f>
        <v/>
      </c>
      <c r="T335" s="7">
        <f>IF($B335="","",S335*L335)</f>
        <v/>
      </c>
      <c r="U335" s="7">
        <f>IF($B335="","",L335-T335)</f>
        <v/>
      </c>
      <c r="V335" s="7">
        <f>IF($B335="","",U335-G335)</f>
        <v/>
      </c>
      <c r="W335">
        <f>IF($B335="","",IF(COUNTIF($B$2:$B335,$B335)=1,1,0))</f>
        <v/>
      </c>
      <c r="X335">
        <f>IF($W335=1,SUMPRODUCT(--($Z$2:$Z$501&lt;$Z335))+1,"")</f>
        <v/>
      </c>
      <c r="Y335">
        <f>IF($B335="","",IF(OR($R335=TRUE(),$R335="TRUE"),1,0))</f>
        <v/>
      </c>
      <c r="Z335">
        <f>IF($W335=1,IFERROR(IF(VALUE($B335)&lt;100000000,VALUE($B335),1000000000),IFERROR(IF(VALUE(MID($B335,2,20))&lt;100000000,VALUE(MID($B335,2,20)),1000000000),1000000000))+ROW()/100000,"")</f>
        <v/>
      </c>
    </row>
    <row r="336">
      <c r="A336">
        <f>IF($B336="","",IFERROR(IF(INDEX('Per Invoice'!$A$2:$A$201,MATCH($B336,'Per Invoice'!$B$2:$B$201,0))=0,"",INDEX('Per Invoice'!$A$2:$A$201,MATCH($B336,'Per Invoice'!$B$2:$B$201,0))),""))</f>
        <v/>
      </c>
      <c r="G336" s="7">
        <f>IF($B336="","",F336*L336/100)</f>
        <v/>
      </c>
      <c r="J336" s="7" t="n"/>
      <c r="L336" s="7" t="n"/>
      <c r="M336" s="7" t="n"/>
      <c r="P336" s="11" t="n"/>
      <c r="S336">
        <f>IF($B336="","",IF($Y336=1,Settings!$C$6,Settings!$C$7)*1)</f>
        <v/>
      </c>
      <c r="T336" s="7">
        <f>IF($B336="","",S336*L336)</f>
        <v/>
      </c>
      <c r="U336" s="7">
        <f>IF($B336="","",L336-T336)</f>
        <v/>
      </c>
      <c r="V336" s="7">
        <f>IF($B336="","",U336-G336)</f>
        <v/>
      </c>
      <c r="W336">
        <f>IF($B336="","",IF(COUNTIF($B$2:$B336,$B336)=1,1,0))</f>
        <v/>
      </c>
      <c r="X336">
        <f>IF($W336=1,SUMPRODUCT(--($Z$2:$Z$501&lt;$Z336))+1,"")</f>
        <v/>
      </c>
      <c r="Y336">
        <f>IF($B336="","",IF(OR($R336=TRUE(),$R336="TRUE"),1,0))</f>
        <v/>
      </c>
      <c r="Z336">
        <f>IF($W336=1,IFERROR(IF(VALUE($B336)&lt;100000000,VALUE($B336),1000000000),IFERROR(IF(VALUE(MID($B336,2,20))&lt;100000000,VALUE(MID($B336,2,20)),1000000000),1000000000))+ROW()/100000,"")</f>
        <v/>
      </c>
    </row>
    <row r="337">
      <c r="A337">
        <f>IF($B337="","",IFERROR(IF(INDEX('Per Invoice'!$A$2:$A$201,MATCH($B337,'Per Invoice'!$B$2:$B$201,0))=0,"",INDEX('Per Invoice'!$A$2:$A$201,MATCH($B337,'Per Invoice'!$B$2:$B$201,0))),""))</f>
        <v/>
      </c>
      <c r="G337" s="7">
        <f>IF($B337="","",F337*L337/100)</f>
        <v/>
      </c>
      <c r="J337" s="7" t="n"/>
      <c r="L337" s="7" t="n"/>
      <c r="M337" s="7" t="n"/>
      <c r="P337" s="11" t="n"/>
      <c r="S337">
        <f>IF($B337="","",IF($Y337=1,Settings!$C$6,Settings!$C$7)*1)</f>
        <v/>
      </c>
      <c r="T337" s="7">
        <f>IF($B337="","",S337*L337)</f>
        <v/>
      </c>
      <c r="U337" s="7">
        <f>IF($B337="","",L337-T337)</f>
        <v/>
      </c>
      <c r="V337" s="7">
        <f>IF($B337="","",U337-G337)</f>
        <v/>
      </c>
      <c r="W337">
        <f>IF($B337="","",IF(COUNTIF($B$2:$B337,$B337)=1,1,0))</f>
        <v/>
      </c>
      <c r="X337">
        <f>IF($W337=1,SUMPRODUCT(--($Z$2:$Z$501&lt;$Z337))+1,"")</f>
        <v/>
      </c>
      <c r="Y337">
        <f>IF($B337="","",IF(OR($R337=TRUE(),$R337="TRUE"),1,0))</f>
        <v/>
      </c>
      <c r="Z337">
        <f>IF($W337=1,IFERROR(IF(VALUE($B337)&lt;100000000,VALUE($B337),1000000000),IFERROR(IF(VALUE(MID($B337,2,20))&lt;100000000,VALUE(MID($B337,2,20)),1000000000),1000000000))+ROW()/100000,"")</f>
        <v/>
      </c>
    </row>
    <row r="338">
      <c r="A338">
        <f>IF($B338="","",IFERROR(IF(INDEX('Per Invoice'!$A$2:$A$201,MATCH($B338,'Per Invoice'!$B$2:$B$201,0))=0,"",INDEX('Per Invoice'!$A$2:$A$201,MATCH($B338,'Per Invoice'!$B$2:$B$201,0))),""))</f>
        <v/>
      </c>
      <c r="G338" s="7">
        <f>IF($B338="","",F338*L338/100)</f>
        <v/>
      </c>
      <c r="J338" s="7" t="n"/>
      <c r="L338" s="7" t="n"/>
      <c r="M338" s="7" t="n"/>
      <c r="P338" s="11" t="n"/>
      <c r="S338">
        <f>IF($B338="","",IF($Y338=1,Settings!$C$6,Settings!$C$7)*1)</f>
        <v/>
      </c>
      <c r="T338" s="7">
        <f>IF($B338="","",S338*L338)</f>
        <v/>
      </c>
      <c r="U338" s="7">
        <f>IF($B338="","",L338-T338)</f>
        <v/>
      </c>
      <c r="V338" s="7">
        <f>IF($B338="","",U338-G338)</f>
        <v/>
      </c>
      <c r="W338">
        <f>IF($B338="","",IF(COUNTIF($B$2:$B338,$B338)=1,1,0))</f>
        <v/>
      </c>
      <c r="X338">
        <f>IF($W338=1,SUMPRODUCT(--($Z$2:$Z$501&lt;$Z338))+1,"")</f>
        <v/>
      </c>
      <c r="Y338">
        <f>IF($B338="","",IF(OR($R338=TRUE(),$R338="TRUE"),1,0))</f>
        <v/>
      </c>
      <c r="Z338">
        <f>IF($W338=1,IFERROR(IF(VALUE($B338)&lt;100000000,VALUE($B338),1000000000),IFERROR(IF(VALUE(MID($B338,2,20))&lt;100000000,VALUE(MID($B338,2,20)),1000000000),1000000000))+ROW()/100000,"")</f>
        <v/>
      </c>
    </row>
    <row r="339">
      <c r="A339">
        <f>IF($B339="","",IFERROR(IF(INDEX('Per Invoice'!$A$2:$A$201,MATCH($B339,'Per Invoice'!$B$2:$B$201,0))=0,"",INDEX('Per Invoice'!$A$2:$A$201,MATCH($B339,'Per Invoice'!$B$2:$B$201,0))),""))</f>
        <v/>
      </c>
      <c r="G339" s="7">
        <f>IF($B339="","",F339*L339/100)</f>
        <v/>
      </c>
      <c r="J339" s="7" t="n"/>
      <c r="L339" s="7" t="n"/>
      <c r="M339" s="7" t="n"/>
      <c r="P339" s="11" t="n"/>
      <c r="S339">
        <f>IF($B339="","",IF($Y339=1,Settings!$C$6,Settings!$C$7)*1)</f>
        <v/>
      </c>
      <c r="T339" s="7">
        <f>IF($B339="","",S339*L339)</f>
        <v/>
      </c>
      <c r="U339" s="7">
        <f>IF($B339="","",L339-T339)</f>
        <v/>
      </c>
      <c r="V339" s="7">
        <f>IF($B339="","",U339-G339)</f>
        <v/>
      </c>
      <c r="W339">
        <f>IF($B339="","",IF(COUNTIF($B$2:$B339,$B339)=1,1,0))</f>
        <v/>
      </c>
      <c r="X339">
        <f>IF($W339=1,SUMPRODUCT(--($Z$2:$Z$501&lt;$Z339))+1,"")</f>
        <v/>
      </c>
      <c r="Y339">
        <f>IF($B339="","",IF(OR($R339=TRUE(),$R339="TRUE"),1,0))</f>
        <v/>
      </c>
      <c r="Z339">
        <f>IF($W339=1,IFERROR(IF(VALUE($B339)&lt;100000000,VALUE($B339),1000000000),IFERROR(IF(VALUE(MID($B339,2,20))&lt;100000000,VALUE(MID($B339,2,20)),1000000000),1000000000))+ROW()/100000,"")</f>
        <v/>
      </c>
    </row>
    <row r="340">
      <c r="A340">
        <f>IF($B340="","",IFERROR(IF(INDEX('Per Invoice'!$A$2:$A$201,MATCH($B340,'Per Invoice'!$B$2:$B$201,0))=0,"",INDEX('Per Invoice'!$A$2:$A$201,MATCH($B340,'Per Invoice'!$B$2:$B$201,0))),""))</f>
        <v/>
      </c>
      <c r="G340" s="7">
        <f>IF($B340="","",F340*L340/100)</f>
        <v/>
      </c>
      <c r="J340" s="7" t="n"/>
      <c r="L340" s="7" t="n"/>
      <c r="M340" s="7" t="n"/>
      <c r="P340" s="11" t="n"/>
      <c r="S340">
        <f>IF($B340="","",IF($Y340=1,Settings!$C$6,Settings!$C$7)*1)</f>
        <v/>
      </c>
      <c r="T340" s="7">
        <f>IF($B340="","",S340*L340)</f>
        <v/>
      </c>
      <c r="U340" s="7">
        <f>IF($B340="","",L340-T340)</f>
        <v/>
      </c>
      <c r="V340" s="7">
        <f>IF($B340="","",U340-G340)</f>
        <v/>
      </c>
      <c r="W340">
        <f>IF($B340="","",IF(COUNTIF($B$2:$B340,$B340)=1,1,0))</f>
        <v/>
      </c>
      <c r="X340">
        <f>IF($W340=1,SUMPRODUCT(--($Z$2:$Z$501&lt;$Z340))+1,"")</f>
        <v/>
      </c>
      <c r="Y340">
        <f>IF($B340="","",IF(OR($R340=TRUE(),$R340="TRUE"),1,0))</f>
        <v/>
      </c>
      <c r="Z340">
        <f>IF($W340=1,IFERROR(IF(VALUE($B340)&lt;100000000,VALUE($B340),1000000000),IFERROR(IF(VALUE(MID($B340,2,20))&lt;100000000,VALUE(MID($B340,2,20)),1000000000),1000000000))+ROW()/100000,"")</f>
        <v/>
      </c>
    </row>
    <row r="341">
      <c r="A341">
        <f>IF($B341="","",IFERROR(IF(INDEX('Per Invoice'!$A$2:$A$201,MATCH($B341,'Per Invoice'!$B$2:$B$201,0))=0,"",INDEX('Per Invoice'!$A$2:$A$201,MATCH($B341,'Per Invoice'!$B$2:$B$201,0))),""))</f>
        <v/>
      </c>
      <c r="G341" s="7">
        <f>IF($B341="","",F341*L341/100)</f>
        <v/>
      </c>
      <c r="J341" s="7" t="n"/>
      <c r="L341" s="7" t="n"/>
      <c r="M341" s="7" t="n"/>
      <c r="P341" s="11" t="n"/>
      <c r="S341">
        <f>IF($B341="","",IF($Y341=1,Settings!$C$6,Settings!$C$7)*1)</f>
        <v/>
      </c>
      <c r="T341" s="7">
        <f>IF($B341="","",S341*L341)</f>
        <v/>
      </c>
      <c r="U341" s="7">
        <f>IF($B341="","",L341-T341)</f>
        <v/>
      </c>
      <c r="V341" s="7">
        <f>IF($B341="","",U341-G341)</f>
        <v/>
      </c>
      <c r="W341">
        <f>IF($B341="","",IF(COUNTIF($B$2:$B341,$B341)=1,1,0))</f>
        <v/>
      </c>
      <c r="X341">
        <f>IF($W341=1,SUMPRODUCT(--($Z$2:$Z$501&lt;$Z341))+1,"")</f>
        <v/>
      </c>
      <c r="Y341">
        <f>IF($B341="","",IF(OR($R341=TRUE(),$R341="TRUE"),1,0))</f>
        <v/>
      </c>
      <c r="Z341">
        <f>IF($W341=1,IFERROR(IF(VALUE($B341)&lt;100000000,VALUE($B341),1000000000),IFERROR(IF(VALUE(MID($B341,2,20))&lt;100000000,VALUE(MID($B341,2,20)),1000000000),1000000000))+ROW()/100000,"")</f>
        <v/>
      </c>
    </row>
    <row r="342">
      <c r="A342">
        <f>IF($B342="","",IFERROR(IF(INDEX('Per Invoice'!$A$2:$A$201,MATCH($B342,'Per Invoice'!$B$2:$B$201,0))=0,"",INDEX('Per Invoice'!$A$2:$A$201,MATCH($B342,'Per Invoice'!$B$2:$B$201,0))),""))</f>
        <v/>
      </c>
      <c r="G342" s="7">
        <f>IF($B342="","",F342*L342/100)</f>
        <v/>
      </c>
      <c r="J342" s="7" t="n"/>
      <c r="L342" s="7" t="n"/>
      <c r="M342" s="7" t="n"/>
      <c r="P342" s="11" t="n"/>
      <c r="S342">
        <f>IF($B342="","",IF($Y342=1,Settings!$C$6,Settings!$C$7)*1)</f>
        <v/>
      </c>
      <c r="T342" s="7">
        <f>IF($B342="","",S342*L342)</f>
        <v/>
      </c>
      <c r="U342" s="7">
        <f>IF($B342="","",L342-T342)</f>
        <v/>
      </c>
      <c r="V342" s="7">
        <f>IF($B342="","",U342-G342)</f>
        <v/>
      </c>
      <c r="W342">
        <f>IF($B342="","",IF(COUNTIF($B$2:$B342,$B342)=1,1,0))</f>
        <v/>
      </c>
      <c r="X342">
        <f>IF($W342=1,SUMPRODUCT(--($Z$2:$Z$501&lt;$Z342))+1,"")</f>
        <v/>
      </c>
      <c r="Y342">
        <f>IF($B342="","",IF(OR($R342=TRUE(),$R342="TRUE"),1,0))</f>
        <v/>
      </c>
      <c r="Z342">
        <f>IF($W342=1,IFERROR(IF(VALUE($B342)&lt;100000000,VALUE($B342),1000000000),IFERROR(IF(VALUE(MID($B342,2,20))&lt;100000000,VALUE(MID($B342,2,20)),1000000000),1000000000))+ROW()/100000,"")</f>
        <v/>
      </c>
    </row>
    <row r="343">
      <c r="A343">
        <f>IF($B343="","",IFERROR(IF(INDEX('Per Invoice'!$A$2:$A$201,MATCH($B343,'Per Invoice'!$B$2:$B$201,0))=0,"",INDEX('Per Invoice'!$A$2:$A$201,MATCH($B343,'Per Invoice'!$B$2:$B$201,0))),""))</f>
        <v/>
      </c>
      <c r="G343" s="7">
        <f>IF($B343="","",F343*L343/100)</f>
        <v/>
      </c>
      <c r="J343" s="7" t="n"/>
      <c r="L343" s="7" t="n"/>
      <c r="M343" s="7" t="n"/>
      <c r="P343" s="11" t="n"/>
      <c r="S343">
        <f>IF($B343="","",IF($Y343=1,Settings!$C$6,Settings!$C$7)*1)</f>
        <v/>
      </c>
      <c r="T343" s="7">
        <f>IF($B343="","",S343*L343)</f>
        <v/>
      </c>
      <c r="U343" s="7">
        <f>IF($B343="","",L343-T343)</f>
        <v/>
      </c>
      <c r="V343" s="7">
        <f>IF($B343="","",U343-G343)</f>
        <v/>
      </c>
      <c r="W343">
        <f>IF($B343="","",IF(COUNTIF($B$2:$B343,$B343)=1,1,0))</f>
        <v/>
      </c>
      <c r="X343">
        <f>IF($W343=1,SUMPRODUCT(--($Z$2:$Z$501&lt;$Z343))+1,"")</f>
        <v/>
      </c>
      <c r="Y343">
        <f>IF($B343="","",IF(OR($R343=TRUE(),$R343="TRUE"),1,0))</f>
        <v/>
      </c>
      <c r="Z343">
        <f>IF($W343=1,IFERROR(IF(VALUE($B343)&lt;100000000,VALUE($B343),1000000000),IFERROR(IF(VALUE(MID($B343,2,20))&lt;100000000,VALUE(MID($B343,2,20)),1000000000),1000000000))+ROW()/100000,"")</f>
        <v/>
      </c>
    </row>
    <row r="344">
      <c r="A344">
        <f>IF($B344="","",IFERROR(IF(INDEX('Per Invoice'!$A$2:$A$201,MATCH($B344,'Per Invoice'!$B$2:$B$201,0))=0,"",INDEX('Per Invoice'!$A$2:$A$201,MATCH($B344,'Per Invoice'!$B$2:$B$201,0))),""))</f>
        <v/>
      </c>
      <c r="G344" s="7">
        <f>IF($B344="","",F344*L344/100)</f>
        <v/>
      </c>
      <c r="J344" s="7" t="n"/>
      <c r="L344" s="7" t="n"/>
      <c r="M344" s="7" t="n"/>
      <c r="P344" s="11" t="n"/>
      <c r="S344">
        <f>IF($B344="","",IF($Y344=1,Settings!$C$6,Settings!$C$7)*1)</f>
        <v/>
      </c>
      <c r="T344" s="7">
        <f>IF($B344="","",S344*L344)</f>
        <v/>
      </c>
      <c r="U344" s="7">
        <f>IF($B344="","",L344-T344)</f>
        <v/>
      </c>
      <c r="V344" s="7">
        <f>IF($B344="","",U344-G344)</f>
        <v/>
      </c>
      <c r="W344">
        <f>IF($B344="","",IF(COUNTIF($B$2:$B344,$B344)=1,1,0))</f>
        <v/>
      </c>
      <c r="X344">
        <f>IF($W344=1,SUMPRODUCT(--($Z$2:$Z$501&lt;$Z344))+1,"")</f>
        <v/>
      </c>
      <c r="Y344">
        <f>IF($B344="","",IF(OR($R344=TRUE(),$R344="TRUE"),1,0))</f>
        <v/>
      </c>
      <c r="Z344">
        <f>IF($W344=1,IFERROR(IF(VALUE($B344)&lt;100000000,VALUE($B344),1000000000),IFERROR(IF(VALUE(MID($B344,2,20))&lt;100000000,VALUE(MID($B344,2,20)),1000000000),1000000000))+ROW()/100000,"")</f>
        <v/>
      </c>
    </row>
    <row r="345">
      <c r="A345">
        <f>IF($B345="","",IFERROR(IF(INDEX('Per Invoice'!$A$2:$A$201,MATCH($B345,'Per Invoice'!$B$2:$B$201,0))=0,"",INDEX('Per Invoice'!$A$2:$A$201,MATCH($B345,'Per Invoice'!$B$2:$B$201,0))),""))</f>
        <v/>
      </c>
      <c r="G345" s="7">
        <f>IF($B345="","",F345*L345/100)</f>
        <v/>
      </c>
      <c r="J345" s="7" t="n"/>
      <c r="L345" s="7" t="n"/>
      <c r="M345" s="7" t="n"/>
      <c r="P345" s="11" t="n"/>
      <c r="S345">
        <f>IF($B345="","",IF($Y345=1,Settings!$C$6,Settings!$C$7)*1)</f>
        <v/>
      </c>
      <c r="T345" s="7">
        <f>IF($B345="","",S345*L345)</f>
        <v/>
      </c>
      <c r="U345" s="7">
        <f>IF($B345="","",L345-T345)</f>
        <v/>
      </c>
      <c r="V345" s="7">
        <f>IF($B345="","",U345-G345)</f>
        <v/>
      </c>
      <c r="W345">
        <f>IF($B345="","",IF(COUNTIF($B$2:$B345,$B345)=1,1,0))</f>
        <v/>
      </c>
      <c r="X345">
        <f>IF($W345=1,SUMPRODUCT(--($Z$2:$Z$501&lt;$Z345))+1,"")</f>
        <v/>
      </c>
      <c r="Y345">
        <f>IF($B345="","",IF(OR($R345=TRUE(),$R345="TRUE"),1,0))</f>
        <v/>
      </c>
      <c r="Z345">
        <f>IF($W345=1,IFERROR(IF(VALUE($B345)&lt;100000000,VALUE($B345),1000000000),IFERROR(IF(VALUE(MID($B345,2,20))&lt;100000000,VALUE(MID($B345,2,20)),1000000000),1000000000))+ROW()/100000,"")</f>
        <v/>
      </c>
    </row>
    <row r="346">
      <c r="A346">
        <f>IF($B346="","",IFERROR(IF(INDEX('Per Invoice'!$A$2:$A$201,MATCH($B346,'Per Invoice'!$B$2:$B$201,0))=0,"",INDEX('Per Invoice'!$A$2:$A$201,MATCH($B346,'Per Invoice'!$B$2:$B$201,0))),""))</f>
        <v/>
      </c>
      <c r="G346" s="7">
        <f>IF($B346="","",F346*L346/100)</f>
        <v/>
      </c>
      <c r="J346" s="7" t="n"/>
      <c r="L346" s="7" t="n"/>
      <c r="M346" s="7" t="n"/>
      <c r="P346" s="11" t="n"/>
      <c r="S346">
        <f>IF($B346="","",IF($Y346=1,Settings!$C$6,Settings!$C$7)*1)</f>
        <v/>
      </c>
      <c r="T346" s="7">
        <f>IF($B346="","",S346*L346)</f>
        <v/>
      </c>
      <c r="U346" s="7">
        <f>IF($B346="","",L346-T346)</f>
        <v/>
      </c>
      <c r="V346" s="7">
        <f>IF($B346="","",U346-G346)</f>
        <v/>
      </c>
      <c r="W346">
        <f>IF($B346="","",IF(COUNTIF($B$2:$B346,$B346)=1,1,0))</f>
        <v/>
      </c>
      <c r="X346">
        <f>IF($W346=1,SUMPRODUCT(--($Z$2:$Z$501&lt;$Z346))+1,"")</f>
        <v/>
      </c>
      <c r="Y346">
        <f>IF($B346="","",IF(OR($R346=TRUE(),$R346="TRUE"),1,0))</f>
        <v/>
      </c>
      <c r="Z346">
        <f>IF($W346=1,IFERROR(IF(VALUE($B346)&lt;100000000,VALUE($B346),1000000000),IFERROR(IF(VALUE(MID($B346,2,20))&lt;100000000,VALUE(MID($B346,2,20)),1000000000),1000000000))+ROW()/100000,"")</f>
        <v/>
      </c>
    </row>
    <row r="347">
      <c r="A347">
        <f>IF($B347="","",IFERROR(IF(INDEX('Per Invoice'!$A$2:$A$201,MATCH($B347,'Per Invoice'!$B$2:$B$201,0))=0,"",INDEX('Per Invoice'!$A$2:$A$201,MATCH($B347,'Per Invoice'!$B$2:$B$201,0))),""))</f>
        <v/>
      </c>
      <c r="G347" s="7">
        <f>IF($B347="","",F347*L347/100)</f>
        <v/>
      </c>
      <c r="J347" s="7" t="n"/>
      <c r="L347" s="7" t="n"/>
      <c r="M347" s="7" t="n"/>
      <c r="P347" s="11" t="n"/>
      <c r="S347">
        <f>IF($B347="","",IF($Y347=1,Settings!$C$6,Settings!$C$7)*1)</f>
        <v/>
      </c>
      <c r="T347" s="7">
        <f>IF($B347="","",S347*L347)</f>
        <v/>
      </c>
      <c r="U347" s="7">
        <f>IF($B347="","",L347-T347)</f>
        <v/>
      </c>
      <c r="V347" s="7">
        <f>IF($B347="","",U347-G347)</f>
        <v/>
      </c>
      <c r="W347">
        <f>IF($B347="","",IF(COUNTIF($B$2:$B347,$B347)=1,1,0))</f>
        <v/>
      </c>
      <c r="X347">
        <f>IF($W347=1,SUMPRODUCT(--($Z$2:$Z$501&lt;$Z347))+1,"")</f>
        <v/>
      </c>
      <c r="Y347">
        <f>IF($B347="","",IF(OR($R347=TRUE(),$R347="TRUE"),1,0))</f>
        <v/>
      </c>
      <c r="Z347">
        <f>IF($W347=1,IFERROR(IF(VALUE($B347)&lt;100000000,VALUE($B347),1000000000),IFERROR(IF(VALUE(MID($B347,2,20))&lt;100000000,VALUE(MID($B347,2,20)),1000000000),1000000000))+ROW()/100000,"")</f>
        <v/>
      </c>
    </row>
    <row r="348">
      <c r="A348">
        <f>IF($B348="","",IFERROR(IF(INDEX('Per Invoice'!$A$2:$A$201,MATCH($B348,'Per Invoice'!$B$2:$B$201,0))=0,"",INDEX('Per Invoice'!$A$2:$A$201,MATCH($B348,'Per Invoice'!$B$2:$B$201,0))),""))</f>
        <v/>
      </c>
      <c r="G348" s="7">
        <f>IF($B348="","",F348*L348/100)</f>
        <v/>
      </c>
      <c r="J348" s="7" t="n"/>
      <c r="L348" s="7" t="n"/>
      <c r="M348" s="7" t="n"/>
      <c r="P348" s="11" t="n"/>
      <c r="S348">
        <f>IF($B348="","",IF($Y348=1,Settings!$C$6,Settings!$C$7)*1)</f>
        <v/>
      </c>
      <c r="T348" s="7">
        <f>IF($B348="","",S348*L348)</f>
        <v/>
      </c>
      <c r="U348" s="7">
        <f>IF($B348="","",L348-T348)</f>
        <v/>
      </c>
      <c r="V348" s="7">
        <f>IF($B348="","",U348-G348)</f>
        <v/>
      </c>
      <c r="W348">
        <f>IF($B348="","",IF(COUNTIF($B$2:$B348,$B348)=1,1,0))</f>
        <v/>
      </c>
      <c r="X348">
        <f>IF($W348=1,SUMPRODUCT(--($Z$2:$Z$501&lt;$Z348))+1,"")</f>
        <v/>
      </c>
      <c r="Y348">
        <f>IF($B348="","",IF(OR($R348=TRUE(),$R348="TRUE"),1,0))</f>
        <v/>
      </c>
      <c r="Z348">
        <f>IF($W348=1,IFERROR(IF(VALUE($B348)&lt;100000000,VALUE($B348),1000000000),IFERROR(IF(VALUE(MID($B348,2,20))&lt;100000000,VALUE(MID($B348,2,20)),1000000000),1000000000))+ROW()/100000,"")</f>
        <v/>
      </c>
    </row>
    <row r="349">
      <c r="A349">
        <f>IF($B349="","",IFERROR(IF(INDEX('Per Invoice'!$A$2:$A$201,MATCH($B349,'Per Invoice'!$B$2:$B$201,0))=0,"",INDEX('Per Invoice'!$A$2:$A$201,MATCH($B349,'Per Invoice'!$B$2:$B$201,0))),""))</f>
        <v/>
      </c>
      <c r="G349" s="7">
        <f>IF($B349="","",F349*L349/100)</f>
        <v/>
      </c>
      <c r="J349" s="7" t="n"/>
      <c r="L349" s="7" t="n"/>
      <c r="M349" s="7" t="n"/>
      <c r="P349" s="11" t="n"/>
      <c r="S349">
        <f>IF($B349="","",IF($Y349=1,Settings!$C$6,Settings!$C$7)*1)</f>
        <v/>
      </c>
      <c r="T349" s="7">
        <f>IF($B349="","",S349*L349)</f>
        <v/>
      </c>
      <c r="U349" s="7">
        <f>IF($B349="","",L349-T349)</f>
        <v/>
      </c>
      <c r="V349" s="7">
        <f>IF($B349="","",U349-G349)</f>
        <v/>
      </c>
      <c r="W349">
        <f>IF($B349="","",IF(COUNTIF($B$2:$B349,$B349)=1,1,0))</f>
        <v/>
      </c>
      <c r="X349">
        <f>IF($W349=1,SUMPRODUCT(--($Z$2:$Z$501&lt;$Z349))+1,"")</f>
        <v/>
      </c>
      <c r="Y349">
        <f>IF($B349="","",IF(OR($R349=TRUE(),$R349="TRUE"),1,0))</f>
        <v/>
      </c>
      <c r="Z349">
        <f>IF($W349=1,IFERROR(IF(VALUE($B349)&lt;100000000,VALUE($B349),1000000000),IFERROR(IF(VALUE(MID($B349,2,20))&lt;100000000,VALUE(MID($B349,2,20)),1000000000),1000000000))+ROW()/100000,"")</f>
        <v/>
      </c>
    </row>
    <row r="350">
      <c r="A350">
        <f>IF($B350="","",IFERROR(IF(INDEX('Per Invoice'!$A$2:$A$201,MATCH($B350,'Per Invoice'!$B$2:$B$201,0))=0,"",INDEX('Per Invoice'!$A$2:$A$201,MATCH($B350,'Per Invoice'!$B$2:$B$201,0))),""))</f>
        <v/>
      </c>
      <c r="G350" s="7">
        <f>IF($B350="","",F350*L350/100)</f>
        <v/>
      </c>
      <c r="J350" s="7" t="n"/>
      <c r="L350" s="7" t="n"/>
      <c r="M350" s="7" t="n"/>
      <c r="P350" s="11" t="n"/>
      <c r="S350">
        <f>IF($B350="","",IF($Y350=1,Settings!$C$6,Settings!$C$7)*1)</f>
        <v/>
      </c>
      <c r="T350" s="7">
        <f>IF($B350="","",S350*L350)</f>
        <v/>
      </c>
      <c r="U350" s="7">
        <f>IF($B350="","",L350-T350)</f>
        <v/>
      </c>
      <c r="V350" s="7">
        <f>IF($B350="","",U350-G350)</f>
        <v/>
      </c>
      <c r="W350">
        <f>IF($B350="","",IF(COUNTIF($B$2:$B350,$B350)=1,1,0))</f>
        <v/>
      </c>
      <c r="X350">
        <f>IF($W350=1,SUMPRODUCT(--($Z$2:$Z$501&lt;$Z350))+1,"")</f>
        <v/>
      </c>
      <c r="Y350">
        <f>IF($B350="","",IF(OR($R350=TRUE(),$R350="TRUE"),1,0))</f>
        <v/>
      </c>
      <c r="Z350">
        <f>IF($W350=1,IFERROR(IF(VALUE($B350)&lt;100000000,VALUE($B350),1000000000),IFERROR(IF(VALUE(MID($B350,2,20))&lt;100000000,VALUE(MID($B350,2,20)),1000000000),1000000000))+ROW()/100000,"")</f>
        <v/>
      </c>
    </row>
    <row r="351">
      <c r="A351">
        <f>IF($B351="","",IFERROR(IF(INDEX('Per Invoice'!$A$2:$A$201,MATCH($B351,'Per Invoice'!$B$2:$B$201,0))=0,"",INDEX('Per Invoice'!$A$2:$A$201,MATCH($B351,'Per Invoice'!$B$2:$B$201,0))),""))</f>
        <v/>
      </c>
      <c r="G351" s="7">
        <f>IF($B351="","",F351*L351/100)</f>
        <v/>
      </c>
      <c r="J351" s="7" t="n"/>
      <c r="L351" s="7" t="n"/>
      <c r="M351" s="7" t="n"/>
      <c r="P351" s="11" t="n"/>
      <c r="S351">
        <f>IF($B351="","",IF($Y351=1,Settings!$C$6,Settings!$C$7)*1)</f>
        <v/>
      </c>
      <c r="T351" s="7">
        <f>IF($B351="","",S351*L351)</f>
        <v/>
      </c>
      <c r="U351" s="7">
        <f>IF($B351="","",L351-T351)</f>
        <v/>
      </c>
      <c r="V351" s="7">
        <f>IF($B351="","",U351-G351)</f>
        <v/>
      </c>
      <c r="W351">
        <f>IF($B351="","",IF(COUNTIF($B$2:$B351,$B351)=1,1,0))</f>
        <v/>
      </c>
      <c r="X351">
        <f>IF($W351=1,SUMPRODUCT(--($Z$2:$Z$501&lt;$Z351))+1,"")</f>
        <v/>
      </c>
      <c r="Y351">
        <f>IF($B351="","",IF(OR($R351=TRUE(),$R351="TRUE"),1,0))</f>
        <v/>
      </c>
      <c r="Z351">
        <f>IF($W351=1,IFERROR(IF(VALUE($B351)&lt;100000000,VALUE($B351),1000000000),IFERROR(IF(VALUE(MID($B351,2,20))&lt;100000000,VALUE(MID($B351,2,20)),1000000000),1000000000))+ROW()/100000,"")</f>
        <v/>
      </c>
    </row>
    <row r="352">
      <c r="A352">
        <f>IF($B352="","",IFERROR(IF(INDEX('Per Invoice'!$A$2:$A$201,MATCH($B352,'Per Invoice'!$B$2:$B$201,0))=0,"",INDEX('Per Invoice'!$A$2:$A$201,MATCH($B352,'Per Invoice'!$B$2:$B$201,0))),""))</f>
        <v/>
      </c>
      <c r="G352" s="7">
        <f>IF($B352="","",F352*L352/100)</f>
        <v/>
      </c>
      <c r="J352" s="7" t="n"/>
      <c r="L352" s="7" t="n"/>
      <c r="M352" s="7" t="n"/>
      <c r="P352" s="11" t="n"/>
      <c r="S352">
        <f>IF($B352="","",IF($Y352=1,Settings!$C$6,Settings!$C$7)*1)</f>
        <v/>
      </c>
      <c r="T352" s="7">
        <f>IF($B352="","",S352*L352)</f>
        <v/>
      </c>
      <c r="U352" s="7">
        <f>IF($B352="","",L352-T352)</f>
        <v/>
      </c>
      <c r="V352" s="7">
        <f>IF($B352="","",U352-G352)</f>
        <v/>
      </c>
      <c r="W352">
        <f>IF($B352="","",IF(COUNTIF($B$2:$B352,$B352)=1,1,0))</f>
        <v/>
      </c>
      <c r="X352">
        <f>IF($W352=1,SUMPRODUCT(--($Z$2:$Z$501&lt;$Z352))+1,"")</f>
        <v/>
      </c>
      <c r="Y352">
        <f>IF($B352="","",IF(OR($R352=TRUE(),$R352="TRUE"),1,0))</f>
        <v/>
      </c>
      <c r="Z352">
        <f>IF($W352=1,IFERROR(IF(VALUE($B352)&lt;100000000,VALUE($B352),1000000000),IFERROR(IF(VALUE(MID($B352,2,20))&lt;100000000,VALUE(MID($B352,2,20)),1000000000),1000000000))+ROW()/100000,"")</f>
        <v/>
      </c>
    </row>
    <row r="353">
      <c r="A353">
        <f>IF($B353="","",IFERROR(IF(INDEX('Per Invoice'!$A$2:$A$201,MATCH($B353,'Per Invoice'!$B$2:$B$201,0))=0,"",INDEX('Per Invoice'!$A$2:$A$201,MATCH($B353,'Per Invoice'!$B$2:$B$201,0))),""))</f>
        <v/>
      </c>
      <c r="G353" s="7">
        <f>IF($B353="","",F353*L353/100)</f>
        <v/>
      </c>
      <c r="J353" s="7" t="n"/>
      <c r="L353" s="7" t="n"/>
      <c r="M353" s="7" t="n"/>
      <c r="P353" s="11" t="n"/>
      <c r="S353">
        <f>IF($B353="","",IF($Y353=1,Settings!$C$6,Settings!$C$7)*1)</f>
        <v/>
      </c>
      <c r="T353" s="7">
        <f>IF($B353="","",S353*L353)</f>
        <v/>
      </c>
      <c r="U353" s="7">
        <f>IF($B353="","",L353-T353)</f>
        <v/>
      </c>
      <c r="V353" s="7">
        <f>IF($B353="","",U353-G353)</f>
        <v/>
      </c>
      <c r="W353">
        <f>IF($B353="","",IF(COUNTIF($B$2:$B353,$B353)=1,1,0))</f>
        <v/>
      </c>
      <c r="X353">
        <f>IF($W353=1,SUMPRODUCT(--($Z$2:$Z$501&lt;$Z353))+1,"")</f>
        <v/>
      </c>
      <c r="Y353">
        <f>IF($B353="","",IF(OR($R353=TRUE(),$R353="TRUE"),1,0))</f>
        <v/>
      </c>
      <c r="Z353">
        <f>IF($W353=1,IFERROR(IF(VALUE($B353)&lt;100000000,VALUE($B353),1000000000),IFERROR(IF(VALUE(MID($B353,2,20))&lt;100000000,VALUE(MID($B353,2,20)),1000000000),1000000000))+ROW()/100000,"")</f>
        <v/>
      </c>
    </row>
    <row r="354">
      <c r="A354">
        <f>IF($B354="","",IFERROR(IF(INDEX('Per Invoice'!$A$2:$A$201,MATCH($B354,'Per Invoice'!$B$2:$B$201,0))=0,"",INDEX('Per Invoice'!$A$2:$A$201,MATCH($B354,'Per Invoice'!$B$2:$B$201,0))),""))</f>
        <v/>
      </c>
      <c r="G354" s="7">
        <f>IF($B354="","",F354*L354/100)</f>
        <v/>
      </c>
      <c r="J354" s="7" t="n"/>
      <c r="L354" s="7" t="n"/>
      <c r="M354" s="7" t="n"/>
      <c r="P354" s="11" t="n"/>
      <c r="S354">
        <f>IF($B354="","",IF($Y354=1,Settings!$C$6,Settings!$C$7)*1)</f>
        <v/>
      </c>
      <c r="T354" s="7">
        <f>IF($B354="","",S354*L354)</f>
        <v/>
      </c>
      <c r="U354" s="7">
        <f>IF($B354="","",L354-T354)</f>
        <v/>
      </c>
      <c r="V354" s="7">
        <f>IF($B354="","",U354-G354)</f>
        <v/>
      </c>
      <c r="W354">
        <f>IF($B354="","",IF(COUNTIF($B$2:$B354,$B354)=1,1,0))</f>
        <v/>
      </c>
      <c r="X354">
        <f>IF($W354=1,SUMPRODUCT(--($Z$2:$Z$501&lt;$Z354))+1,"")</f>
        <v/>
      </c>
      <c r="Y354">
        <f>IF($B354="","",IF(OR($R354=TRUE(),$R354="TRUE"),1,0))</f>
        <v/>
      </c>
      <c r="Z354">
        <f>IF($W354=1,IFERROR(IF(VALUE($B354)&lt;100000000,VALUE($B354),1000000000),IFERROR(IF(VALUE(MID($B354,2,20))&lt;100000000,VALUE(MID($B354,2,20)),1000000000),1000000000))+ROW()/100000,"")</f>
        <v/>
      </c>
    </row>
    <row r="355">
      <c r="A355">
        <f>IF($B355="","",IFERROR(IF(INDEX('Per Invoice'!$A$2:$A$201,MATCH($B355,'Per Invoice'!$B$2:$B$201,0))=0,"",INDEX('Per Invoice'!$A$2:$A$201,MATCH($B355,'Per Invoice'!$B$2:$B$201,0))),""))</f>
        <v/>
      </c>
      <c r="G355" s="7">
        <f>IF($B355="","",F355*L355/100)</f>
        <v/>
      </c>
      <c r="J355" s="7" t="n"/>
      <c r="L355" s="7" t="n"/>
      <c r="M355" s="7" t="n"/>
      <c r="P355" s="11" t="n"/>
      <c r="S355">
        <f>IF($B355="","",IF($Y355=1,Settings!$C$6,Settings!$C$7)*1)</f>
        <v/>
      </c>
      <c r="T355" s="7">
        <f>IF($B355="","",S355*L355)</f>
        <v/>
      </c>
      <c r="U355" s="7">
        <f>IF($B355="","",L355-T355)</f>
        <v/>
      </c>
      <c r="V355" s="7">
        <f>IF($B355="","",U355-G355)</f>
        <v/>
      </c>
      <c r="W355">
        <f>IF($B355="","",IF(COUNTIF($B$2:$B355,$B355)=1,1,0))</f>
        <v/>
      </c>
      <c r="X355">
        <f>IF($W355=1,SUMPRODUCT(--($Z$2:$Z$501&lt;$Z355))+1,"")</f>
        <v/>
      </c>
      <c r="Y355">
        <f>IF($B355="","",IF(OR($R355=TRUE(),$R355="TRUE"),1,0))</f>
        <v/>
      </c>
      <c r="Z355">
        <f>IF($W355=1,IFERROR(IF(VALUE($B355)&lt;100000000,VALUE($B355),1000000000),IFERROR(IF(VALUE(MID($B355,2,20))&lt;100000000,VALUE(MID($B355,2,20)),1000000000),1000000000))+ROW()/100000,"")</f>
        <v/>
      </c>
    </row>
    <row r="356">
      <c r="A356">
        <f>IF($B356="","",IFERROR(IF(INDEX('Per Invoice'!$A$2:$A$201,MATCH($B356,'Per Invoice'!$B$2:$B$201,0))=0,"",INDEX('Per Invoice'!$A$2:$A$201,MATCH($B356,'Per Invoice'!$B$2:$B$201,0))),""))</f>
        <v/>
      </c>
      <c r="G356" s="7">
        <f>IF($B356="","",F356*L356/100)</f>
        <v/>
      </c>
      <c r="J356" s="7" t="n"/>
      <c r="L356" s="7" t="n"/>
      <c r="M356" s="7" t="n"/>
      <c r="P356" s="11" t="n"/>
      <c r="S356">
        <f>IF($B356="","",IF($Y356=1,Settings!$C$6,Settings!$C$7)*1)</f>
        <v/>
      </c>
      <c r="T356" s="7">
        <f>IF($B356="","",S356*L356)</f>
        <v/>
      </c>
      <c r="U356" s="7">
        <f>IF($B356="","",L356-T356)</f>
        <v/>
      </c>
      <c r="V356" s="7">
        <f>IF($B356="","",U356-G356)</f>
        <v/>
      </c>
      <c r="W356">
        <f>IF($B356="","",IF(COUNTIF($B$2:$B356,$B356)=1,1,0))</f>
        <v/>
      </c>
      <c r="X356">
        <f>IF($W356=1,SUMPRODUCT(--($Z$2:$Z$501&lt;$Z356))+1,"")</f>
        <v/>
      </c>
      <c r="Y356">
        <f>IF($B356="","",IF(OR($R356=TRUE(),$R356="TRUE"),1,0))</f>
        <v/>
      </c>
      <c r="Z356">
        <f>IF($W356=1,IFERROR(IF(VALUE($B356)&lt;100000000,VALUE($B356),1000000000),IFERROR(IF(VALUE(MID($B356,2,20))&lt;100000000,VALUE(MID($B356,2,20)),1000000000),1000000000))+ROW()/100000,"")</f>
        <v/>
      </c>
    </row>
    <row r="357">
      <c r="A357">
        <f>IF($B357="","",IFERROR(IF(INDEX('Per Invoice'!$A$2:$A$201,MATCH($B357,'Per Invoice'!$B$2:$B$201,0))=0,"",INDEX('Per Invoice'!$A$2:$A$201,MATCH($B357,'Per Invoice'!$B$2:$B$201,0))),""))</f>
        <v/>
      </c>
      <c r="G357" s="7">
        <f>IF($B357="","",F357*L357/100)</f>
        <v/>
      </c>
      <c r="J357" s="7" t="n"/>
      <c r="L357" s="7" t="n"/>
      <c r="M357" s="7" t="n"/>
      <c r="P357" s="11" t="n"/>
      <c r="S357">
        <f>IF($B357="","",IF($Y357=1,Settings!$C$6,Settings!$C$7)*1)</f>
        <v/>
      </c>
      <c r="T357" s="7">
        <f>IF($B357="","",S357*L357)</f>
        <v/>
      </c>
      <c r="U357" s="7">
        <f>IF($B357="","",L357-T357)</f>
        <v/>
      </c>
      <c r="V357" s="7">
        <f>IF($B357="","",U357-G357)</f>
        <v/>
      </c>
      <c r="W357">
        <f>IF($B357="","",IF(COUNTIF($B$2:$B357,$B357)=1,1,0))</f>
        <v/>
      </c>
      <c r="X357">
        <f>IF($W357=1,SUMPRODUCT(--($Z$2:$Z$501&lt;$Z357))+1,"")</f>
        <v/>
      </c>
      <c r="Y357">
        <f>IF($B357="","",IF(OR($R357=TRUE(),$R357="TRUE"),1,0))</f>
        <v/>
      </c>
      <c r="Z357">
        <f>IF($W357=1,IFERROR(IF(VALUE($B357)&lt;100000000,VALUE($B357),1000000000),IFERROR(IF(VALUE(MID($B357,2,20))&lt;100000000,VALUE(MID($B357,2,20)),1000000000),1000000000))+ROW()/100000,"")</f>
        <v/>
      </c>
    </row>
    <row r="358">
      <c r="A358">
        <f>IF($B358="","",IFERROR(IF(INDEX('Per Invoice'!$A$2:$A$201,MATCH($B358,'Per Invoice'!$B$2:$B$201,0))=0,"",INDEX('Per Invoice'!$A$2:$A$201,MATCH($B358,'Per Invoice'!$B$2:$B$201,0))),""))</f>
        <v/>
      </c>
      <c r="G358" s="7">
        <f>IF($B358="","",F358*L358/100)</f>
        <v/>
      </c>
      <c r="J358" s="7" t="n"/>
      <c r="L358" s="7" t="n"/>
      <c r="M358" s="7" t="n"/>
      <c r="P358" s="11" t="n"/>
      <c r="S358">
        <f>IF($B358="","",IF($Y358=1,Settings!$C$6,Settings!$C$7)*1)</f>
        <v/>
      </c>
      <c r="T358" s="7">
        <f>IF($B358="","",S358*L358)</f>
        <v/>
      </c>
      <c r="U358" s="7">
        <f>IF($B358="","",L358-T358)</f>
        <v/>
      </c>
      <c r="V358" s="7">
        <f>IF($B358="","",U358-G358)</f>
        <v/>
      </c>
      <c r="W358">
        <f>IF($B358="","",IF(COUNTIF($B$2:$B358,$B358)=1,1,0))</f>
        <v/>
      </c>
      <c r="X358">
        <f>IF($W358=1,SUMPRODUCT(--($Z$2:$Z$501&lt;$Z358))+1,"")</f>
        <v/>
      </c>
      <c r="Y358">
        <f>IF($B358="","",IF(OR($R358=TRUE(),$R358="TRUE"),1,0))</f>
        <v/>
      </c>
      <c r="Z358">
        <f>IF($W358=1,IFERROR(IF(VALUE($B358)&lt;100000000,VALUE($B358),1000000000),IFERROR(IF(VALUE(MID($B358,2,20))&lt;100000000,VALUE(MID($B358,2,20)),1000000000),1000000000))+ROW()/100000,"")</f>
        <v/>
      </c>
    </row>
    <row r="359">
      <c r="A359">
        <f>IF($B359="","",IFERROR(IF(INDEX('Per Invoice'!$A$2:$A$201,MATCH($B359,'Per Invoice'!$B$2:$B$201,0))=0,"",INDEX('Per Invoice'!$A$2:$A$201,MATCH($B359,'Per Invoice'!$B$2:$B$201,0))),""))</f>
        <v/>
      </c>
      <c r="G359" s="7">
        <f>IF($B359="","",F359*L359/100)</f>
        <v/>
      </c>
      <c r="J359" s="7" t="n"/>
      <c r="L359" s="7" t="n"/>
      <c r="M359" s="7" t="n"/>
      <c r="P359" s="11" t="n"/>
      <c r="S359">
        <f>IF($B359="","",IF($Y359=1,Settings!$C$6,Settings!$C$7)*1)</f>
        <v/>
      </c>
      <c r="T359" s="7">
        <f>IF($B359="","",S359*L359)</f>
        <v/>
      </c>
      <c r="U359" s="7">
        <f>IF($B359="","",L359-T359)</f>
        <v/>
      </c>
      <c r="V359" s="7">
        <f>IF($B359="","",U359-G359)</f>
        <v/>
      </c>
      <c r="W359">
        <f>IF($B359="","",IF(COUNTIF($B$2:$B359,$B359)=1,1,0))</f>
        <v/>
      </c>
      <c r="X359">
        <f>IF($W359=1,SUMPRODUCT(--($Z$2:$Z$501&lt;$Z359))+1,"")</f>
        <v/>
      </c>
      <c r="Y359">
        <f>IF($B359="","",IF(OR($R359=TRUE(),$R359="TRUE"),1,0))</f>
        <v/>
      </c>
      <c r="Z359">
        <f>IF($W359=1,IFERROR(IF(VALUE($B359)&lt;100000000,VALUE($B359),1000000000),IFERROR(IF(VALUE(MID($B359,2,20))&lt;100000000,VALUE(MID($B359,2,20)),1000000000),1000000000))+ROW()/100000,"")</f>
        <v/>
      </c>
    </row>
    <row r="360">
      <c r="A360">
        <f>IF($B360="","",IFERROR(IF(INDEX('Per Invoice'!$A$2:$A$201,MATCH($B360,'Per Invoice'!$B$2:$B$201,0))=0,"",INDEX('Per Invoice'!$A$2:$A$201,MATCH($B360,'Per Invoice'!$B$2:$B$201,0))),""))</f>
        <v/>
      </c>
      <c r="G360" s="7">
        <f>IF($B360="","",F360*L360/100)</f>
        <v/>
      </c>
      <c r="J360" s="7" t="n"/>
      <c r="L360" s="7" t="n"/>
      <c r="M360" s="7" t="n"/>
      <c r="P360" s="11" t="n"/>
      <c r="S360">
        <f>IF($B360="","",IF($Y360=1,Settings!$C$6,Settings!$C$7)*1)</f>
        <v/>
      </c>
      <c r="T360" s="7">
        <f>IF($B360="","",S360*L360)</f>
        <v/>
      </c>
      <c r="U360" s="7">
        <f>IF($B360="","",L360-T360)</f>
        <v/>
      </c>
      <c r="V360" s="7">
        <f>IF($B360="","",U360-G360)</f>
        <v/>
      </c>
      <c r="W360">
        <f>IF($B360="","",IF(COUNTIF($B$2:$B360,$B360)=1,1,0))</f>
        <v/>
      </c>
      <c r="X360">
        <f>IF($W360=1,SUMPRODUCT(--($Z$2:$Z$501&lt;$Z360))+1,"")</f>
        <v/>
      </c>
      <c r="Y360">
        <f>IF($B360="","",IF(OR($R360=TRUE(),$R360="TRUE"),1,0))</f>
        <v/>
      </c>
      <c r="Z360">
        <f>IF($W360=1,IFERROR(IF(VALUE($B360)&lt;100000000,VALUE($B360),1000000000),IFERROR(IF(VALUE(MID($B360,2,20))&lt;100000000,VALUE(MID($B360,2,20)),1000000000),1000000000))+ROW()/100000,"")</f>
        <v/>
      </c>
    </row>
    <row r="361">
      <c r="A361">
        <f>IF($B361="","",IFERROR(IF(INDEX('Per Invoice'!$A$2:$A$201,MATCH($B361,'Per Invoice'!$B$2:$B$201,0))=0,"",INDEX('Per Invoice'!$A$2:$A$201,MATCH($B361,'Per Invoice'!$B$2:$B$201,0))),""))</f>
        <v/>
      </c>
      <c r="G361" s="7">
        <f>IF($B361="","",F361*L361/100)</f>
        <v/>
      </c>
      <c r="J361" s="7" t="n"/>
      <c r="L361" s="7" t="n"/>
      <c r="M361" s="7" t="n"/>
      <c r="P361" s="11" t="n"/>
      <c r="S361">
        <f>IF($B361="","",IF($Y361=1,Settings!$C$6,Settings!$C$7)*1)</f>
        <v/>
      </c>
      <c r="T361" s="7">
        <f>IF($B361="","",S361*L361)</f>
        <v/>
      </c>
      <c r="U361" s="7">
        <f>IF($B361="","",L361-T361)</f>
        <v/>
      </c>
      <c r="V361" s="7">
        <f>IF($B361="","",U361-G361)</f>
        <v/>
      </c>
      <c r="W361">
        <f>IF($B361="","",IF(COUNTIF($B$2:$B361,$B361)=1,1,0))</f>
        <v/>
      </c>
      <c r="X361">
        <f>IF($W361=1,SUMPRODUCT(--($Z$2:$Z$501&lt;$Z361))+1,"")</f>
        <v/>
      </c>
      <c r="Y361">
        <f>IF($B361="","",IF(OR($R361=TRUE(),$R361="TRUE"),1,0))</f>
        <v/>
      </c>
      <c r="Z361">
        <f>IF($W361=1,IFERROR(IF(VALUE($B361)&lt;100000000,VALUE($B361),1000000000),IFERROR(IF(VALUE(MID($B361,2,20))&lt;100000000,VALUE(MID($B361,2,20)),1000000000),1000000000))+ROW()/100000,"")</f>
        <v/>
      </c>
    </row>
    <row r="362">
      <c r="A362">
        <f>IF($B362="","",IFERROR(IF(INDEX('Per Invoice'!$A$2:$A$201,MATCH($B362,'Per Invoice'!$B$2:$B$201,0))=0,"",INDEX('Per Invoice'!$A$2:$A$201,MATCH($B362,'Per Invoice'!$B$2:$B$201,0))),""))</f>
        <v/>
      </c>
      <c r="G362" s="7">
        <f>IF($B362="","",F362*L362/100)</f>
        <v/>
      </c>
      <c r="J362" s="7" t="n"/>
      <c r="L362" s="7" t="n"/>
      <c r="M362" s="7" t="n"/>
      <c r="P362" s="11" t="n"/>
      <c r="S362">
        <f>IF($B362="","",IF($Y362=1,Settings!$C$6,Settings!$C$7)*1)</f>
        <v/>
      </c>
      <c r="T362" s="7">
        <f>IF($B362="","",S362*L362)</f>
        <v/>
      </c>
      <c r="U362" s="7">
        <f>IF($B362="","",L362-T362)</f>
        <v/>
      </c>
      <c r="V362" s="7">
        <f>IF($B362="","",U362-G362)</f>
        <v/>
      </c>
      <c r="W362">
        <f>IF($B362="","",IF(COUNTIF($B$2:$B362,$B362)=1,1,0))</f>
        <v/>
      </c>
      <c r="X362">
        <f>IF($W362=1,SUMPRODUCT(--($Z$2:$Z$501&lt;$Z362))+1,"")</f>
        <v/>
      </c>
      <c r="Y362">
        <f>IF($B362="","",IF(OR($R362=TRUE(),$R362="TRUE"),1,0))</f>
        <v/>
      </c>
      <c r="Z362">
        <f>IF($W362=1,IFERROR(IF(VALUE($B362)&lt;100000000,VALUE($B362),1000000000),IFERROR(IF(VALUE(MID($B362,2,20))&lt;100000000,VALUE(MID($B362,2,20)),1000000000),1000000000))+ROW()/100000,"")</f>
        <v/>
      </c>
    </row>
    <row r="363">
      <c r="A363">
        <f>IF($B363="","",IFERROR(IF(INDEX('Per Invoice'!$A$2:$A$201,MATCH($B363,'Per Invoice'!$B$2:$B$201,0))=0,"",INDEX('Per Invoice'!$A$2:$A$201,MATCH($B363,'Per Invoice'!$B$2:$B$201,0))),""))</f>
        <v/>
      </c>
      <c r="G363" s="7">
        <f>IF($B363="","",F363*L363/100)</f>
        <v/>
      </c>
      <c r="J363" s="7" t="n"/>
      <c r="L363" s="7" t="n"/>
      <c r="M363" s="7" t="n"/>
      <c r="P363" s="11" t="n"/>
      <c r="S363">
        <f>IF($B363="","",IF($Y363=1,Settings!$C$6,Settings!$C$7)*1)</f>
        <v/>
      </c>
      <c r="T363" s="7">
        <f>IF($B363="","",S363*L363)</f>
        <v/>
      </c>
      <c r="U363" s="7">
        <f>IF($B363="","",L363-T363)</f>
        <v/>
      </c>
      <c r="V363" s="7">
        <f>IF($B363="","",U363-G363)</f>
        <v/>
      </c>
      <c r="W363">
        <f>IF($B363="","",IF(COUNTIF($B$2:$B363,$B363)=1,1,0))</f>
        <v/>
      </c>
      <c r="X363">
        <f>IF($W363=1,SUMPRODUCT(--($Z$2:$Z$501&lt;$Z363))+1,"")</f>
        <v/>
      </c>
      <c r="Y363">
        <f>IF($B363="","",IF(OR($R363=TRUE(),$R363="TRUE"),1,0))</f>
        <v/>
      </c>
      <c r="Z363">
        <f>IF($W363=1,IFERROR(IF(VALUE($B363)&lt;100000000,VALUE($B363),1000000000),IFERROR(IF(VALUE(MID($B363,2,20))&lt;100000000,VALUE(MID($B363,2,20)),1000000000),1000000000))+ROW()/100000,"")</f>
        <v/>
      </c>
    </row>
    <row r="364">
      <c r="A364">
        <f>IF($B364="","",IFERROR(IF(INDEX('Per Invoice'!$A$2:$A$201,MATCH($B364,'Per Invoice'!$B$2:$B$201,0))=0,"",INDEX('Per Invoice'!$A$2:$A$201,MATCH($B364,'Per Invoice'!$B$2:$B$201,0))),""))</f>
        <v/>
      </c>
      <c r="G364" s="7">
        <f>IF($B364="","",F364*L364/100)</f>
        <v/>
      </c>
      <c r="J364" s="7" t="n"/>
      <c r="L364" s="7" t="n"/>
      <c r="M364" s="7" t="n"/>
      <c r="P364" s="11" t="n"/>
      <c r="S364">
        <f>IF($B364="","",IF($Y364=1,Settings!$C$6,Settings!$C$7)*1)</f>
        <v/>
      </c>
      <c r="T364" s="7">
        <f>IF($B364="","",S364*L364)</f>
        <v/>
      </c>
      <c r="U364" s="7">
        <f>IF($B364="","",L364-T364)</f>
        <v/>
      </c>
      <c r="V364" s="7">
        <f>IF($B364="","",U364-G364)</f>
        <v/>
      </c>
      <c r="W364">
        <f>IF($B364="","",IF(COUNTIF($B$2:$B364,$B364)=1,1,0))</f>
        <v/>
      </c>
      <c r="X364">
        <f>IF($W364=1,SUMPRODUCT(--($Z$2:$Z$501&lt;$Z364))+1,"")</f>
        <v/>
      </c>
      <c r="Y364">
        <f>IF($B364="","",IF(OR($R364=TRUE(),$R364="TRUE"),1,0))</f>
        <v/>
      </c>
      <c r="Z364">
        <f>IF($W364=1,IFERROR(IF(VALUE($B364)&lt;100000000,VALUE($B364),1000000000),IFERROR(IF(VALUE(MID($B364,2,20))&lt;100000000,VALUE(MID($B364,2,20)),1000000000),1000000000))+ROW()/100000,"")</f>
        <v/>
      </c>
    </row>
    <row r="365">
      <c r="A365">
        <f>IF($B365="","",IFERROR(IF(INDEX('Per Invoice'!$A$2:$A$201,MATCH($B365,'Per Invoice'!$B$2:$B$201,0))=0,"",INDEX('Per Invoice'!$A$2:$A$201,MATCH($B365,'Per Invoice'!$B$2:$B$201,0))),""))</f>
        <v/>
      </c>
      <c r="G365" s="7">
        <f>IF($B365="","",F365*L365/100)</f>
        <v/>
      </c>
      <c r="J365" s="7" t="n"/>
      <c r="L365" s="7" t="n"/>
      <c r="M365" s="7" t="n"/>
      <c r="P365" s="11" t="n"/>
      <c r="S365">
        <f>IF($B365="","",IF($Y365=1,Settings!$C$6,Settings!$C$7)*1)</f>
        <v/>
      </c>
      <c r="T365" s="7">
        <f>IF($B365="","",S365*L365)</f>
        <v/>
      </c>
      <c r="U365" s="7">
        <f>IF($B365="","",L365-T365)</f>
        <v/>
      </c>
      <c r="V365" s="7">
        <f>IF($B365="","",U365-G365)</f>
        <v/>
      </c>
      <c r="W365">
        <f>IF($B365="","",IF(COUNTIF($B$2:$B365,$B365)=1,1,0))</f>
        <v/>
      </c>
      <c r="X365">
        <f>IF($W365=1,SUMPRODUCT(--($Z$2:$Z$501&lt;$Z365))+1,"")</f>
        <v/>
      </c>
      <c r="Y365">
        <f>IF($B365="","",IF(OR($R365=TRUE(),$R365="TRUE"),1,0))</f>
        <v/>
      </c>
      <c r="Z365">
        <f>IF($W365=1,IFERROR(IF(VALUE($B365)&lt;100000000,VALUE($B365),1000000000),IFERROR(IF(VALUE(MID($B365,2,20))&lt;100000000,VALUE(MID($B365,2,20)),1000000000),1000000000))+ROW()/100000,"")</f>
        <v/>
      </c>
    </row>
    <row r="366">
      <c r="A366">
        <f>IF($B366="","",IFERROR(IF(INDEX('Per Invoice'!$A$2:$A$201,MATCH($B366,'Per Invoice'!$B$2:$B$201,0))=0,"",INDEX('Per Invoice'!$A$2:$A$201,MATCH($B366,'Per Invoice'!$B$2:$B$201,0))),""))</f>
        <v/>
      </c>
      <c r="G366" s="7">
        <f>IF($B366="","",F366*L366/100)</f>
        <v/>
      </c>
      <c r="J366" s="7" t="n"/>
      <c r="L366" s="7" t="n"/>
      <c r="M366" s="7" t="n"/>
      <c r="P366" s="11" t="n"/>
      <c r="S366">
        <f>IF($B366="","",IF($Y366=1,Settings!$C$6,Settings!$C$7)*1)</f>
        <v/>
      </c>
      <c r="T366" s="7">
        <f>IF($B366="","",S366*L366)</f>
        <v/>
      </c>
      <c r="U366" s="7">
        <f>IF($B366="","",L366-T366)</f>
        <v/>
      </c>
      <c r="V366" s="7">
        <f>IF($B366="","",U366-G366)</f>
        <v/>
      </c>
      <c r="W366">
        <f>IF($B366="","",IF(COUNTIF($B$2:$B366,$B366)=1,1,0))</f>
        <v/>
      </c>
      <c r="X366">
        <f>IF($W366=1,SUMPRODUCT(--($Z$2:$Z$501&lt;$Z366))+1,"")</f>
        <v/>
      </c>
      <c r="Y366">
        <f>IF($B366="","",IF(OR($R366=TRUE(),$R366="TRUE"),1,0))</f>
        <v/>
      </c>
      <c r="Z366">
        <f>IF($W366=1,IFERROR(IF(VALUE($B366)&lt;100000000,VALUE($B366),1000000000),IFERROR(IF(VALUE(MID($B366,2,20))&lt;100000000,VALUE(MID($B366,2,20)),1000000000),1000000000))+ROW()/100000,"")</f>
        <v/>
      </c>
    </row>
    <row r="367">
      <c r="A367">
        <f>IF($B367="","",IFERROR(IF(INDEX('Per Invoice'!$A$2:$A$201,MATCH($B367,'Per Invoice'!$B$2:$B$201,0))=0,"",INDEX('Per Invoice'!$A$2:$A$201,MATCH($B367,'Per Invoice'!$B$2:$B$201,0))),""))</f>
        <v/>
      </c>
      <c r="G367" s="7">
        <f>IF($B367="","",F367*L367/100)</f>
        <v/>
      </c>
      <c r="J367" s="7" t="n"/>
      <c r="L367" s="7" t="n"/>
      <c r="M367" s="7" t="n"/>
      <c r="P367" s="11" t="n"/>
      <c r="S367">
        <f>IF($B367="","",IF($Y367=1,Settings!$C$6,Settings!$C$7)*1)</f>
        <v/>
      </c>
      <c r="T367" s="7">
        <f>IF($B367="","",S367*L367)</f>
        <v/>
      </c>
      <c r="U367" s="7">
        <f>IF($B367="","",L367-T367)</f>
        <v/>
      </c>
      <c r="V367" s="7">
        <f>IF($B367="","",U367-G367)</f>
        <v/>
      </c>
      <c r="W367">
        <f>IF($B367="","",IF(COUNTIF($B$2:$B367,$B367)=1,1,0))</f>
        <v/>
      </c>
      <c r="X367">
        <f>IF($W367=1,SUMPRODUCT(--($Z$2:$Z$501&lt;$Z367))+1,"")</f>
        <v/>
      </c>
      <c r="Y367">
        <f>IF($B367="","",IF(OR($R367=TRUE(),$R367="TRUE"),1,0))</f>
        <v/>
      </c>
      <c r="Z367">
        <f>IF($W367=1,IFERROR(IF(VALUE($B367)&lt;100000000,VALUE($B367),1000000000),IFERROR(IF(VALUE(MID($B367,2,20))&lt;100000000,VALUE(MID($B367,2,20)),1000000000),1000000000))+ROW()/100000,"")</f>
        <v/>
      </c>
    </row>
    <row r="368">
      <c r="A368">
        <f>IF($B368="","",IFERROR(IF(INDEX('Per Invoice'!$A$2:$A$201,MATCH($B368,'Per Invoice'!$B$2:$B$201,0))=0,"",INDEX('Per Invoice'!$A$2:$A$201,MATCH($B368,'Per Invoice'!$B$2:$B$201,0))),""))</f>
        <v/>
      </c>
      <c r="G368" s="7">
        <f>IF($B368="","",F368*L368/100)</f>
        <v/>
      </c>
      <c r="J368" s="7" t="n"/>
      <c r="L368" s="7" t="n"/>
      <c r="M368" s="7" t="n"/>
      <c r="P368" s="11" t="n"/>
      <c r="S368">
        <f>IF($B368="","",IF($Y368=1,Settings!$C$6,Settings!$C$7)*1)</f>
        <v/>
      </c>
      <c r="T368" s="7">
        <f>IF($B368="","",S368*L368)</f>
        <v/>
      </c>
      <c r="U368" s="7">
        <f>IF($B368="","",L368-T368)</f>
        <v/>
      </c>
      <c r="V368" s="7">
        <f>IF($B368="","",U368-G368)</f>
        <v/>
      </c>
      <c r="W368">
        <f>IF($B368="","",IF(COUNTIF($B$2:$B368,$B368)=1,1,0))</f>
        <v/>
      </c>
      <c r="X368">
        <f>IF($W368=1,SUMPRODUCT(--($Z$2:$Z$501&lt;$Z368))+1,"")</f>
        <v/>
      </c>
      <c r="Y368">
        <f>IF($B368="","",IF(OR($R368=TRUE(),$R368="TRUE"),1,0))</f>
        <v/>
      </c>
      <c r="Z368">
        <f>IF($W368=1,IFERROR(IF(VALUE($B368)&lt;100000000,VALUE($B368),1000000000),IFERROR(IF(VALUE(MID($B368,2,20))&lt;100000000,VALUE(MID($B368,2,20)),1000000000),1000000000))+ROW()/100000,"")</f>
        <v/>
      </c>
    </row>
    <row r="369">
      <c r="A369">
        <f>IF($B369="","",IFERROR(IF(INDEX('Per Invoice'!$A$2:$A$201,MATCH($B369,'Per Invoice'!$B$2:$B$201,0))=0,"",INDEX('Per Invoice'!$A$2:$A$201,MATCH($B369,'Per Invoice'!$B$2:$B$201,0))),""))</f>
        <v/>
      </c>
      <c r="G369" s="7">
        <f>IF($B369="","",F369*L369/100)</f>
        <v/>
      </c>
      <c r="J369" s="7" t="n"/>
      <c r="L369" s="7" t="n"/>
      <c r="M369" s="7" t="n"/>
      <c r="P369" s="11" t="n"/>
      <c r="S369">
        <f>IF($B369="","",IF($Y369=1,Settings!$C$6,Settings!$C$7)*1)</f>
        <v/>
      </c>
      <c r="T369" s="7">
        <f>IF($B369="","",S369*L369)</f>
        <v/>
      </c>
      <c r="U369" s="7">
        <f>IF($B369="","",L369-T369)</f>
        <v/>
      </c>
      <c r="V369" s="7">
        <f>IF($B369="","",U369-G369)</f>
        <v/>
      </c>
      <c r="W369">
        <f>IF($B369="","",IF(COUNTIF($B$2:$B369,$B369)=1,1,0))</f>
        <v/>
      </c>
      <c r="X369">
        <f>IF($W369=1,SUMPRODUCT(--($Z$2:$Z$501&lt;$Z369))+1,"")</f>
        <v/>
      </c>
      <c r="Y369">
        <f>IF($B369="","",IF(OR($R369=TRUE(),$R369="TRUE"),1,0))</f>
        <v/>
      </c>
      <c r="Z369">
        <f>IF($W369=1,IFERROR(IF(VALUE($B369)&lt;100000000,VALUE($B369),1000000000),IFERROR(IF(VALUE(MID($B369,2,20))&lt;100000000,VALUE(MID($B369,2,20)),1000000000),1000000000))+ROW()/100000,"")</f>
        <v/>
      </c>
    </row>
    <row r="370">
      <c r="A370">
        <f>IF($B370="","",IFERROR(IF(INDEX('Per Invoice'!$A$2:$A$201,MATCH($B370,'Per Invoice'!$B$2:$B$201,0))=0,"",INDEX('Per Invoice'!$A$2:$A$201,MATCH($B370,'Per Invoice'!$B$2:$B$201,0))),""))</f>
        <v/>
      </c>
      <c r="G370" s="7">
        <f>IF($B370="","",F370*L370/100)</f>
        <v/>
      </c>
      <c r="J370" s="7" t="n"/>
      <c r="L370" s="7" t="n"/>
      <c r="M370" s="7" t="n"/>
      <c r="P370" s="11" t="n"/>
      <c r="S370">
        <f>IF($B370="","",IF($Y370=1,Settings!$C$6,Settings!$C$7)*1)</f>
        <v/>
      </c>
      <c r="T370" s="7">
        <f>IF($B370="","",S370*L370)</f>
        <v/>
      </c>
      <c r="U370" s="7">
        <f>IF($B370="","",L370-T370)</f>
        <v/>
      </c>
      <c r="V370" s="7">
        <f>IF($B370="","",U370-G370)</f>
        <v/>
      </c>
      <c r="W370">
        <f>IF($B370="","",IF(COUNTIF($B$2:$B370,$B370)=1,1,0))</f>
        <v/>
      </c>
      <c r="X370">
        <f>IF($W370=1,SUMPRODUCT(--($Z$2:$Z$501&lt;$Z370))+1,"")</f>
        <v/>
      </c>
      <c r="Y370">
        <f>IF($B370="","",IF(OR($R370=TRUE(),$R370="TRUE"),1,0))</f>
        <v/>
      </c>
      <c r="Z370">
        <f>IF($W370=1,IFERROR(IF(VALUE($B370)&lt;100000000,VALUE($B370),1000000000),IFERROR(IF(VALUE(MID($B370,2,20))&lt;100000000,VALUE(MID($B370,2,20)),1000000000),1000000000))+ROW()/100000,"")</f>
        <v/>
      </c>
    </row>
    <row r="371">
      <c r="A371">
        <f>IF($B371="","",IFERROR(IF(INDEX('Per Invoice'!$A$2:$A$201,MATCH($B371,'Per Invoice'!$B$2:$B$201,0))=0,"",INDEX('Per Invoice'!$A$2:$A$201,MATCH($B371,'Per Invoice'!$B$2:$B$201,0))),""))</f>
        <v/>
      </c>
      <c r="G371" s="7">
        <f>IF($B371="","",F371*L371/100)</f>
        <v/>
      </c>
      <c r="J371" s="7" t="n"/>
      <c r="L371" s="7" t="n"/>
      <c r="M371" s="7" t="n"/>
      <c r="P371" s="11" t="n"/>
      <c r="S371">
        <f>IF($B371="","",IF($Y371=1,Settings!$C$6,Settings!$C$7)*1)</f>
        <v/>
      </c>
      <c r="T371" s="7">
        <f>IF($B371="","",S371*L371)</f>
        <v/>
      </c>
      <c r="U371" s="7">
        <f>IF($B371="","",L371-T371)</f>
        <v/>
      </c>
      <c r="V371" s="7">
        <f>IF($B371="","",U371-G371)</f>
        <v/>
      </c>
      <c r="W371">
        <f>IF($B371="","",IF(COUNTIF($B$2:$B371,$B371)=1,1,0))</f>
        <v/>
      </c>
      <c r="X371">
        <f>IF($W371=1,SUMPRODUCT(--($Z$2:$Z$501&lt;$Z371))+1,"")</f>
        <v/>
      </c>
      <c r="Y371">
        <f>IF($B371="","",IF(OR($R371=TRUE(),$R371="TRUE"),1,0))</f>
        <v/>
      </c>
      <c r="Z371">
        <f>IF($W371=1,IFERROR(IF(VALUE($B371)&lt;100000000,VALUE($B371),1000000000),IFERROR(IF(VALUE(MID($B371,2,20))&lt;100000000,VALUE(MID($B371,2,20)),1000000000),1000000000))+ROW()/100000,"")</f>
        <v/>
      </c>
    </row>
    <row r="372">
      <c r="A372">
        <f>IF($B372="","",IFERROR(IF(INDEX('Per Invoice'!$A$2:$A$201,MATCH($B372,'Per Invoice'!$B$2:$B$201,0))=0,"",INDEX('Per Invoice'!$A$2:$A$201,MATCH($B372,'Per Invoice'!$B$2:$B$201,0))),""))</f>
        <v/>
      </c>
      <c r="G372" s="7">
        <f>IF($B372="","",F372*L372/100)</f>
        <v/>
      </c>
      <c r="J372" s="7" t="n"/>
      <c r="L372" s="7" t="n"/>
      <c r="M372" s="7" t="n"/>
      <c r="P372" s="11" t="n"/>
      <c r="S372">
        <f>IF($B372="","",IF($Y372=1,Settings!$C$6,Settings!$C$7)*1)</f>
        <v/>
      </c>
      <c r="T372" s="7">
        <f>IF($B372="","",S372*L372)</f>
        <v/>
      </c>
      <c r="U372" s="7">
        <f>IF($B372="","",L372-T372)</f>
        <v/>
      </c>
      <c r="V372" s="7">
        <f>IF($B372="","",U372-G372)</f>
        <v/>
      </c>
      <c r="W372">
        <f>IF($B372="","",IF(COUNTIF($B$2:$B372,$B372)=1,1,0))</f>
        <v/>
      </c>
      <c r="X372">
        <f>IF($W372=1,SUMPRODUCT(--($Z$2:$Z$501&lt;$Z372))+1,"")</f>
        <v/>
      </c>
      <c r="Y372">
        <f>IF($B372="","",IF(OR($R372=TRUE(),$R372="TRUE"),1,0))</f>
        <v/>
      </c>
      <c r="Z372">
        <f>IF($W372=1,IFERROR(IF(VALUE($B372)&lt;100000000,VALUE($B372),1000000000),IFERROR(IF(VALUE(MID($B372,2,20))&lt;100000000,VALUE(MID($B372,2,20)),1000000000),1000000000))+ROW()/100000,"")</f>
        <v/>
      </c>
    </row>
    <row r="373">
      <c r="A373">
        <f>IF($B373="","",IFERROR(IF(INDEX('Per Invoice'!$A$2:$A$201,MATCH($B373,'Per Invoice'!$B$2:$B$201,0))=0,"",INDEX('Per Invoice'!$A$2:$A$201,MATCH($B373,'Per Invoice'!$B$2:$B$201,0))),""))</f>
        <v/>
      </c>
      <c r="G373" s="7">
        <f>IF($B373="","",F373*L373/100)</f>
        <v/>
      </c>
      <c r="J373" s="7" t="n"/>
      <c r="L373" s="7" t="n"/>
      <c r="M373" s="7" t="n"/>
      <c r="P373" s="11" t="n"/>
      <c r="S373">
        <f>IF($B373="","",IF($Y373=1,Settings!$C$6,Settings!$C$7)*1)</f>
        <v/>
      </c>
      <c r="T373" s="7">
        <f>IF($B373="","",S373*L373)</f>
        <v/>
      </c>
      <c r="U373" s="7">
        <f>IF($B373="","",L373-T373)</f>
        <v/>
      </c>
      <c r="V373" s="7">
        <f>IF($B373="","",U373-G373)</f>
        <v/>
      </c>
      <c r="W373">
        <f>IF($B373="","",IF(COUNTIF($B$2:$B373,$B373)=1,1,0))</f>
        <v/>
      </c>
      <c r="X373">
        <f>IF($W373=1,SUMPRODUCT(--($Z$2:$Z$501&lt;$Z373))+1,"")</f>
        <v/>
      </c>
      <c r="Y373">
        <f>IF($B373="","",IF(OR($R373=TRUE(),$R373="TRUE"),1,0))</f>
        <v/>
      </c>
      <c r="Z373">
        <f>IF($W373=1,IFERROR(IF(VALUE($B373)&lt;100000000,VALUE($B373),1000000000),IFERROR(IF(VALUE(MID($B373,2,20))&lt;100000000,VALUE(MID($B373,2,20)),1000000000),1000000000))+ROW()/100000,"")</f>
        <v/>
      </c>
    </row>
    <row r="374">
      <c r="A374">
        <f>IF($B374="","",IFERROR(IF(INDEX('Per Invoice'!$A$2:$A$201,MATCH($B374,'Per Invoice'!$B$2:$B$201,0))=0,"",INDEX('Per Invoice'!$A$2:$A$201,MATCH($B374,'Per Invoice'!$B$2:$B$201,0))),""))</f>
        <v/>
      </c>
      <c r="G374" s="7">
        <f>IF($B374="","",F374*L374/100)</f>
        <v/>
      </c>
      <c r="J374" s="7" t="n"/>
      <c r="L374" s="7" t="n"/>
      <c r="M374" s="7" t="n"/>
      <c r="P374" s="11" t="n"/>
      <c r="S374">
        <f>IF($B374="","",IF($Y374=1,Settings!$C$6,Settings!$C$7)*1)</f>
        <v/>
      </c>
      <c r="T374" s="7">
        <f>IF($B374="","",S374*L374)</f>
        <v/>
      </c>
      <c r="U374" s="7">
        <f>IF($B374="","",L374-T374)</f>
        <v/>
      </c>
      <c r="V374" s="7">
        <f>IF($B374="","",U374-G374)</f>
        <v/>
      </c>
      <c r="W374">
        <f>IF($B374="","",IF(COUNTIF($B$2:$B374,$B374)=1,1,0))</f>
        <v/>
      </c>
      <c r="X374">
        <f>IF($W374=1,SUMPRODUCT(--($Z$2:$Z$501&lt;$Z374))+1,"")</f>
        <v/>
      </c>
      <c r="Y374">
        <f>IF($B374="","",IF(OR($R374=TRUE(),$R374="TRUE"),1,0))</f>
        <v/>
      </c>
      <c r="Z374">
        <f>IF($W374=1,IFERROR(IF(VALUE($B374)&lt;100000000,VALUE($B374),1000000000),IFERROR(IF(VALUE(MID($B374,2,20))&lt;100000000,VALUE(MID($B374,2,20)),1000000000),1000000000))+ROW()/100000,"")</f>
        <v/>
      </c>
    </row>
    <row r="375">
      <c r="A375">
        <f>IF($B375="","",IFERROR(IF(INDEX('Per Invoice'!$A$2:$A$201,MATCH($B375,'Per Invoice'!$B$2:$B$201,0))=0,"",INDEX('Per Invoice'!$A$2:$A$201,MATCH($B375,'Per Invoice'!$B$2:$B$201,0))),""))</f>
        <v/>
      </c>
      <c r="G375" s="7">
        <f>IF($B375="","",F375*L375/100)</f>
        <v/>
      </c>
      <c r="J375" s="7" t="n"/>
      <c r="L375" s="7" t="n"/>
      <c r="M375" s="7" t="n"/>
      <c r="P375" s="11" t="n"/>
      <c r="S375">
        <f>IF($B375="","",IF($Y375=1,Settings!$C$6,Settings!$C$7)*1)</f>
        <v/>
      </c>
      <c r="T375" s="7">
        <f>IF($B375="","",S375*L375)</f>
        <v/>
      </c>
      <c r="U375" s="7">
        <f>IF($B375="","",L375-T375)</f>
        <v/>
      </c>
      <c r="V375" s="7">
        <f>IF($B375="","",U375-G375)</f>
        <v/>
      </c>
      <c r="W375">
        <f>IF($B375="","",IF(COUNTIF($B$2:$B375,$B375)=1,1,0))</f>
        <v/>
      </c>
      <c r="X375">
        <f>IF($W375=1,SUMPRODUCT(--($Z$2:$Z$501&lt;$Z375))+1,"")</f>
        <v/>
      </c>
      <c r="Y375">
        <f>IF($B375="","",IF(OR($R375=TRUE(),$R375="TRUE"),1,0))</f>
        <v/>
      </c>
      <c r="Z375">
        <f>IF($W375=1,IFERROR(IF(VALUE($B375)&lt;100000000,VALUE($B375),1000000000),IFERROR(IF(VALUE(MID($B375,2,20))&lt;100000000,VALUE(MID($B375,2,20)),1000000000),1000000000))+ROW()/100000,"")</f>
        <v/>
      </c>
    </row>
    <row r="376">
      <c r="A376">
        <f>IF($B376="","",IFERROR(IF(INDEX('Per Invoice'!$A$2:$A$201,MATCH($B376,'Per Invoice'!$B$2:$B$201,0))=0,"",INDEX('Per Invoice'!$A$2:$A$201,MATCH($B376,'Per Invoice'!$B$2:$B$201,0))),""))</f>
        <v/>
      </c>
      <c r="G376" s="7">
        <f>IF($B376="","",F376*L376/100)</f>
        <v/>
      </c>
      <c r="J376" s="7" t="n"/>
      <c r="L376" s="7" t="n"/>
      <c r="M376" s="7" t="n"/>
      <c r="P376" s="11" t="n"/>
      <c r="S376">
        <f>IF($B376="","",IF($Y376=1,Settings!$C$6,Settings!$C$7)*1)</f>
        <v/>
      </c>
      <c r="T376" s="7">
        <f>IF($B376="","",S376*L376)</f>
        <v/>
      </c>
      <c r="U376" s="7">
        <f>IF($B376="","",L376-T376)</f>
        <v/>
      </c>
      <c r="V376" s="7">
        <f>IF($B376="","",U376-G376)</f>
        <v/>
      </c>
      <c r="W376">
        <f>IF($B376="","",IF(COUNTIF($B$2:$B376,$B376)=1,1,0))</f>
        <v/>
      </c>
      <c r="X376">
        <f>IF($W376=1,SUMPRODUCT(--($Z$2:$Z$501&lt;$Z376))+1,"")</f>
        <v/>
      </c>
      <c r="Y376">
        <f>IF($B376="","",IF(OR($R376=TRUE(),$R376="TRUE"),1,0))</f>
        <v/>
      </c>
      <c r="Z376">
        <f>IF($W376=1,IFERROR(IF(VALUE($B376)&lt;100000000,VALUE($B376),1000000000),IFERROR(IF(VALUE(MID($B376,2,20))&lt;100000000,VALUE(MID($B376,2,20)),1000000000),1000000000))+ROW()/100000,"")</f>
        <v/>
      </c>
    </row>
    <row r="377">
      <c r="A377">
        <f>IF($B377="","",IFERROR(IF(INDEX('Per Invoice'!$A$2:$A$201,MATCH($B377,'Per Invoice'!$B$2:$B$201,0))=0,"",INDEX('Per Invoice'!$A$2:$A$201,MATCH($B377,'Per Invoice'!$B$2:$B$201,0))),""))</f>
        <v/>
      </c>
      <c r="G377" s="7">
        <f>IF($B377="","",F377*L377/100)</f>
        <v/>
      </c>
      <c r="J377" s="7" t="n"/>
      <c r="L377" s="7" t="n"/>
      <c r="M377" s="7" t="n"/>
      <c r="P377" s="11" t="n"/>
      <c r="S377">
        <f>IF($B377="","",IF($Y377=1,Settings!$C$6,Settings!$C$7)*1)</f>
        <v/>
      </c>
      <c r="T377" s="7">
        <f>IF($B377="","",S377*L377)</f>
        <v/>
      </c>
      <c r="U377" s="7">
        <f>IF($B377="","",L377-T377)</f>
        <v/>
      </c>
      <c r="V377" s="7">
        <f>IF($B377="","",U377-G377)</f>
        <v/>
      </c>
      <c r="W377">
        <f>IF($B377="","",IF(COUNTIF($B$2:$B377,$B377)=1,1,0))</f>
        <v/>
      </c>
      <c r="X377">
        <f>IF($W377=1,SUMPRODUCT(--($Z$2:$Z$501&lt;$Z377))+1,"")</f>
        <v/>
      </c>
      <c r="Y377">
        <f>IF($B377="","",IF(OR($R377=TRUE(),$R377="TRUE"),1,0))</f>
        <v/>
      </c>
      <c r="Z377">
        <f>IF($W377=1,IFERROR(IF(VALUE($B377)&lt;100000000,VALUE($B377),1000000000),IFERROR(IF(VALUE(MID($B377,2,20))&lt;100000000,VALUE(MID($B377,2,20)),1000000000),1000000000))+ROW()/100000,"")</f>
        <v/>
      </c>
    </row>
    <row r="378">
      <c r="A378">
        <f>IF($B378="","",IFERROR(IF(INDEX('Per Invoice'!$A$2:$A$201,MATCH($B378,'Per Invoice'!$B$2:$B$201,0))=0,"",INDEX('Per Invoice'!$A$2:$A$201,MATCH($B378,'Per Invoice'!$B$2:$B$201,0))),""))</f>
        <v/>
      </c>
      <c r="G378" s="7">
        <f>IF($B378="","",F378*L378/100)</f>
        <v/>
      </c>
      <c r="J378" s="7" t="n"/>
      <c r="L378" s="7" t="n"/>
      <c r="M378" s="7" t="n"/>
      <c r="P378" s="11" t="n"/>
      <c r="S378">
        <f>IF($B378="","",IF($Y378=1,Settings!$C$6,Settings!$C$7)*1)</f>
        <v/>
      </c>
      <c r="T378" s="7">
        <f>IF($B378="","",S378*L378)</f>
        <v/>
      </c>
      <c r="U378" s="7">
        <f>IF($B378="","",L378-T378)</f>
        <v/>
      </c>
      <c r="V378" s="7">
        <f>IF($B378="","",U378-G378)</f>
        <v/>
      </c>
      <c r="W378">
        <f>IF($B378="","",IF(COUNTIF($B$2:$B378,$B378)=1,1,0))</f>
        <v/>
      </c>
      <c r="X378">
        <f>IF($W378=1,SUMPRODUCT(--($Z$2:$Z$501&lt;$Z378))+1,"")</f>
        <v/>
      </c>
      <c r="Y378">
        <f>IF($B378="","",IF(OR($R378=TRUE(),$R378="TRUE"),1,0))</f>
        <v/>
      </c>
      <c r="Z378">
        <f>IF($W378=1,IFERROR(IF(VALUE($B378)&lt;100000000,VALUE($B378),1000000000),IFERROR(IF(VALUE(MID($B378,2,20))&lt;100000000,VALUE(MID($B378,2,20)),1000000000),1000000000))+ROW()/100000,"")</f>
        <v/>
      </c>
    </row>
    <row r="379">
      <c r="A379">
        <f>IF($B379="","",IFERROR(IF(INDEX('Per Invoice'!$A$2:$A$201,MATCH($B379,'Per Invoice'!$B$2:$B$201,0))=0,"",INDEX('Per Invoice'!$A$2:$A$201,MATCH($B379,'Per Invoice'!$B$2:$B$201,0))),""))</f>
        <v/>
      </c>
      <c r="G379" s="7">
        <f>IF($B379="","",F379*L379/100)</f>
        <v/>
      </c>
      <c r="J379" s="7" t="n"/>
      <c r="L379" s="7" t="n"/>
      <c r="M379" s="7" t="n"/>
      <c r="P379" s="11" t="n"/>
      <c r="S379">
        <f>IF($B379="","",IF($Y379=1,Settings!$C$6,Settings!$C$7)*1)</f>
        <v/>
      </c>
      <c r="T379" s="7">
        <f>IF($B379="","",S379*L379)</f>
        <v/>
      </c>
      <c r="U379" s="7">
        <f>IF($B379="","",L379-T379)</f>
        <v/>
      </c>
      <c r="V379" s="7">
        <f>IF($B379="","",U379-G379)</f>
        <v/>
      </c>
      <c r="W379">
        <f>IF($B379="","",IF(COUNTIF($B$2:$B379,$B379)=1,1,0))</f>
        <v/>
      </c>
      <c r="X379">
        <f>IF($W379=1,SUMPRODUCT(--($Z$2:$Z$501&lt;$Z379))+1,"")</f>
        <v/>
      </c>
      <c r="Y379">
        <f>IF($B379="","",IF(OR($R379=TRUE(),$R379="TRUE"),1,0))</f>
        <v/>
      </c>
      <c r="Z379">
        <f>IF($W379=1,IFERROR(IF(VALUE($B379)&lt;100000000,VALUE($B379),1000000000),IFERROR(IF(VALUE(MID($B379,2,20))&lt;100000000,VALUE(MID($B379,2,20)),1000000000),1000000000))+ROW()/100000,"")</f>
        <v/>
      </c>
    </row>
    <row r="380">
      <c r="A380">
        <f>IF($B380="","",IFERROR(IF(INDEX('Per Invoice'!$A$2:$A$201,MATCH($B380,'Per Invoice'!$B$2:$B$201,0))=0,"",INDEX('Per Invoice'!$A$2:$A$201,MATCH($B380,'Per Invoice'!$B$2:$B$201,0))),""))</f>
        <v/>
      </c>
      <c r="G380" s="7">
        <f>IF($B380="","",F380*L380/100)</f>
        <v/>
      </c>
      <c r="J380" s="7" t="n"/>
      <c r="L380" s="7" t="n"/>
      <c r="M380" s="7" t="n"/>
      <c r="P380" s="11" t="n"/>
      <c r="S380">
        <f>IF($B380="","",IF($Y380=1,Settings!$C$6,Settings!$C$7)*1)</f>
        <v/>
      </c>
      <c r="T380" s="7">
        <f>IF($B380="","",S380*L380)</f>
        <v/>
      </c>
      <c r="U380" s="7">
        <f>IF($B380="","",L380-T380)</f>
        <v/>
      </c>
      <c r="V380" s="7">
        <f>IF($B380="","",U380-G380)</f>
        <v/>
      </c>
      <c r="W380">
        <f>IF($B380="","",IF(COUNTIF($B$2:$B380,$B380)=1,1,0))</f>
        <v/>
      </c>
      <c r="X380">
        <f>IF($W380=1,SUMPRODUCT(--($Z$2:$Z$501&lt;$Z380))+1,"")</f>
        <v/>
      </c>
      <c r="Y380">
        <f>IF($B380="","",IF(OR($R380=TRUE(),$R380="TRUE"),1,0))</f>
        <v/>
      </c>
      <c r="Z380">
        <f>IF($W380=1,IFERROR(IF(VALUE($B380)&lt;100000000,VALUE($B380),1000000000),IFERROR(IF(VALUE(MID($B380,2,20))&lt;100000000,VALUE(MID($B380,2,20)),1000000000),1000000000))+ROW()/100000,"")</f>
        <v/>
      </c>
    </row>
    <row r="381">
      <c r="A381">
        <f>IF($B381="","",IFERROR(IF(INDEX('Per Invoice'!$A$2:$A$201,MATCH($B381,'Per Invoice'!$B$2:$B$201,0))=0,"",INDEX('Per Invoice'!$A$2:$A$201,MATCH($B381,'Per Invoice'!$B$2:$B$201,0))),""))</f>
        <v/>
      </c>
      <c r="G381" s="7">
        <f>IF($B381="","",F381*L381/100)</f>
        <v/>
      </c>
      <c r="J381" s="7" t="n"/>
      <c r="L381" s="7" t="n"/>
      <c r="M381" s="7" t="n"/>
      <c r="P381" s="11" t="n"/>
      <c r="S381">
        <f>IF($B381="","",IF($Y381=1,Settings!$C$6,Settings!$C$7)*1)</f>
        <v/>
      </c>
      <c r="T381" s="7">
        <f>IF($B381="","",S381*L381)</f>
        <v/>
      </c>
      <c r="U381" s="7">
        <f>IF($B381="","",L381-T381)</f>
        <v/>
      </c>
      <c r="V381" s="7">
        <f>IF($B381="","",U381-G381)</f>
        <v/>
      </c>
      <c r="W381">
        <f>IF($B381="","",IF(COUNTIF($B$2:$B381,$B381)=1,1,0))</f>
        <v/>
      </c>
      <c r="X381">
        <f>IF($W381=1,SUMPRODUCT(--($Z$2:$Z$501&lt;$Z381))+1,"")</f>
        <v/>
      </c>
      <c r="Y381">
        <f>IF($B381="","",IF(OR($R381=TRUE(),$R381="TRUE"),1,0))</f>
        <v/>
      </c>
      <c r="Z381">
        <f>IF($W381=1,IFERROR(IF(VALUE($B381)&lt;100000000,VALUE($B381),1000000000),IFERROR(IF(VALUE(MID($B381,2,20))&lt;100000000,VALUE(MID($B381,2,20)),1000000000),1000000000))+ROW()/100000,"")</f>
        <v/>
      </c>
    </row>
    <row r="382">
      <c r="A382">
        <f>IF($B382="","",IFERROR(IF(INDEX('Per Invoice'!$A$2:$A$201,MATCH($B382,'Per Invoice'!$B$2:$B$201,0))=0,"",INDEX('Per Invoice'!$A$2:$A$201,MATCH($B382,'Per Invoice'!$B$2:$B$201,0))),""))</f>
        <v/>
      </c>
      <c r="G382" s="7">
        <f>IF($B382="","",F382*L382/100)</f>
        <v/>
      </c>
      <c r="J382" s="7" t="n"/>
      <c r="L382" s="7" t="n"/>
      <c r="M382" s="7" t="n"/>
      <c r="P382" s="11" t="n"/>
      <c r="S382">
        <f>IF($B382="","",IF($Y382=1,Settings!$C$6,Settings!$C$7)*1)</f>
        <v/>
      </c>
      <c r="T382" s="7">
        <f>IF($B382="","",S382*L382)</f>
        <v/>
      </c>
      <c r="U382" s="7">
        <f>IF($B382="","",L382-T382)</f>
        <v/>
      </c>
      <c r="V382" s="7">
        <f>IF($B382="","",U382-G382)</f>
        <v/>
      </c>
      <c r="W382">
        <f>IF($B382="","",IF(COUNTIF($B$2:$B382,$B382)=1,1,0))</f>
        <v/>
      </c>
      <c r="X382">
        <f>IF($W382=1,SUMPRODUCT(--($Z$2:$Z$501&lt;$Z382))+1,"")</f>
        <v/>
      </c>
      <c r="Y382">
        <f>IF($B382="","",IF(OR($R382=TRUE(),$R382="TRUE"),1,0))</f>
        <v/>
      </c>
      <c r="Z382">
        <f>IF($W382=1,IFERROR(IF(VALUE($B382)&lt;100000000,VALUE($B382),1000000000),IFERROR(IF(VALUE(MID($B382,2,20))&lt;100000000,VALUE(MID($B382,2,20)),1000000000),1000000000))+ROW()/100000,"")</f>
        <v/>
      </c>
    </row>
    <row r="383">
      <c r="A383">
        <f>IF($B383="","",IFERROR(IF(INDEX('Per Invoice'!$A$2:$A$201,MATCH($B383,'Per Invoice'!$B$2:$B$201,0))=0,"",INDEX('Per Invoice'!$A$2:$A$201,MATCH($B383,'Per Invoice'!$B$2:$B$201,0))),""))</f>
        <v/>
      </c>
      <c r="G383" s="7">
        <f>IF($B383="","",F383*L383/100)</f>
        <v/>
      </c>
      <c r="J383" s="7" t="n"/>
      <c r="L383" s="7" t="n"/>
      <c r="M383" s="7" t="n"/>
      <c r="P383" s="11" t="n"/>
      <c r="S383">
        <f>IF($B383="","",IF($Y383=1,Settings!$C$6,Settings!$C$7)*1)</f>
        <v/>
      </c>
      <c r="T383" s="7">
        <f>IF($B383="","",S383*L383)</f>
        <v/>
      </c>
      <c r="U383" s="7">
        <f>IF($B383="","",L383-T383)</f>
        <v/>
      </c>
      <c r="V383" s="7">
        <f>IF($B383="","",U383-G383)</f>
        <v/>
      </c>
      <c r="W383">
        <f>IF($B383="","",IF(COUNTIF($B$2:$B383,$B383)=1,1,0))</f>
        <v/>
      </c>
      <c r="X383">
        <f>IF($W383=1,SUMPRODUCT(--($Z$2:$Z$501&lt;$Z383))+1,"")</f>
        <v/>
      </c>
      <c r="Y383">
        <f>IF($B383="","",IF(OR($R383=TRUE(),$R383="TRUE"),1,0))</f>
        <v/>
      </c>
      <c r="Z383">
        <f>IF($W383=1,IFERROR(IF(VALUE($B383)&lt;100000000,VALUE($B383),1000000000),IFERROR(IF(VALUE(MID($B383,2,20))&lt;100000000,VALUE(MID($B383,2,20)),1000000000),1000000000))+ROW()/100000,"")</f>
        <v/>
      </c>
    </row>
    <row r="384">
      <c r="A384">
        <f>IF($B384="","",IFERROR(IF(INDEX('Per Invoice'!$A$2:$A$201,MATCH($B384,'Per Invoice'!$B$2:$B$201,0))=0,"",INDEX('Per Invoice'!$A$2:$A$201,MATCH($B384,'Per Invoice'!$B$2:$B$201,0))),""))</f>
        <v/>
      </c>
      <c r="G384" s="7">
        <f>IF($B384="","",F384*L384/100)</f>
        <v/>
      </c>
      <c r="J384" s="7" t="n"/>
      <c r="L384" s="7" t="n"/>
      <c r="M384" s="7" t="n"/>
      <c r="P384" s="11" t="n"/>
      <c r="S384">
        <f>IF($B384="","",IF($Y384=1,Settings!$C$6,Settings!$C$7)*1)</f>
        <v/>
      </c>
      <c r="T384" s="7">
        <f>IF($B384="","",S384*L384)</f>
        <v/>
      </c>
      <c r="U384" s="7">
        <f>IF($B384="","",L384-T384)</f>
        <v/>
      </c>
      <c r="V384" s="7">
        <f>IF($B384="","",U384-G384)</f>
        <v/>
      </c>
      <c r="W384">
        <f>IF($B384="","",IF(COUNTIF($B$2:$B384,$B384)=1,1,0))</f>
        <v/>
      </c>
      <c r="X384">
        <f>IF($W384=1,SUMPRODUCT(--($Z$2:$Z$501&lt;$Z384))+1,"")</f>
        <v/>
      </c>
      <c r="Y384">
        <f>IF($B384="","",IF(OR($R384=TRUE(),$R384="TRUE"),1,0))</f>
        <v/>
      </c>
      <c r="Z384">
        <f>IF($W384=1,IFERROR(IF(VALUE($B384)&lt;100000000,VALUE($B384),1000000000),IFERROR(IF(VALUE(MID($B384,2,20))&lt;100000000,VALUE(MID($B384,2,20)),1000000000),1000000000))+ROW()/100000,"")</f>
        <v/>
      </c>
    </row>
    <row r="385">
      <c r="A385">
        <f>IF($B385="","",IFERROR(IF(INDEX('Per Invoice'!$A$2:$A$201,MATCH($B385,'Per Invoice'!$B$2:$B$201,0))=0,"",INDEX('Per Invoice'!$A$2:$A$201,MATCH($B385,'Per Invoice'!$B$2:$B$201,0))),""))</f>
        <v/>
      </c>
      <c r="G385" s="7">
        <f>IF($B385="","",F385*L385/100)</f>
        <v/>
      </c>
      <c r="J385" s="7" t="n"/>
      <c r="L385" s="7" t="n"/>
      <c r="M385" s="7" t="n"/>
      <c r="P385" s="11" t="n"/>
      <c r="S385">
        <f>IF($B385="","",IF($Y385=1,Settings!$C$6,Settings!$C$7)*1)</f>
        <v/>
      </c>
      <c r="T385" s="7">
        <f>IF($B385="","",S385*L385)</f>
        <v/>
      </c>
      <c r="U385" s="7">
        <f>IF($B385="","",L385-T385)</f>
        <v/>
      </c>
      <c r="V385" s="7">
        <f>IF($B385="","",U385-G385)</f>
        <v/>
      </c>
      <c r="W385">
        <f>IF($B385="","",IF(COUNTIF($B$2:$B385,$B385)=1,1,0))</f>
        <v/>
      </c>
      <c r="X385">
        <f>IF($W385=1,SUMPRODUCT(--($Z$2:$Z$501&lt;$Z385))+1,"")</f>
        <v/>
      </c>
      <c r="Y385">
        <f>IF($B385="","",IF(OR($R385=TRUE(),$R385="TRUE"),1,0))</f>
        <v/>
      </c>
      <c r="Z385">
        <f>IF($W385=1,IFERROR(IF(VALUE($B385)&lt;100000000,VALUE($B385),1000000000),IFERROR(IF(VALUE(MID($B385,2,20))&lt;100000000,VALUE(MID($B385,2,20)),1000000000),1000000000))+ROW()/100000,"")</f>
        <v/>
      </c>
    </row>
    <row r="386">
      <c r="A386">
        <f>IF($B386="","",IFERROR(IF(INDEX('Per Invoice'!$A$2:$A$201,MATCH($B386,'Per Invoice'!$B$2:$B$201,0))=0,"",INDEX('Per Invoice'!$A$2:$A$201,MATCH($B386,'Per Invoice'!$B$2:$B$201,0))),""))</f>
        <v/>
      </c>
      <c r="G386" s="7">
        <f>IF($B386="","",F386*L386/100)</f>
        <v/>
      </c>
      <c r="J386" s="7" t="n"/>
      <c r="L386" s="7" t="n"/>
      <c r="M386" s="7" t="n"/>
      <c r="P386" s="11" t="n"/>
      <c r="S386">
        <f>IF($B386="","",IF($Y386=1,Settings!$C$6,Settings!$C$7)*1)</f>
        <v/>
      </c>
      <c r="T386" s="7">
        <f>IF($B386="","",S386*L386)</f>
        <v/>
      </c>
      <c r="U386" s="7">
        <f>IF($B386="","",L386-T386)</f>
        <v/>
      </c>
      <c r="V386" s="7">
        <f>IF($B386="","",U386-G386)</f>
        <v/>
      </c>
      <c r="W386">
        <f>IF($B386="","",IF(COUNTIF($B$2:$B386,$B386)=1,1,0))</f>
        <v/>
      </c>
      <c r="X386">
        <f>IF($W386=1,SUMPRODUCT(--($Z$2:$Z$501&lt;$Z386))+1,"")</f>
        <v/>
      </c>
      <c r="Y386">
        <f>IF($B386="","",IF(OR($R386=TRUE(),$R386="TRUE"),1,0))</f>
        <v/>
      </c>
      <c r="Z386">
        <f>IF($W386=1,IFERROR(IF(VALUE($B386)&lt;100000000,VALUE($B386),1000000000),IFERROR(IF(VALUE(MID($B386,2,20))&lt;100000000,VALUE(MID($B386,2,20)),1000000000),1000000000))+ROW()/100000,"")</f>
        <v/>
      </c>
    </row>
    <row r="387">
      <c r="A387">
        <f>IF($B387="","",IFERROR(IF(INDEX('Per Invoice'!$A$2:$A$201,MATCH($B387,'Per Invoice'!$B$2:$B$201,0))=0,"",INDEX('Per Invoice'!$A$2:$A$201,MATCH($B387,'Per Invoice'!$B$2:$B$201,0))),""))</f>
        <v/>
      </c>
      <c r="G387" s="7">
        <f>IF($B387="","",F387*L387/100)</f>
        <v/>
      </c>
      <c r="J387" s="7" t="n"/>
      <c r="L387" s="7" t="n"/>
      <c r="M387" s="7" t="n"/>
      <c r="P387" s="11" t="n"/>
      <c r="S387">
        <f>IF($B387="","",IF($Y387=1,Settings!$C$6,Settings!$C$7)*1)</f>
        <v/>
      </c>
      <c r="T387" s="7">
        <f>IF($B387="","",S387*L387)</f>
        <v/>
      </c>
      <c r="U387" s="7">
        <f>IF($B387="","",L387-T387)</f>
        <v/>
      </c>
      <c r="V387" s="7">
        <f>IF($B387="","",U387-G387)</f>
        <v/>
      </c>
      <c r="W387">
        <f>IF($B387="","",IF(COUNTIF($B$2:$B387,$B387)=1,1,0))</f>
        <v/>
      </c>
      <c r="X387">
        <f>IF($W387=1,SUMPRODUCT(--($Z$2:$Z$501&lt;$Z387))+1,"")</f>
        <v/>
      </c>
      <c r="Y387">
        <f>IF($B387="","",IF(OR($R387=TRUE(),$R387="TRUE"),1,0))</f>
        <v/>
      </c>
      <c r="Z387">
        <f>IF($W387=1,IFERROR(IF(VALUE($B387)&lt;100000000,VALUE($B387),1000000000),IFERROR(IF(VALUE(MID($B387,2,20))&lt;100000000,VALUE(MID($B387,2,20)),1000000000),1000000000))+ROW()/100000,"")</f>
        <v/>
      </c>
    </row>
    <row r="388">
      <c r="A388">
        <f>IF($B388="","",IFERROR(IF(INDEX('Per Invoice'!$A$2:$A$201,MATCH($B388,'Per Invoice'!$B$2:$B$201,0))=0,"",INDEX('Per Invoice'!$A$2:$A$201,MATCH($B388,'Per Invoice'!$B$2:$B$201,0))),""))</f>
        <v/>
      </c>
      <c r="G388" s="7">
        <f>IF($B388="","",F388*L388/100)</f>
        <v/>
      </c>
      <c r="J388" s="7" t="n"/>
      <c r="L388" s="7" t="n"/>
      <c r="M388" s="7" t="n"/>
      <c r="P388" s="11" t="n"/>
      <c r="S388">
        <f>IF($B388="","",IF($Y388=1,Settings!$C$6,Settings!$C$7)*1)</f>
        <v/>
      </c>
      <c r="T388" s="7">
        <f>IF($B388="","",S388*L388)</f>
        <v/>
      </c>
      <c r="U388" s="7">
        <f>IF($B388="","",L388-T388)</f>
        <v/>
      </c>
      <c r="V388" s="7">
        <f>IF($B388="","",U388-G388)</f>
        <v/>
      </c>
      <c r="W388">
        <f>IF($B388="","",IF(COUNTIF($B$2:$B388,$B388)=1,1,0))</f>
        <v/>
      </c>
      <c r="X388">
        <f>IF($W388=1,SUMPRODUCT(--($Z$2:$Z$501&lt;$Z388))+1,"")</f>
        <v/>
      </c>
      <c r="Y388">
        <f>IF($B388="","",IF(OR($R388=TRUE(),$R388="TRUE"),1,0))</f>
        <v/>
      </c>
      <c r="Z388">
        <f>IF($W388=1,IFERROR(IF(VALUE($B388)&lt;100000000,VALUE($B388),1000000000),IFERROR(IF(VALUE(MID($B388,2,20))&lt;100000000,VALUE(MID($B388,2,20)),1000000000),1000000000))+ROW()/100000,"")</f>
        <v/>
      </c>
    </row>
    <row r="389">
      <c r="A389">
        <f>IF($B389="","",IFERROR(IF(INDEX('Per Invoice'!$A$2:$A$201,MATCH($B389,'Per Invoice'!$B$2:$B$201,0))=0,"",INDEX('Per Invoice'!$A$2:$A$201,MATCH($B389,'Per Invoice'!$B$2:$B$201,0))),""))</f>
        <v/>
      </c>
      <c r="G389" s="7">
        <f>IF($B389="","",F389*L389/100)</f>
        <v/>
      </c>
      <c r="J389" s="7" t="n"/>
      <c r="L389" s="7" t="n"/>
      <c r="M389" s="7" t="n"/>
      <c r="P389" s="11" t="n"/>
      <c r="S389">
        <f>IF($B389="","",IF($Y389=1,Settings!$C$6,Settings!$C$7)*1)</f>
        <v/>
      </c>
      <c r="T389" s="7">
        <f>IF($B389="","",S389*L389)</f>
        <v/>
      </c>
      <c r="U389" s="7">
        <f>IF($B389="","",L389-T389)</f>
        <v/>
      </c>
      <c r="V389" s="7">
        <f>IF($B389="","",U389-G389)</f>
        <v/>
      </c>
      <c r="W389">
        <f>IF($B389="","",IF(COUNTIF($B$2:$B389,$B389)=1,1,0))</f>
        <v/>
      </c>
      <c r="X389">
        <f>IF($W389=1,SUMPRODUCT(--($Z$2:$Z$501&lt;$Z389))+1,"")</f>
        <v/>
      </c>
      <c r="Y389">
        <f>IF($B389="","",IF(OR($R389=TRUE(),$R389="TRUE"),1,0))</f>
        <v/>
      </c>
      <c r="Z389">
        <f>IF($W389=1,IFERROR(IF(VALUE($B389)&lt;100000000,VALUE($B389),1000000000),IFERROR(IF(VALUE(MID($B389,2,20))&lt;100000000,VALUE(MID($B389,2,20)),1000000000),1000000000))+ROW()/100000,"")</f>
        <v/>
      </c>
    </row>
    <row r="390">
      <c r="A390">
        <f>IF($B390="","",IFERROR(IF(INDEX('Per Invoice'!$A$2:$A$201,MATCH($B390,'Per Invoice'!$B$2:$B$201,0))=0,"",INDEX('Per Invoice'!$A$2:$A$201,MATCH($B390,'Per Invoice'!$B$2:$B$201,0))),""))</f>
        <v/>
      </c>
      <c r="G390" s="7">
        <f>IF($B390="","",F390*L390/100)</f>
        <v/>
      </c>
      <c r="J390" s="7" t="n"/>
      <c r="L390" s="7" t="n"/>
      <c r="M390" s="7" t="n"/>
      <c r="P390" s="11" t="n"/>
      <c r="S390">
        <f>IF($B390="","",IF($Y390=1,Settings!$C$6,Settings!$C$7)*1)</f>
        <v/>
      </c>
      <c r="T390" s="7">
        <f>IF($B390="","",S390*L390)</f>
        <v/>
      </c>
      <c r="U390" s="7">
        <f>IF($B390="","",L390-T390)</f>
        <v/>
      </c>
      <c r="V390" s="7">
        <f>IF($B390="","",U390-G390)</f>
        <v/>
      </c>
      <c r="W390">
        <f>IF($B390="","",IF(COUNTIF($B$2:$B390,$B390)=1,1,0))</f>
        <v/>
      </c>
      <c r="X390">
        <f>IF($W390=1,SUMPRODUCT(--($Z$2:$Z$501&lt;$Z390))+1,"")</f>
        <v/>
      </c>
      <c r="Y390">
        <f>IF($B390="","",IF(OR($R390=TRUE(),$R390="TRUE"),1,0))</f>
        <v/>
      </c>
      <c r="Z390">
        <f>IF($W390=1,IFERROR(IF(VALUE($B390)&lt;100000000,VALUE($B390),1000000000),IFERROR(IF(VALUE(MID($B390,2,20))&lt;100000000,VALUE(MID($B390,2,20)),1000000000),1000000000))+ROW()/100000,"")</f>
        <v/>
      </c>
    </row>
    <row r="391">
      <c r="A391">
        <f>IF($B391="","",IFERROR(IF(INDEX('Per Invoice'!$A$2:$A$201,MATCH($B391,'Per Invoice'!$B$2:$B$201,0))=0,"",INDEX('Per Invoice'!$A$2:$A$201,MATCH($B391,'Per Invoice'!$B$2:$B$201,0))),""))</f>
        <v/>
      </c>
      <c r="G391" s="7">
        <f>IF($B391="","",F391*L391/100)</f>
        <v/>
      </c>
      <c r="J391" s="7" t="n"/>
      <c r="L391" s="7" t="n"/>
      <c r="M391" s="7" t="n"/>
      <c r="P391" s="11" t="n"/>
      <c r="S391">
        <f>IF($B391="","",IF($Y391=1,Settings!$C$6,Settings!$C$7)*1)</f>
        <v/>
      </c>
      <c r="T391" s="7">
        <f>IF($B391="","",S391*L391)</f>
        <v/>
      </c>
      <c r="U391" s="7">
        <f>IF($B391="","",L391-T391)</f>
        <v/>
      </c>
      <c r="V391" s="7">
        <f>IF($B391="","",U391-G391)</f>
        <v/>
      </c>
      <c r="W391">
        <f>IF($B391="","",IF(COUNTIF($B$2:$B391,$B391)=1,1,0))</f>
        <v/>
      </c>
      <c r="X391">
        <f>IF($W391=1,SUMPRODUCT(--($Z$2:$Z$501&lt;$Z391))+1,"")</f>
        <v/>
      </c>
      <c r="Y391">
        <f>IF($B391="","",IF(OR($R391=TRUE(),$R391="TRUE"),1,0))</f>
        <v/>
      </c>
      <c r="Z391">
        <f>IF($W391=1,IFERROR(IF(VALUE($B391)&lt;100000000,VALUE($B391),1000000000),IFERROR(IF(VALUE(MID($B391,2,20))&lt;100000000,VALUE(MID($B391,2,20)),1000000000),1000000000))+ROW()/100000,"")</f>
        <v/>
      </c>
    </row>
    <row r="392">
      <c r="A392">
        <f>IF($B392="","",IFERROR(IF(INDEX('Per Invoice'!$A$2:$A$201,MATCH($B392,'Per Invoice'!$B$2:$B$201,0))=0,"",INDEX('Per Invoice'!$A$2:$A$201,MATCH($B392,'Per Invoice'!$B$2:$B$201,0))),""))</f>
        <v/>
      </c>
      <c r="G392" s="7">
        <f>IF($B392="","",F392*L392/100)</f>
        <v/>
      </c>
      <c r="J392" s="7" t="n"/>
      <c r="L392" s="7" t="n"/>
      <c r="M392" s="7" t="n"/>
      <c r="P392" s="11" t="n"/>
      <c r="S392">
        <f>IF($B392="","",IF($Y392=1,Settings!$C$6,Settings!$C$7)*1)</f>
        <v/>
      </c>
      <c r="T392" s="7">
        <f>IF($B392="","",S392*L392)</f>
        <v/>
      </c>
      <c r="U392" s="7">
        <f>IF($B392="","",L392-T392)</f>
        <v/>
      </c>
      <c r="V392" s="7">
        <f>IF($B392="","",U392-G392)</f>
        <v/>
      </c>
      <c r="W392">
        <f>IF($B392="","",IF(COUNTIF($B$2:$B392,$B392)=1,1,0))</f>
        <v/>
      </c>
      <c r="X392">
        <f>IF($W392=1,SUMPRODUCT(--($Z$2:$Z$501&lt;$Z392))+1,"")</f>
        <v/>
      </c>
      <c r="Y392">
        <f>IF($B392="","",IF(OR($R392=TRUE(),$R392="TRUE"),1,0))</f>
        <v/>
      </c>
      <c r="Z392">
        <f>IF($W392=1,IFERROR(IF(VALUE($B392)&lt;100000000,VALUE($B392),1000000000),IFERROR(IF(VALUE(MID($B392,2,20))&lt;100000000,VALUE(MID($B392,2,20)),1000000000),1000000000))+ROW()/100000,"")</f>
        <v/>
      </c>
    </row>
    <row r="393">
      <c r="A393">
        <f>IF($B393="","",IFERROR(IF(INDEX('Per Invoice'!$A$2:$A$201,MATCH($B393,'Per Invoice'!$B$2:$B$201,0))=0,"",INDEX('Per Invoice'!$A$2:$A$201,MATCH($B393,'Per Invoice'!$B$2:$B$201,0))),""))</f>
        <v/>
      </c>
      <c r="G393" s="7">
        <f>IF($B393="","",F393*L393/100)</f>
        <v/>
      </c>
      <c r="J393" s="7" t="n"/>
      <c r="L393" s="7" t="n"/>
      <c r="M393" s="7" t="n"/>
      <c r="P393" s="11" t="n"/>
      <c r="S393">
        <f>IF($B393="","",IF($Y393=1,Settings!$C$6,Settings!$C$7)*1)</f>
        <v/>
      </c>
      <c r="T393" s="7">
        <f>IF($B393="","",S393*L393)</f>
        <v/>
      </c>
      <c r="U393" s="7">
        <f>IF($B393="","",L393-T393)</f>
        <v/>
      </c>
      <c r="V393" s="7">
        <f>IF($B393="","",U393-G393)</f>
        <v/>
      </c>
      <c r="W393">
        <f>IF($B393="","",IF(COUNTIF($B$2:$B393,$B393)=1,1,0))</f>
        <v/>
      </c>
      <c r="X393">
        <f>IF($W393=1,SUMPRODUCT(--($Z$2:$Z$501&lt;$Z393))+1,"")</f>
        <v/>
      </c>
      <c r="Y393">
        <f>IF($B393="","",IF(OR($R393=TRUE(),$R393="TRUE"),1,0))</f>
        <v/>
      </c>
      <c r="Z393">
        <f>IF($W393=1,IFERROR(IF(VALUE($B393)&lt;100000000,VALUE($B393),1000000000),IFERROR(IF(VALUE(MID($B393,2,20))&lt;100000000,VALUE(MID($B393,2,20)),1000000000),1000000000))+ROW()/100000,"")</f>
        <v/>
      </c>
    </row>
    <row r="394">
      <c r="A394">
        <f>IF($B394="","",IFERROR(IF(INDEX('Per Invoice'!$A$2:$A$201,MATCH($B394,'Per Invoice'!$B$2:$B$201,0))=0,"",INDEX('Per Invoice'!$A$2:$A$201,MATCH($B394,'Per Invoice'!$B$2:$B$201,0))),""))</f>
        <v/>
      </c>
      <c r="G394" s="7">
        <f>IF($B394="","",F394*L394/100)</f>
        <v/>
      </c>
      <c r="J394" s="7" t="n"/>
      <c r="L394" s="7" t="n"/>
      <c r="M394" s="7" t="n"/>
      <c r="P394" s="11" t="n"/>
      <c r="S394">
        <f>IF($B394="","",IF($Y394=1,Settings!$C$6,Settings!$C$7)*1)</f>
        <v/>
      </c>
      <c r="T394" s="7">
        <f>IF($B394="","",S394*L394)</f>
        <v/>
      </c>
      <c r="U394" s="7">
        <f>IF($B394="","",L394-T394)</f>
        <v/>
      </c>
      <c r="V394" s="7">
        <f>IF($B394="","",U394-G394)</f>
        <v/>
      </c>
      <c r="W394">
        <f>IF($B394="","",IF(COUNTIF($B$2:$B394,$B394)=1,1,0))</f>
        <v/>
      </c>
      <c r="X394">
        <f>IF($W394=1,SUMPRODUCT(--($Z$2:$Z$501&lt;$Z394))+1,"")</f>
        <v/>
      </c>
      <c r="Y394">
        <f>IF($B394="","",IF(OR($R394=TRUE(),$R394="TRUE"),1,0))</f>
        <v/>
      </c>
      <c r="Z394">
        <f>IF($W394=1,IFERROR(IF(VALUE($B394)&lt;100000000,VALUE($B394),1000000000),IFERROR(IF(VALUE(MID($B394,2,20))&lt;100000000,VALUE(MID($B394,2,20)),1000000000),1000000000))+ROW()/100000,"")</f>
        <v/>
      </c>
    </row>
    <row r="395">
      <c r="A395">
        <f>IF($B395="","",IFERROR(IF(INDEX('Per Invoice'!$A$2:$A$201,MATCH($B395,'Per Invoice'!$B$2:$B$201,0))=0,"",INDEX('Per Invoice'!$A$2:$A$201,MATCH($B395,'Per Invoice'!$B$2:$B$201,0))),""))</f>
        <v/>
      </c>
      <c r="G395" s="7">
        <f>IF($B395="","",F395*L395/100)</f>
        <v/>
      </c>
      <c r="J395" s="7" t="n"/>
      <c r="L395" s="7" t="n"/>
      <c r="M395" s="7" t="n"/>
      <c r="P395" s="11" t="n"/>
      <c r="S395">
        <f>IF($B395="","",IF($Y395=1,Settings!$C$6,Settings!$C$7)*1)</f>
        <v/>
      </c>
      <c r="T395" s="7">
        <f>IF($B395="","",S395*L395)</f>
        <v/>
      </c>
      <c r="U395" s="7">
        <f>IF($B395="","",L395-T395)</f>
        <v/>
      </c>
      <c r="V395" s="7">
        <f>IF($B395="","",U395-G395)</f>
        <v/>
      </c>
      <c r="W395">
        <f>IF($B395="","",IF(COUNTIF($B$2:$B395,$B395)=1,1,0))</f>
        <v/>
      </c>
      <c r="X395">
        <f>IF($W395=1,SUMPRODUCT(--($Z$2:$Z$501&lt;$Z395))+1,"")</f>
        <v/>
      </c>
      <c r="Y395">
        <f>IF($B395="","",IF(OR($R395=TRUE(),$R395="TRUE"),1,0))</f>
        <v/>
      </c>
      <c r="Z395">
        <f>IF($W395=1,IFERROR(IF(VALUE($B395)&lt;100000000,VALUE($B395),1000000000),IFERROR(IF(VALUE(MID($B395,2,20))&lt;100000000,VALUE(MID($B395,2,20)),1000000000),1000000000))+ROW()/100000,"")</f>
        <v/>
      </c>
    </row>
    <row r="396">
      <c r="A396">
        <f>IF($B396="","",IFERROR(IF(INDEX('Per Invoice'!$A$2:$A$201,MATCH($B396,'Per Invoice'!$B$2:$B$201,0))=0,"",INDEX('Per Invoice'!$A$2:$A$201,MATCH($B396,'Per Invoice'!$B$2:$B$201,0))),""))</f>
        <v/>
      </c>
      <c r="G396" s="7">
        <f>IF($B396="","",F396*L396/100)</f>
        <v/>
      </c>
      <c r="J396" s="7" t="n"/>
      <c r="L396" s="7" t="n"/>
      <c r="M396" s="7" t="n"/>
      <c r="P396" s="11" t="n"/>
      <c r="S396">
        <f>IF($B396="","",IF($Y396=1,Settings!$C$6,Settings!$C$7)*1)</f>
        <v/>
      </c>
      <c r="T396" s="7">
        <f>IF($B396="","",S396*L396)</f>
        <v/>
      </c>
      <c r="U396" s="7">
        <f>IF($B396="","",L396-T396)</f>
        <v/>
      </c>
      <c r="V396" s="7">
        <f>IF($B396="","",U396-G396)</f>
        <v/>
      </c>
      <c r="W396">
        <f>IF($B396="","",IF(COUNTIF($B$2:$B396,$B396)=1,1,0))</f>
        <v/>
      </c>
      <c r="X396">
        <f>IF($W396=1,SUMPRODUCT(--($Z$2:$Z$501&lt;$Z396))+1,"")</f>
        <v/>
      </c>
      <c r="Y396">
        <f>IF($B396="","",IF(OR($R396=TRUE(),$R396="TRUE"),1,0))</f>
        <v/>
      </c>
      <c r="Z396">
        <f>IF($W396=1,IFERROR(IF(VALUE($B396)&lt;100000000,VALUE($B396),1000000000),IFERROR(IF(VALUE(MID($B396,2,20))&lt;100000000,VALUE(MID($B396,2,20)),1000000000),1000000000))+ROW()/100000,"")</f>
        <v/>
      </c>
    </row>
    <row r="397">
      <c r="A397">
        <f>IF($B397="","",IFERROR(IF(INDEX('Per Invoice'!$A$2:$A$201,MATCH($B397,'Per Invoice'!$B$2:$B$201,0))=0,"",INDEX('Per Invoice'!$A$2:$A$201,MATCH($B397,'Per Invoice'!$B$2:$B$201,0))),""))</f>
        <v/>
      </c>
      <c r="G397" s="7">
        <f>IF($B397="","",F397*L397/100)</f>
        <v/>
      </c>
      <c r="J397" s="7" t="n"/>
      <c r="L397" s="7" t="n"/>
      <c r="M397" s="7" t="n"/>
      <c r="P397" s="11" t="n"/>
      <c r="S397">
        <f>IF($B397="","",IF($Y397=1,Settings!$C$6,Settings!$C$7)*1)</f>
        <v/>
      </c>
      <c r="T397" s="7">
        <f>IF($B397="","",S397*L397)</f>
        <v/>
      </c>
      <c r="U397" s="7">
        <f>IF($B397="","",L397-T397)</f>
        <v/>
      </c>
      <c r="V397" s="7">
        <f>IF($B397="","",U397-G397)</f>
        <v/>
      </c>
      <c r="W397">
        <f>IF($B397="","",IF(COUNTIF($B$2:$B397,$B397)=1,1,0))</f>
        <v/>
      </c>
      <c r="X397">
        <f>IF($W397=1,SUMPRODUCT(--($Z$2:$Z$501&lt;$Z397))+1,"")</f>
        <v/>
      </c>
      <c r="Y397">
        <f>IF($B397="","",IF(OR($R397=TRUE(),$R397="TRUE"),1,0))</f>
        <v/>
      </c>
      <c r="Z397">
        <f>IF($W397=1,IFERROR(IF(VALUE($B397)&lt;100000000,VALUE($B397),1000000000),IFERROR(IF(VALUE(MID($B397,2,20))&lt;100000000,VALUE(MID($B397,2,20)),1000000000),1000000000))+ROW()/100000,"")</f>
        <v/>
      </c>
    </row>
    <row r="398">
      <c r="A398">
        <f>IF($B398="","",IFERROR(IF(INDEX('Per Invoice'!$A$2:$A$201,MATCH($B398,'Per Invoice'!$B$2:$B$201,0))=0,"",INDEX('Per Invoice'!$A$2:$A$201,MATCH($B398,'Per Invoice'!$B$2:$B$201,0))),""))</f>
        <v/>
      </c>
      <c r="G398" s="7">
        <f>IF($B398="","",F398*L398/100)</f>
        <v/>
      </c>
      <c r="J398" s="7" t="n"/>
      <c r="L398" s="7" t="n"/>
      <c r="M398" s="7" t="n"/>
      <c r="P398" s="11" t="n"/>
      <c r="S398">
        <f>IF($B398="","",IF($Y398=1,Settings!$C$6,Settings!$C$7)*1)</f>
        <v/>
      </c>
      <c r="T398" s="7">
        <f>IF($B398="","",S398*L398)</f>
        <v/>
      </c>
      <c r="U398" s="7">
        <f>IF($B398="","",L398-T398)</f>
        <v/>
      </c>
      <c r="V398" s="7">
        <f>IF($B398="","",U398-G398)</f>
        <v/>
      </c>
      <c r="W398">
        <f>IF($B398="","",IF(COUNTIF($B$2:$B398,$B398)=1,1,0))</f>
        <v/>
      </c>
      <c r="X398">
        <f>IF($W398=1,SUMPRODUCT(--($Z$2:$Z$501&lt;$Z398))+1,"")</f>
        <v/>
      </c>
      <c r="Y398">
        <f>IF($B398="","",IF(OR($R398=TRUE(),$R398="TRUE"),1,0))</f>
        <v/>
      </c>
      <c r="Z398">
        <f>IF($W398=1,IFERROR(IF(VALUE($B398)&lt;100000000,VALUE($B398),1000000000),IFERROR(IF(VALUE(MID($B398,2,20))&lt;100000000,VALUE(MID($B398,2,20)),1000000000),1000000000))+ROW()/100000,"")</f>
        <v/>
      </c>
    </row>
    <row r="399">
      <c r="A399">
        <f>IF($B399="","",IFERROR(IF(INDEX('Per Invoice'!$A$2:$A$201,MATCH($B399,'Per Invoice'!$B$2:$B$201,0))=0,"",INDEX('Per Invoice'!$A$2:$A$201,MATCH($B399,'Per Invoice'!$B$2:$B$201,0))),""))</f>
        <v/>
      </c>
      <c r="G399" s="7">
        <f>IF($B399="","",F399*L399/100)</f>
        <v/>
      </c>
      <c r="J399" s="7" t="n"/>
      <c r="L399" s="7" t="n"/>
      <c r="M399" s="7" t="n"/>
      <c r="P399" s="11" t="n"/>
      <c r="S399">
        <f>IF($B399="","",IF($Y399=1,Settings!$C$6,Settings!$C$7)*1)</f>
        <v/>
      </c>
      <c r="T399" s="7">
        <f>IF($B399="","",S399*L399)</f>
        <v/>
      </c>
      <c r="U399" s="7">
        <f>IF($B399="","",L399-T399)</f>
        <v/>
      </c>
      <c r="V399" s="7">
        <f>IF($B399="","",U399-G399)</f>
        <v/>
      </c>
      <c r="W399">
        <f>IF($B399="","",IF(COUNTIF($B$2:$B399,$B399)=1,1,0))</f>
        <v/>
      </c>
      <c r="X399">
        <f>IF($W399=1,SUMPRODUCT(--($Z$2:$Z$501&lt;$Z399))+1,"")</f>
        <v/>
      </c>
      <c r="Y399">
        <f>IF($B399="","",IF(OR($R399=TRUE(),$R399="TRUE"),1,0))</f>
        <v/>
      </c>
      <c r="Z399">
        <f>IF($W399=1,IFERROR(IF(VALUE($B399)&lt;100000000,VALUE($B399),1000000000),IFERROR(IF(VALUE(MID($B399,2,20))&lt;100000000,VALUE(MID($B399,2,20)),1000000000),1000000000))+ROW()/100000,"")</f>
        <v/>
      </c>
    </row>
    <row r="400">
      <c r="A400">
        <f>IF($B400="","",IFERROR(IF(INDEX('Per Invoice'!$A$2:$A$201,MATCH($B400,'Per Invoice'!$B$2:$B$201,0))=0,"",INDEX('Per Invoice'!$A$2:$A$201,MATCH($B400,'Per Invoice'!$B$2:$B$201,0))),""))</f>
        <v/>
      </c>
      <c r="G400" s="7">
        <f>IF($B400="","",F400*L400/100)</f>
        <v/>
      </c>
      <c r="J400" s="7" t="n"/>
      <c r="L400" s="7" t="n"/>
      <c r="M400" s="7" t="n"/>
      <c r="P400" s="11" t="n"/>
      <c r="S400">
        <f>IF($B400="","",IF($Y400=1,Settings!$C$6,Settings!$C$7)*1)</f>
        <v/>
      </c>
      <c r="T400" s="7">
        <f>IF($B400="","",S400*L400)</f>
        <v/>
      </c>
      <c r="U400" s="7">
        <f>IF($B400="","",L400-T400)</f>
        <v/>
      </c>
      <c r="V400" s="7">
        <f>IF($B400="","",U400-G400)</f>
        <v/>
      </c>
      <c r="W400">
        <f>IF($B400="","",IF(COUNTIF($B$2:$B400,$B400)=1,1,0))</f>
        <v/>
      </c>
      <c r="X400">
        <f>IF($W400=1,SUMPRODUCT(--($Z$2:$Z$501&lt;$Z400))+1,"")</f>
        <v/>
      </c>
      <c r="Y400">
        <f>IF($B400="","",IF(OR($R400=TRUE(),$R400="TRUE"),1,0))</f>
        <v/>
      </c>
      <c r="Z400">
        <f>IF($W400=1,IFERROR(IF(VALUE($B400)&lt;100000000,VALUE($B400),1000000000),IFERROR(IF(VALUE(MID($B400,2,20))&lt;100000000,VALUE(MID($B400,2,20)),1000000000),1000000000))+ROW()/100000,"")</f>
        <v/>
      </c>
    </row>
    <row r="401">
      <c r="A401">
        <f>IF($B401="","",IFERROR(IF(INDEX('Per Invoice'!$A$2:$A$201,MATCH($B401,'Per Invoice'!$B$2:$B$201,0))=0,"",INDEX('Per Invoice'!$A$2:$A$201,MATCH($B401,'Per Invoice'!$B$2:$B$201,0))),""))</f>
        <v/>
      </c>
      <c r="G401" s="7">
        <f>IF($B401="","",F401*L401/100)</f>
        <v/>
      </c>
      <c r="J401" s="7" t="n"/>
      <c r="L401" s="7" t="n"/>
      <c r="M401" s="7" t="n"/>
      <c r="P401" s="11" t="n"/>
      <c r="S401">
        <f>IF($B401="","",IF($Y401=1,Settings!$C$6,Settings!$C$7)*1)</f>
        <v/>
      </c>
      <c r="T401" s="7">
        <f>IF($B401="","",S401*L401)</f>
        <v/>
      </c>
      <c r="U401" s="7">
        <f>IF($B401="","",L401-T401)</f>
        <v/>
      </c>
      <c r="V401" s="7">
        <f>IF($B401="","",U401-G401)</f>
        <v/>
      </c>
      <c r="W401">
        <f>IF($B401="","",IF(COUNTIF($B$2:$B401,$B401)=1,1,0))</f>
        <v/>
      </c>
      <c r="X401">
        <f>IF($W401=1,SUMPRODUCT(--($Z$2:$Z$501&lt;$Z401))+1,"")</f>
        <v/>
      </c>
      <c r="Y401">
        <f>IF($B401="","",IF(OR($R401=TRUE(),$R401="TRUE"),1,0))</f>
        <v/>
      </c>
      <c r="Z401">
        <f>IF($W401=1,IFERROR(IF(VALUE($B401)&lt;100000000,VALUE($B401),1000000000),IFERROR(IF(VALUE(MID($B401,2,20))&lt;100000000,VALUE(MID($B401,2,20)),1000000000),1000000000))+ROW()/100000,"")</f>
        <v/>
      </c>
    </row>
    <row r="402">
      <c r="A402">
        <f>IF($B402="","",IFERROR(IF(INDEX('Per Invoice'!$A$2:$A$201,MATCH($B402,'Per Invoice'!$B$2:$B$201,0))=0,"",INDEX('Per Invoice'!$A$2:$A$201,MATCH($B402,'Per Invoice'!$B$2:$B$201,0))),""))</f>
        <v/>
      </c>
      <c r="G402" s="7">
        <f>IF($B402="","",F402*L402/100)</f>
        <v/>
      </c>
      <c r="J402" s="7" t="n"/>
      <c r="L402" s="7" t="n"/>
      <c r="M402" s="7" t="n"/>
      <c r="P402" s="11" t="n"/>
      <c r="S402">
        <f>IF($B402="","",IF($Y402=1,Settings!$C$6,Settings!$C$7)*1)</f>
        <v/>
      </c>
      <c r="T402" s="7">
        <f>IF($B402="","",S402*L402)</f>
        <v/>
      </c>
      <c r="U402" s="7">
        <f>IF($B402="","",L402-T402)</f>
        <v/>
      </c>
      <c r="V402" s="7">
        <f>IF($B402="","",U402-G402)</f>
        <v/>
      </c>
      <c r="W402">
        <f>IF($B402="","",IF(COUNTIF($B$2:$B402,$B402)=1,1,0))</f>
        <v/>
      </c>
      <c r="X402">
        <f>IF($W402=1,SUMPRODUCT(--($Z$2:$Z$501&lt;$Z402))+1,"")</f>
        <v/>
      </c>
      <c r="Y402">
        <f>IF($B402="","",IF(OR($R402=TRUE(),$R402="TRUE"),1,0))</f>
        <v/>
      </c>
      <c r="Z402">
        <f>IF($W402=1,IFERROR(IF(VALUE($B402)&lt;100000000,VALUE($B402),1000000000),IFERROR(IF(VALUE(MID($B402,2,20))&lt;100000000,VALUE(MID($B402,2,20)),1000000000),1000000000))+ROW()/100000,"")</f>
        <v/>
      </c>
    </row>
    <row r="403">
      <c r="A403">
        <f>IF($B403="","",IFERROR(IF(INDEX('Per Invoice'!$A$2:$A$201,MATCH($B403,'Per Invoice'!$B$2:$B$201,0))=0,"",INDEX('Per Invoice'!$A$2:$A$201,MATCH($B403,'Per Invoice'!$B$2:$B$201,0))),""))</f>
        <v/>
      </c>
      <c r="G403" s="7">
        <f>IF($B403="","",F403*L403/100)</f>
        <v/>
      </c>
      <c r="J403" s="7" t="n"/>
      <c r="L403" s="7" t="n"/>
      <c r="M403" s="7" t="n"/>
      <c r="P403" s="11" t="n"/>
      <c r="S403">
        <f>IF($B403="","",IF($Y403=1,Settings!$C$6,Settings!$C$7)*1)</f>
        <v/>
      </c>
      <c r="T403" s="7">
        <f>IF($B403="","",S403*L403)</f>
        <v/>
      </c>
      <c r="U403" s="7">
        <f>IF($B403="","",L403-T403)</f>
        <v/>
      </c>
      <c r="V403" s="7">
        <f>IF($B403="","",U403-G403)</f>
        <v/>
      </c>
      <c r="W403">
        <f>IF($B403="","",IF(COUNTIF($B$2:$B403,$B403)=1,1,0))</f>
        <v/>
      </c>
      <c r="X403">
        <f>IF($W403=1,SUMPRODUCT(--($Z$2:$Z$501&lt;$Z403))+1,"")</f>
        <v/>
      </c>
      <c r="Y403">
        <f>IF($B403="","",IF(OR($R403=TRUE(),$R403="TRUE"),1,0))</f>
        <v/>
      </c>
      <c r="Z403">
        <f>IF($W403=1,IFERROR(IF(VALUE($B403)&lt;100000000,VALUE($B403),1000000000),IFERROR(IF(VALUE(MID($B403,2,20))&lt;100000000,VALUE(MID($B403,2,20)),1000000000),1000000000))+ROW()/100000,"")</f>
        <v/>
      </c>
    </row>
    <row r="404">
      <c r="A404">
        <f>IF($B404="","",IFERROR(IF(INDEX('Per Invoice'!$A$2:$A$201,MATCH($B404,'Per Invoice'!$B$2:$B$201,0))=0,"",INDEX('Per Invoice'!$A$2:$A$201,MATCH($B404,'Per Invoice'!$B$2:$B$201,0))),""))</f>
        <v/>
      </c>
      <c r="G404" s="7">
        <f>IF($B404="","",F404*L404/100)</f>
        <v/>
      </c>
      <c r="J404" s="7" t="n"/>
      <c r="L404" s="7" t="n"/>
      <c r="M404" s="7" t="n"/>
      <c r="P404" s="11" t="n"/>
      <c r="S404">
        <f>IF($B404="","",IF($Y404=1,Settings!$C$6,Settings!$C$7)*1)</f>
        <v/>
      </c>
      <c r="T404" s="7">
        <f>IF($B404="","",S404*L404)</f>
        <v/>
      </c>
      <c r="U404" s="7">
        <f>IF($B404="","",L404-T404)</f>
        <v/>
      </c>
      <c r="V404" s="7">
        <f>IF($B404="","",U404-G404)</f>
        <v/>
      </c>
      <c r="W404">
        <f>IF($B404="","",IF(COUNTIF($B$2:$B404,$B404)=1,1,0))</f>
        <v/>
      </c>
      <c r="X404">
        <f>IF($W404=1,SUMPRODUCT(--($Z$2:$Z$501&lt;$Z404))+1,"")</f>
        <v/>
      </c>
      <c r="Y404">
        <f>IF($B404="","",IF(OR($R404=TRUE(),$R404="TRUE"),1,0))</f>
        <v/>
      </c>
      <c r="Z404">
        <f>IF($W404=1,IFERROR(IF(VALUE($B404)&lt;100000000,VALUE($B404),1000000000),IFERROR(IF(VALUE(MID($B404,2,20))&lt;100000000,VALUE(MID($B404,2,20)),1000000000),1000000000))+ROW()/100000,"")</f>
        <v/>
      </c>
    </row>
    <row r="405">
      <c r="A405">
        <f>IF($B405="","",IFERROR(IF(INDEX('Per Invoice'!$A$2:$A$201,MATCH($B405,'Per Invoice'!$B$2:$B$201,0))=0,"",INDEX('Per Invoice'!$A$2:$A$201,MATCH($B405,'Per Invoice'!$B$2:$B$201,0))),""))</f>
        <v/>
      </c>
      <c r="G405" s="7">
        <f>IF($B405="","",F405*L405/100)</f>
        <v/>
      </c>
      <c r="J405" s="7" t="n"/>
      <c r="L405" s="7" t="n"/>
      <c r="M405" s="7" t="n"/>
      <c r="P405" s="11" t="n"/>
      <c r="S405">
        <f>IF($B405="","",IF($Y405=1,Settings!$C$6,Settings!$C$7)*1)</f>
        <v/>
      </c>
      <c r="T405" s="7">
        <f>IF($B405="","",S405*L405)</f>
        <v/>
      </c>
      <c r="U405" s="7">
        <f>IF($B405="","",L405-T405)</f>
        <v/>
      </c>
      <c r="V405" s="7">
        <f>IF($B405="","",U405-G405)</f>
        <v/>
      </c>
      <c r="W405">
        <f>IF($B405="","",IF(COUNTIF($B$2:$B405,$B405)=1,1,0))</f>
        <v/>
      </c>
      <c r="X405">
        <f>IF($W405=1,SUMPRODUCT(--($Z$2:$Z$501&lt;$Z405))+1,"")</f>
        <v/>
      </c>
      <c r="Y405">
        <f>IF($B405="","",IF(OR($R405=TRUE(),$R405="TRUE"),1,0))</f>
        <v/>
      </c>
      <c r="Z405">
        <f>IF($W405=1,IFERROR(IF(VALUE($B405)&lt;100000000,VALUE($B405),1000000000),IFERROR(IF(VALUE(MID($B405,2,20))&lt;100000000,VALUE(MID($B405,2,20)),1000000000),1000000000))+ROW()/100000,"")</f>
        <v/>
      </c>
    </row>
    <row r="406">
      <c r="A406">
        <f>IF($B406="","",IFERROR(IF(INDEX('Per Invoice'!$A$2:$A$201,MATCH($B406,'Per Invoice'!$B$2:$B$201,0))=0,"",INDEX('Per Invoice'!$A$2:$A$201,MATCH($B406,'Per Invoice'!$B$2:$B$201,0))),""))</f>
        <v/>
      </c>
      <c r="G406" s="7">
        <f>IF($B406="","",F406*L406/100)</f>
        <v/>
      </c>
      <c r="J406" s="7" t="n"/>
      <c r="L406" s="7" t="n"/>
      <c r="M406" s="7" t="n"/>
      <c r="P406" s="11" t="n"/>
      <c r="S406">
        <f>IF($B406="","",IF($Y406=1,Settings!$C$6,Settings!$C$7)*1)</f>
        <v/>
      </c>
      <c r="T406" s="7">
        <f>IF($B406="","",S406*L406)</f>
        <v/>
      </c>
      <c r="U406" s="7">
        <f>IF($B406="","",L406-T406)</f>
        <v/>
      </c>
      <c r="V406" s="7">
        <f>IF($B406="","",U406-G406)</f>
        <v/>
      </c>
      <c r="W406">
        <f>IF($B406="","",IF(COUNTIF($B$2:$B406,$B406)=1,1,0))</f>
        <v/>
      </c>
      <c r="X406">
        <f>IF($W406=1,SUMPRODUCT(--($Z$2:$Z$501&lt;$Z406))+1,"")</f>
        <v/>
      </c>
      <c r="Y406">
        <f>IF($B406="","",IF(OR($R406=TRUE(),$R406="TRUE"),1,0))</f>
        <v/>
      </c>
      <c r="Z406">
        <f>IF($W406=1,IFERROR(IF(VALUE($B406)&lt;100000000,VALUE($B406),1000000000),IFERROR(IF(VALUE(MID($B406,2,20))&lt;100000000,VALUE(MID($B406,2,20)),1000000000),1000000000))+ROW()/100000,"")</f>
        <v/>
      </c>
    </row>
    <row r="407">
      <c r="A407">
        <f>IF($B407="","",IFERROR(IF(INDEX('Per Invoice'!$A$2:$A$201,MATCH($B407,'Per Invoice'!$B$2:$B$201,0))=0,"",INDEX('Per Invoice'!$A$2:$A$201,MATCH($B407,'Per Invoice'!$B$2:$B$201,0))),""))</f>
        <v/>
      </c>
      <c r="G407" s="7">
        <f>IF($B407="","",F407*L407/100)</f>
        <v/>
      </c>
      <c r="J407" s="7" t="n"/>
      <c r="L407" s="7" t="n"/>
      <c r="M407" s="7" t="n"/>
      <c r="P407" s="11" t="n"/>
      <c r="S407">
        <f>IF($B407="","",IF($Y407=1,Settings!$C$6,Settings!$C$7)*1)</f>
        <v/>
      </c>
      <c r="T407" s="7">
        <f>IF($B407="","",S407*L407)</f>
        <v/>
      </c>
      <c r="U407" s="7">
        <f>IF($B407="","",L407-T407)</f>
        <v/>
      </c>
      <c r="V407" s="7">
        <f>IF($B407="","",U407-G407)</f>
        <v/>
      </c>
      <c r="W407">
        <f>IF($B407="","",IF(COUNTIF($B$2:$B407,$B407)=1,1,0))</f>
        <v/>
      </c>
      <c r="X407">
        <f>IF($W407=1,SUMPRODUCT(--($Z$2:$Z$501&lt;$Z407))+1,"")</f>
        <v/>
      </c>
      <c r="Y407">
        <f>IF($B407="","",IF(OR($R407=TRUE(),$R407="TRUE"),1,0))</f>
        <v/>
      </c>
      <c r="Z407">
        <f>IF($W407=1,IFERROR(IF(VALUE($B407)&lt;100000000,VALUE($B407),1000000000),IFERROR(IF(VALUE(MID($B407,2,20))&lt;100000000,VALUE(MID($B407,2,20)),1000000000),1000000000))+ROW()/100000,"")</f>
        <v/>
      </c>
    </row>
    <row r="408">
      <c r="A408">
        <f>IF($B408="","",IFERROR(IF(INDEX('Per Invoice'!$A$2:$A$201,MATCH($B408,'Per Invoice'!$B$2:$B$201,0))=0,"",INDEX('Per Invoice'!$A$2:$A$201,MATCH($B408,'Per Invoice'!$B$2:$B$201,0))),""))</f>
        <v/>
      </c>
      <c r="G408" s="7">
        <f>IF($B408="","",F408*L408/100)</f>
        <v/>
      </c>
      <c r="J408" s="7" t="n"/>
      <c r="L408" s="7" t="n"/>
      <c r="M408" s="7" t="n"/>
      <c r="P408" s="11" t="n"/>
      <c r="S408">
        <f>IF($B408="","",IF($Y408=1,Settings!$C$6,Settings!$C$7)*1)</f>
        <v/>
      </c>
      <c r="T408" s="7">
        <f>IF($B408="","",S408*L408)</f>
        <v/>
      </c>
      <c r="U408" s="7">
        <f>IF($B408="","",L408-T408)</f>
        <v/>
      </c>
      <c r="V408" s="7">
        <f>IF($B408="","",U408-G408)</f>
        <v/>
      </c>
      <c r="W408">
        <f>IF($B408="","",IF(COUNTIF($B$2:$B408,$B408)=1,1,0))</f>
        <v/>
      </c>
      <c r="X408">
        <f>IF($W408=1,SUMPRODUCT(--($Z$2:$Z$501&lt;$Z408))+1,"")</f>
        <v/>
      </c>
      <c r="Y408">
        <f>IF($B408="","",IF(OR($R408=TRUE(),$R408="TRUE"),1,0))</f>
        <v/>
      </c>
      <c r="Z408">
        <f>IF($W408=1,IFERROR(IF(VALUE($B408)&lt;100000000,VALUE($B408),1000000000),IFERROR(IF(VALUE(MID($B408,2,20))&lt;100000000,VALUE(MID($B408,2,20)),1000000000),1000000000))+ROW()/100000,"")</f>
        <v/>
      </c>
    </row>
    <row r="409">
      <c r="A409">
        <f>IF($B409="","",IFERROR(IF(INDEX('Per Invoice'!$A$2:$A$201,MATCH($B409,'Per Invoice'!$B$2:$B$201,0))=0,"",INDEX('Per Invoice'!$A$2:$A$201,MATCH($B409,'Per Invoice'!$B$2:$B$201,0))),""))</f>
        <v/>
      </c>
      <c r="G409" s="7">
        <f>IF($B409="","",F409*L409/100)</f>
        <v/>
      </c>
      <c r="J409" s="7" t="n"/>
      <c r="L409" s="7" t="n"/>
      <c r="M409" s="7" t="n"/>
      <c r="P409" s="11" t="n"/>
      <c r="S409">
        <f>IF($B409="","",IF($Y409=1,Settings!$C$6,Settings!$C$7)*1)</f>
        <v/>
      </c>
      <c r="T409" s="7">
        <f>IF($B409="","",S409*L409)</f>
        <v/>
      </c>
      <c r="U409" s="7">
        <f>IF($B409="","",L409-T409)</f>
        <v/>
      </c>
      <c r="V409" s="7">
        <f>IF($B409="","",U409-G409)</f>
        <v/>
      </c>
      <c r="W409">
        <f>IF($B409="","",IF(COUNTIF($B$2:$B409,$B409)=1,1,0))</f>
        <v/>
      </c>
      <c r="X409">
        <f>IF($W409=1,SUMPRODUCT(--($Z$2:$Z$501&lt;$Z409))+1,"")</f>
        <v/>
      </c>
      <c r="Y409">
        <f>IF($B409="","",IF(OR($R409=TRUE(),$R409="TRUE"),1,0))</f>
        <v/>
      </c>
      <c r="Z409">
        <f>IF($W409=1,IFERROR(IF(VALUE($B409)&lt;100000000,VALUE($B409),1000000000),IFERROR(IF(VALUE(MID($B409,2,20))&lt;100000000,VALUE(MID($B409,2,20)),1000000000),1000000000))+ROW()/100000,"")</f>
        <v/>
      </c>
    </row>
    <row r="410">
      <c r="A410">
        <f>IF($B410="","",IFERROR(IF(INDEX('Per Invoice'!$A$2:$A$201,MATCH($B410,'Per Invoice'!$B$2:$B$201,0))=0,"",INDEX('Per Invoice'!$A$2:$A$201,MATCH($B410,'Per Invoice'!$B$2:$B$201,0))),""))</f>
        <v/>
      </c>
      <c r="G410" s="7">
        <f>IF($B410="","",F410*L410/100)</f>
        <v/>
      </c>
      <c r="J410" s="7" t="n"/>
      <c r="L410" s="7" t="n"/>
      <c r="M410" s="7" t="n"/>
      <c r="P410" s="11" t="n"/>
      <c r="S410">
        <f>IF($B410="","",IF($Y410=1,Settings!$C$6,Settings!$C$7)*1)</f>
        <v/>
      </c>
      <c r="T410" s="7">
        <f>IF($B410="","",S410*L410)</f>
        <v/>
      </c>
      <c r="U410" s="7">
        <f>IF($B410="","",L410-T410)</f>
        <v/>
      </c>
      <c r="V410" s="7">
        <f>IF($B410="","",U410-G410)</f>
        <v/>
      </c>
      <c r="W410">
        <f>IF($B410="","",IF(COUNTIF($B$2:$B410,$B410)=1,1,0))</f>
        <v/>
      </c>
      <c r="X410">
        <f>IF($W410=1,SUMPRODUCT(--($Z$2:$Z$501&lt;$Z410))+1,"")</f>
        <v/>
      </c>
      <c r="Y410">
        <f>IF($B410="","",IF(OR($R410=TRUE(),$R410="TRUE"),1,0))</f>
        <v/>
      </c>
      <c r="Z410">
        <f>IF($W410=1,IFERROR(IF(VALUE($B410)&lt;100000000,VALUE($B410),1000000000),IFERROR(IF(VALUE(MID($B410,2,20))&lt;100000000,VALUE(MID($B410,2,20)),1000000000),1000000000))+ROW()/100000,"")</f>
        <v/>
      </c>
    </row>
    <row r="411">
      <c r="A411">
        <f>IF($B411="","",IFERROR(IF(INDEX('Per Invoice'!$A$2:$A$201,MATCH($B411,'Per Invoice'!$B$2:$B$201,0))=0,"",INDEX('Per Invoice'!$A$2:$A$201,MATCH($B411,'Per Invoice'!$B$2:$B$201,0))),""))</f>
        <v/>
      </c>
      <c r="G411" s="7">
        <f>IF($B411="","",F411*L411/100)</f>
        <v/>
      </c>
      <c r="J411" s="7" t="n"/>
      <c r="L411" s="7" t="n"/>
      <c r="M411" s="7" t="n"/>
      <c r="P411" s="11" t="n"/>
      <c r="S411">
        <f>IF($B411="","",IF($Y411=1,Settings!$C$6,Settings!$C$7)*1)</f>
        <v/>
      </c>
      <c r="T411" s="7">
        <f>IF($B411="","",S411*L411)</f>
        <v/>
      </c>
      <c r="U411" s="7">
        <f>IF($B411="","",L411-T411)</f>
        <v/>
      </c>
      <c r="V411" s="7">
        <f>IF($B411="","",U411-G411)</f>
        <v/>
      </c>
      <c r="W411">
        <f>IF($B411="","",IF(COUNTIF($B$2:$B411,$B411)=1,1,0))</f>
        <v/>
      </c>
      <c r="X411">
        <f>IF($W411=1,SUMPRODUCT(--($Z$2:$Z$501&lt;$Z411))+1,"")</f>
        <v/>
      </c>
      <c r="Y411">
        <f>IF($B411="","",IF(OR($R411=TRUE(),$R411="TRUE"),1,0))</f>
        <v/>
      </c>
      <c r="Z411">
        <f>IF($W411=1,IFERROR(IF(VALUE($B411)&lt;100000000,VALUE($B411),1000000000),IFERROR(IF(VALUE(MID($B411,2,20))&lt;100000000,VALUE(MID($B411,2,20)),1000000000),1000000000))+ROW()/100000,"")</f>
        <v/>
      </c>
    </row>
    <row r="412">
      <c r="A412">
        <f>IF($B412="","",IFERROR(IF(INDEX('Per Invoice'!$A$2:$A$201,MATCH($B412,'Per Invoice'!$B$2:$B$201,0))=0,"",INDEX('Per Invoice'!$A$2:$A$201,MATCH($B412,'Per Invoice'!$B$2:$B$201,0))),""))</f>
        <v/>
      </c>
      <c r="G412" s="7">
        <f>IF($B412="","",F412*L412/100)</f>
        <v/>
      </c>
      <c r="J412" s="7" t="n"/>
      <c r="L412" s="7" t="n"/>
      <c r="M412" s="7" t="n"/>
      <c r="P412" s="11" t="n"/>
      <c r="S412">
        <f>IF($B412="","",IF($Y412=1,Settings!$C$6,Settings!$C$7)*1)</f>
        <v/>
      </c>
      <c r="T412" s="7">
        <f>IF($B412="","",S412*L412)</f>
        <v/>
      </c>
      <c r="U412" s="7">
        <f>IF($B412="","",L412-T412)</f>
        <v/>
      </c>
      <c r="V412" s="7">
        <f>IF($B412="","",U412-G412)</f>
        <v/>
      </c>
      <c r="W412">
        <f>IF($B412="","",IF(COUNTIF($B$2:$B412,$B412)=1,1,0))</f>
        <v/>
      </c>
      <c r="X412">
        <f>IF($W412=1,SUMPRODUCT(--($Z$2:$Z$501&lt;$Z412))+1,"")</f>
        <v/>
      </c>
      <c r="Y412">
        <f>IF($B412="","",IF(OR($R412=TRUE(),$R412="TRUE"),1,0))</f>
        <v/>
      </c>
      <c r="Z412">
        <f>IF($W412=1,IFERROR(IF(VALUE($B412)&lt;100000000,VALUE($B412),1000000000),IFERROR(IF(VALUE(MID($B412,2,20))&lt;100000000,VALUE(MID($B412,2,20)),1000000000),1000000000))+ROW()/100000,"")</f>
        <v/>
      </c>
    </row>
    <row r="413">
      <c r="A413">
        <f>IF($B413="","",IFERROR(IF(INDEX('Per Invoice'!$A$2:$A$201,MATCH($B413,'Per Invoice'!$B$2:$B$201,0))=0,"",INDEX('Per Invoice'!$A$2:$A$201,MATCH($B413,'Per Invoice'!$B$2:$B$201,0))),""))</f>
        <v/>
      </c>
      <c r="G413" s="7">
        <f>IF($B413="","",F413*L413/100)</f>
        <v/>
      </c>
      <c r="J413" s="7" t="n"/>
      <c r="L413" s="7" t="n"/>
      <c r="M413" s="7" t="n"/>
      <c r="P413" s="11" t="n"/>
      <c r="S413">
        <f>IF($B413="","",IF($Y413=1,Settings!$C$6,Settings!$C$7)*1)</f>
        <v/>
      </c>
      <c r="T413" s="7">
        <f>IF($B413="","",S413*L413)</f>
        <v/>
      </c>
      <c r="U413" s="7">
        <f>IF($B413="","",L413-T413)</f>
        <v/>
      </c>
      <c r="V413" s="7">
        <f>IF($B413="","",U413-G413)</f>
        <v/>
      </c>
      <c r="W413">
        <f>IF($B413="","",IF(COUNTIF($B$2:$B413,$B413)=1,1,0))</f>
        <v/>
      </c>
      <c r="X413">
        <f>IF($W413=1,SUMPRODUCT(--($Z$2:$Z$501&lt;$Z413))+1,"")</f>
        <v/>
      </c>
      <c r="Y413">
        <f>IF($B413="","",IF(OR($R413=TRUE(),$R413="TRUE"),1,0))</f>
        <v/>
      </c>
      <c r="Z413">
        <f>IF($W413=1,IFERROR(IF(VALUE($B413)&lt;100000000,VALUE($B413),1000000000),IFERROR(IF(VALUE(MID($B413,2,20))&lt;100000000,VALUE(MID($B413,2,20)),1000000000),1000000000))+ROW()/100000,"")</f>
        <v/>
      </c>
    </row>
    <row r="414">
      <c r="A414">
        <f>IF($B414="","",IFERROR(IF(INDEX('Per Invoice'!$A$2:$A$201,MATCH($B414,'Per Invoice'!$B$2:$B$201,0))=0,"",INDEX('Per Invoice'!$A$2:$A$201,MATCH($B414,'Per Invoice'!$B$2:$B$201,0))),""))</f>
        <v/>
      </c>
      <c r="G414" s="7">
        <f>IF($B414="","",F414*L414/100)</f>
        <v/>
      </c>
      <c r="J414" s="7" t="n"/>
      <c r="L414" s="7" t="n"/>
      <c r="M414" s="7" t="n"/>
      <c r="P414" s="11" t="n"/>
      <c r="S414">
        <f>IF($B414="","",IF($Y414=1,Settings!$C$6,Settings!$C$7)*1)</f>
        <v/>
      </c>
      <c r="T414" s="7">
        <f>IF($B414="","",S414*L414)</f>
        <v/>
      </c>
      <c r="U414" s="7">
        <f>IF($B414="","",L414-T414)</f>
        <v/>
      </c>
      <c r="V414" s="7">
        <f>IF($B414="","",U414-G414)</f>
        <v/>
      </c>
      <c r="W414">
        <f>IF($B414="","",IF(COUNTIF($B$2:$B414,$B414)=1,1,0))</f>
        <v/>
      </c>
      <c r="X414">
        <f>IF($W414=1,SUMPRODUCT(--($Z$2:$Z$501&lt;$Z414))+1,"")</f>
        <v/>
      </c>
      <c r="Y414">
        <f>IF($B414="","",IF(OR($R414=TRUE(),$R414="TRUE"),1,0))</f>
        <v/>
      </c>
      <c r="Z414">
        <f>IF($W414=1,IFERROR(IF(VALUE($B414)&lt;100000000,VALUE($B414),1000000000),IFERROR(IF(VALUE(MID($B414,2,20))&lt;100000000,VALUE(MID($B414,2,20)),1000000000),1000000000))+ROW()/100000,"")</f>
        <v/>
      </c>
    </row>
    <row r="415">
      <c r="A415">
        <f>IF($B415="","",IFERROR(IF(INDEX('Per Invoice'!$A$2:$A$201,MATCH($B415,'Per Invoice'!$B$2:$B$201,0))=0,"",INDEX('Per Invoice'!$A$2:$A$201,MATCH($B415,'Per Invoice'!$B$2:$B$201,0))),""))</f>
        <v/>
      </c>
      <c r="G415" s="7">
        <f>IF($B415="","",F415*L415/100)</f>
        <v/>
      </c>
      <c r="J415" s="7" t="n"/>
      <c r="L415" s="7" t="n"/>
      <c r="M415" s="7" t="n"/>
      <c r="P415" s="11" t="n"/>
      <c r="S415">
        <f>IF($B415="","",IF($Y415=1,Settings!$C$6,Settings!$C$7)*1)</f>
        <v/>
      </c>
      <c r="T415" s="7">
        <f>IF($B415="","",S415*L415)</f>
        <v/>
      </c>
      <c r="U415" s="7">
        <f>IF($B415="","",L415-T415)</f>
        <v/>
      </c>
      <c r="V415" s="7">
        <f>IF($B415="","",U415-G415)</f>
        <v/>
      </c>
      <c r="W415">
        <f>IF($B415="","",IF(COUNTIF($B$2:$B415,$B415)=1,1,0))</f>
        <v/>
      </c>
      <c r="X415">
        <f>IF($W415=1,SUMPRODUCT(--($Z$2:$Z$501&lt;$Z415))+1,"")</f>
        <v/>
      </c>
      <c r="Y415">
        <f>IF($B415="","",IF(OR($R415=TRUE(),$R415="TRUE"),1,0))</f>
        <v/>
      </c>
      <c r="Z415">
        <f>IF($W415=1,IFERROR(IF(VALUE($B415)&lt;100000000,VALUE($B415),1000000000),IFERROR(IF(VALUE(MID($B415,2,20))&lt;100000000,VALUE(MID($B415,2,20)),1000000000),1000000000))+ROW()/100000,"")</f>
        <v/>
      </c>
    </row>
    <row r="416">
      <c r="A416">
        <f>IF($B416="","",IFERROR(IF(INDEX('Per Invoice'!$A$2:$A$201,MATCH($B416,'Per Invoice'!$B$2:$B$201,0))=0,"",INDEX('Per Invoice'!$A$2:$A$201,MATCH($B416,'Per Invoice'!$B$2:$B$201,0))),""))</f>
        <v/>
      </c>
      <c r="G416" s="7">
        <f>IF($B416="","",F416*L416/100)</f>
        <v/>
      </c>
      <c r="J416" s="7" t="n"/>
      <c r="L416" s="7" t="n"/>
      <c r="M416" s="7" t="n"/>
      <c r="P416" s="11" t="n"/>
      <c r="S416">
        <f>IF($B416="","",IF($Y416=1,Settings!$C$6,Settings!$C$7)*1)</f>
        <v/>
      </c>
      <c r="T416" s="7">
        <f>IF($B416="","",S416*L416)</f>
        <v/>
      </c>
      <c r="U416" s="7">
        <f>IF($B416="","",L416-T416)</f>
        <v/>
      </c>
      <c r="V416" s="7">
        <f>IF($B416="","",U416-G416)</f>
        <v/>
      </c>
      <c r="W416">
        <f>IF($B416="","",IF(COUNTIF($B$2:$B416,$B416)=1,1,0))</f>
        <v/>
      </c>
      <c r="X416">
        <f>IF($W416=1,SUMPRODUCT(--($Z$2:$Z$501&lt;$Z416))+1,"")</f>
        <v/>
      </c>
      <c r="Y416">
        <f>IF($B416="","",IF(OR($R416=TRUE(),$R416="TRUE"),1,0))</f>
        <v/>
      </c>
      <c r="Z416">
        <f>IF($W416=1,IFERROR(IF(VALUE($B416)&lt;100000000,VALUE($B416),1000000000),IFERROR(IF(VALUE(MID($B416,2,20))&lt;100000000,VALUE(MID($B416,2,20)),1000000000),1000000000))+ROW()/100000,"")</f>
        <v/>
      </c>
    </row>
    <row r="417">
      <c r="A417">
        <f>IF($B417="","",IFERROR(IF(INDEX('Per Invoice'!$A$2:$A$201,MATCH($B417,'Per Invoice'!$B$2:$B$201,0))=0,"",INDEX('Per Invoice'!$A$2:$A$201,MATCH($B417,'Per Invoice'!$B$2:$B$201,0))),""))</f>
        <v/>
      </c>
      <c r="G417" s="7">
        <f>IF($B417="","",F417*L417/100)</f>
        <v/>
      </c>
      <c r="J417" s="7" t="n"/>
      <c r="L417" s="7" t="n"/>
      <c r="M417" s="7" t="n"/>
      <c r="P417" s="11" t="n"/>
      <c r="S417">
        <f>IF($B417="","",IF($Y417=1,Settings!$C$6,Settings!$C$7)*1)</f>
        <v/>
      </c>
      <c r="T417" s="7">
        <f>IF($B417="","",S417*L417)</f>
        <v/>
      </c>
      <c r="U417" s="7">
        <f>IF($B417="","",L417-T417)</f>
        <v/>
      </c>
      <c r="V417" s="7">
        <f>IF($B417="","",U417-G417)</f>
        <v/>
      </c>
      <c r="W417">
        <f>IF($B417="","",IF(COUNTIF($B$2:$B417,$B417)=1,1,0))</f>
        <v/>
      </c>
      <c r="X417">
        <f>IF($W417=1,SUMPRODUCT(--($Z$2:$Z$501&lt;$Z417))+1,"")</f>
        <v/>
      </c>
      <c r="Y417">
        <f>IF($B417="","",IF(OR($R417=TRUE(),$R417="TRUE"),1,0))</f>
        <v/>
      </c>
      <c r="Z417">
        <f>IF($W417=1,IFERROR(IF(VALUE($B417)&lt;100000000,VALUE($B417),1000000000),IFERROR(IF(VALUE(MID($B417,2,20))&lt;100000000,VALUE(MID($B417,2,20)),1000000000),1000000000))+ROW()/100000,"")</f>
        <v/>
      </c>
    </row>
    <row r="418">
      <c r="A418">
        <f>IF($B418="","",IFERROR(IF(INDEX('Per Invoice'!$A$2:$A$201,MATCH($B418,'Per Invoice'!$B$2:$B$201,0))=0,"",INDEX('Per Invoice'!$A$2:$A$201,MATCH($B418,'Per Invoice'!$B$2:$B$201,0))),""))</f>
        <v/>
      </c>
      <c r="G418" s="7">
        <f>IF($B418="","",F418*L418/100)</f>
        <v/>
      </c>
      <c r="J418" s="7" t="n"/>
      <c r="L418" s="7" t="n"/>
      <c r="M418" s="7" t="n"/>
      <c r="P418" s="11" t="n"/>
      <c r="S418">
        <f>IF($B418="","",IF($Y418=1,Settings!$C$6,Settings!$C$7)*1)</f>
        <v/>
      </c>
      <c r="T418" s="7">
        <f>IF($B418="","",S418*L418)</f>
        <v/>
      </c>
      <c r="U418" s="7">
        <f>IF($B418="","",L418-T418)</f>
        <v/>
      </c>
      <c r="V418" s="7">
        <f>IF($B418="","",U418-G418)</f>
        <v/>
      </c>
      <c r="W418">
        <f>IF($B418="","",IF(COUNTIF($B$2:$B418,$B418)=1,1,0))</f>
        <v/>
      </c>
      <c r="X418">
        <f>IF($W418=1,SUMPRODUCT(--($Z$2:$Z$501&lt;$Z418))+1,"")</f>
        <v/>
      </c>
      <c r="Y418">
        <f>IF($B418="","",IF(OR($R418=TRUE(),$R418="TRUE"),1,0))</f>
        <v/>
      </c>
      <c r="Z418">
        <f>IF($W418=1,IFERROR(IF(VALUE($B418)&lt;100000000,VALUE($B418),1000000000),IFERROR(IF(VALUE(MID($B418,2,20))&lt;100000000,VALUE(MID($B418,2,20)),1000000000),1000000000))+ROW()/100000,"")</f>
        <v/>
      </c>
    </row>
    <row r="419">
      <c r="A419">
        <f>IF($B419="","",IFERROR(IF(INDEX('Per Invoice'!$A$2:$A$201,MATCH($B419,'Per Invoice'!$B$2:$B$201,0))=0,"",INDEX('Per Invoice'!$A$2:$A$201,MATCH($B419,'Per Invoice'!$B$2:$B$201,0))),""))</f>
        <v/>
      </c>
      <c r="G419" s="7">
        <f>IF($B419="","",F419*L419/100)</f>
        <v/>
      </c>
      <c r="J419" s="7" t="n"/>
      <c r="L419" s="7" t="n"/>
      <c r="M419" s="7" t="n"/>
      <c r="P419" s="11" t="n"/>
      <c r="S419">
        <f>IF($B419="","",IF($Y419=1,Settings!$C$6,Settings!$C$7)*1)</f>
        <v/>
      </c>
      <c r="T419" s="7">
        <f>IF($B419="","",S419*L419)</f>
        <v/>
      </c>
      <c r="U419" s="7">
        <f>IF($B419="","",L419-T419)</f>
        <v/>
      </c>
      <c r="V419" s="7">
        <f>IF($B419="","",U419-G419)</f>
        <v/>
      </c>
      <c r="W419">
        <f>IF($B419="","",IF(COUNTIF($B$2:$B419,$B419)=1,1,0))</f>
        <v/>
      </c>
      <c r="X419">
        <f>IF($W419=1,SUMPRODUCT(--($Z$2:$Z$501&lt;$Z419))+1,"")</f>
        <v/>
      </c>
      <c r="Y419">
        <f>IF($B419="","",IF(OR($R419=TRUE(),$R419="TRUE"),1,0))</f>
        <v/>
      </c>
      <c r="Z419">
        <f>IF($W419=1,IFERROR(IF(VALUE($B419)&lt;100000000,VALUE($B419),1000000000),IFERROR(IF(VALUE(MID($B419,2,20))&lt;100000000,VALUE(MID($B419,2,20)),1000000000),1000000000))+ROW()/100000,"")</f>
        <v/>
      </c>
    </row>
    <row r="420">
      <c r="A420">
        <f>IF($B420="","",IFERROR(IF(INDEX('Per Invoice'!$A$2:$A$201,MATCH($B420,'Per Invoice'!$B$2:$B$201,0))=0,"",INDEX('Per Invoice'!$A$2:$A$201,MATCH($B420,'Per Invoice'!$B$2:$B$201,0))),""))</f>
        <v/>
      </c>
      <c r="G420" s="7">
        <f>IF($B420="","",F420*L420/100)</f>
        <v/>
      </c>
      <c r="J420" s="7" t="n"/>
      <c r="L420" s="7" t="n"/>
      <c r="M420" s="7" t="n"/>
      <c r="P420" s="11" t="n"/>
      <c r="S420">
        <f>IF($B420="","",IF($Y420=1,Settings!$C$6,Settings!$C$7)*1)</f>
        <v/>
      </c>
      <c r="T420" s="7">
        <f>IF($B420="","",S420*L420)</f>
        <v/>
      </c>
      <c r="U420" s="7">
        <f>IF($B420="","",L420-T420)</f>
        <v/>
      </c>
      <c r="V420" s="7">
        <f>IF($B420="","",U420-G420)</f>
        <v/>
      </c>
      <c r="W420">
        <f>IF($B420="","",IF(COUNTIF($B$2:$B420,$B420)=1,1,0))</f>
        <v/>
      </c>
      <c r="X420">
        <f>IF($W420=1,SUMPRODUCT(--($Z$2:$Z$501&lt;$Z420))+1,"")</f>
        <v/>
      </c>
      <c r="Y420">
        <f>IF($B420="","",IF(OR($R420=TRUE(),$R420="TRUE"),1,0))</f>
        <v/>
      </c>
      <c r="Z420">
        <f>IF($W420=1,IFERROR(IF(VALUE($B420)&lt;100000000,VALUE($B420),1000000000),IFERROR(IF(VALUE(MID($B420,2,20))&lt;100000000,VALUE(MID($B420,2,20)),1000000000),1000000000))+ROW()/100000,"")</f>
        <v/>
      </c>
    </row>
    <row r="421">
      <c r="A421">
        <f>IF($B421="","",IFERROR(IF(INDEX('Per Invoice'!$A$2:$A$201,MATCH($B421,'Per Invoice'!$B$2:$B$201,0))=0,"",INDEX('Per Invoice'!$A$2:$A$201,MATCH($B421,'Per Invoice'!$B$2:$B$201,0))),""))</f>
        <v/>
      </c>
      <c r="G421" s="7">
        <f>IF($B421="","",F421*L421/100)</f>
        <v/>
      </c>
      <c r="J421" s="7" t="n"/>
      <c r="L421" s="7" t="n"/>
      <c r="M421" s="7" t="n"/>
      <c r="P421" s="11" t="n"/>
      <c r="S421">
        <f>IF($B421="","",IF($Y421=1,Settings!$C$6,Settings!$C$7)*1)</f>
        <v/>
      </c>
      <c r="T421" s="7">
        <f>IF($B421="","",S421*L421)</f>
        <v/>
      </c>
      <c r="U421" s="7">
        <f>IF($B421="","",L421-T421)</f>
        <v/>
      </c>
      <c r="V421" s="7">
        <f>IF($B421="","",U421-G421)</f>
        <v/>
      </c>
      <c r="W421">
        <f>IF($B421="","",IF(COUNTIF($B$2:$B421,$B421)=1,1,0))</f>
        <v/>
      </c>
      <c r="X421">
        <f>IF($W421=1,SUMPRODUCT(--($Z$2:$Z$501&lt;$Z421))+1,"")</f>
        <v/>
      </c>
      <c r="Y421">
        <f>IF($B421="","",IF(OR($R421=TRUE(),$R421="TRUE"),1,0))</f>
        <v/>
      </c>
      <c r="Z421">
        <f>IF($W421=1,IFERROR(IF(VALUE($B421)&lt;100000000,VALUE($B421),1000000000),IFERROR(IF(VALUE(MID($B421,2,20))&lt;100000000,VALUE(MID($B421,2,20)),1000000000),1000000000))+ROW()/100000,"")</f>
        <v/>
      </c>
    </row>
    <row r="422">
      <c r="A422">
        <f>IF($B422="","",IFERROR(IF(INDEX('Per Invoice'!$A$2:$A$201,MATCH($B422,'Per Invoice'!$B$2:$B$201,0))=0,"",INDEX('Per Invoice'!$A$2:$A$201,MATCH($B422,'Per Invoice'!$B$2:$B$201,0))),""))</f>
        <v/>
      </c>
      <c r="G422" s="7">
        <f>IF($B422="","",F422*L422/100)</f>
        <v/>
      </c>
      <c r="J422" s="7" t="n"/>
      <c r="L422" s="7" t="n"/>
      <c r="M422" s="7" t="n"/>
      <c r="P422" s="11" t="n"/>
      <c r="S422">
        <f>IF($B422="","",IF($Y422=1,Settings!$C$6,Settings!$C$7)*1)</f>
        <v/>
      </c>
      <c r="T422" s="7">
        <f>IF($B422="","",S422*L422)</f>
        <v/>
      </c>
      <c r="U422" s="7">
        <f>IF($B422="","",L422-T422)</f>
        <v/>
      </c>
      <c r="V422" s="7">
        <f>IF($B422="","",U422-G422)</f>
        <v/>
      </c>
      <c r="W422">
        <f>IF($B422="","",IF(COUNTIF($B$2:$B422,$B422)=1,1,0))</f>
        <v/>
      </c>
      <c r="X422">
        <f>IF($W422=1,SUMPRODUCT(--($Z$2:$Z$501&lt;$Z422))+1,"")</f>
        <v/>
      </c>
      <c r="Y422">
        <f>IF($B422="","",IF(OR($R422=TRUE(),$R422="TRUE"),1,0))</f>
        <v/>
      </c>
      <c r="Z422">
        <f>IF($W422=1,IFERROR(IF(VALUE($B422)&lt;100000000,VALUE($B422),1000000000),IFERROR(IF(VALUE(MID($B422,2,20))&lt;100000000,VALUE(MID($B422,2,20)),1000000000),1000000000))+ROW()/100000,"")</f>
        <v/>
      </c>
    </row>
    <row r="423">
      <c r="A423">
        <f>IF($B423="","",IFERROR(IF(INDEX('Per Invoice'!$A$2:$A$201,MATCH($B423,'Per Invoice'!$B$2:$B$201,0))=0,"",INDEX('Per Invoice'!$A$2:$A$201,MATCH($B423,'Per Invoice'!$B$2:$B$201,0))),""))</f>
        <v/>
      </c>
      <c r="G423" s="7">
        <f>IF($B423="","",F423*L423/100)</f>
        <v/>
      </c>
      <c r="J423" s="7" t="n"/>
      <c r="L423" s="7" t="n"/>
      <c r="M423" s="7" t="n"/>
      <c r="P423" s="11" t="n"/>
      <c r="S423">
        <f>IF($B423="","",IF($Y423=1,Settings!$C$6,Settings!$C$7)*1)</f>
        <v/>
      </c>
      <c r="T423" s="7">
        <f>IF($B423="","",S423*L423)</f>
        <v/>
      </c>
      <c r="U423" s="7">
        <f>IF($B423="","",L423-T423)</f>
        <v/>
      </c>
      <c r="V423" s="7">
        <f>IF($B423="","",U423-G423)</f>
        <v/>
      </c>
      <c r="W423">
        <f>IF($B423="","",IF(COUNTIF($B$2:$B423,$B423)=1,1,0))</f>
        <v/>
      </c>
      <c r="X423">
        <f>IF($W423=1,SUMPRODUCT(--($Z$2:$Z$501&lt;$Z423))+1,"")</f>
        <v/>
      </c>
      <c r="Y423">
        <f>IF($B423="","",IF(OR($R423=TRUE(),$R423="TRUE"),1,0))</f>
        <v/>
      </c>
      <c r="Z423">
        <f>IF($W423=1,IFERROR(IF(VALUE($B423)&lt;100000000,VALUE($B423),1000000000),IFERROR(IF(VALUE(MID($B423,2,20))&lt;100000000,VALUE(MID($B423,2,20)),1000000000),1000000000))+ROW()/100000,"")</f>
        <v/>
      </c>
    </row>
    <row r="424">
      <c r="A424">
        <f>IF($B424="","",IFERROR(IF(INDEX('Per Invoice'!$A$2:$A$201,MATCH($B424,'Per Invoice'!$B$2:$B$201,0))=0,"",INDEX('Per Invoice'!$A$2:$A$201,MATCH($B424,'Per Invoice'!$B$2:$B$201,0))),""))</f>
        <v/>
      </c>
      <c r="G424" s="7">
        <f>IF($B424="","",F424*L424/100)</f>
        <v/>
      </c>
      <c r="J424" s="7" t="n"/>
      <c r="L424" s="7" t="n"/>
      <c r="M424" s="7" t="n"/>
      <c r="P424" s="11" t="n"/>
      <c r="S424">
        <f>IF($B424="","",IF($Y424=1,Settings!$C$6,Settings!$C$7)*1)</f>
        <v/>
      </c>
      <c r="T424" s="7">
        <f>IF($B424="","",S424*L424)</f>
        <v/>
      </c>
      <c r="U424" s="7">
        <f>IF($B424="","",L424-T424)</f>
        <v/>
      </c>
      <c r="V424" s="7">
        <f>IF($B424="","",U424-G424)</f>
        <v/>
      </c>
      <c r="W424">
        <f>IF($B424="","",IF(COUNTIF($B$2:$B424,$B424)=1,1,0))</f>
        <v/>
      </c>
      <c r="X424">
        <f>IF($W424=1,SUMPRODUCT(--($Z$2:$Z$501&lt;$Z424))+1,"")</f>
        <v/>
      </c>
      <c r="Y424">
        <f>IF($B424="","",IF(OR($R424=TRUE(),$R424="TRUE"),1,0))</f>
        <v/>
      </c>
      <c r="Z424">
        <f>IF($W424=1,IFERROR(IF(VALUE($B424)&lt;100000000,VALUE($B424),1000000000),IFERROR(IF(VALUE(MID($B424,2,20))&lt;100000000,VALUE(MID($B424,2,20)),1000000000),1000000000))+ROW()/100000,"")</f>
        <v/>
      </c>
    </row>
    <row r="425">
      <c r="A425">
        <f>IF($B425="","",IFERROR(IF(INDEX('Per Invoice'!$A$2:$A$201,MATCH($B425,'Per Invoice'!$B$2:$B$201,0))=0,"",INDEX('Per Invoice'!$A$2:$A$201,MATCH($B425,'Per Invoice'!$B$2:$B$201,0))),""))</f>
        <v/>
      </c>
      <c r="G425" s="7">
        <f>IF($B425="","",F425*L425/100)</f>
        <v/>
      </c>
      <c r="J425" s="7" t="n"/>
      <c r="L425" s="7" t="n"/>
      <c r="M425" s="7" t="n"/>
      <c r="P425" s="11" t="n"/>
      <c r="S425">
        <f>IF($B425="","",IF($Y425=1,Settings!$C$6,Settings!$C$7)*1)</f>
        <v/>
      </c>
      <c r="T425" s="7">
        <f>IF($B425="","",S425*L425)</f>
        <v/>
      </c>
      <c r="U425" s="7">
        <f>IF($B425="","",L425-T425)</f>
        <v/>
      </c>
      <c r="V425" s="7">
        <f>IF($B425="","",U425-G425)</f>
        <v/>
      </c>
      <c r="W425">
        <f>IF($B425="","",IF(COUNTIF($B$2:$B425,$B425)=1,1,0))</f>
        <v/>
      </c>
      <c r="X425">
        <f>IF($W425=1,SUMPRODUCT(--($Z$2:$Z$501&lt;$Z425))+1,"")</f>
        <v/>
      </c>
      <c r="Y425">
        <f>IF($B425="","",IF(OR($R425=TRUE(),$R425="TRUE"),1,0))</f>
        <v/>
      </c>
      <c r="Z425">
        <f>IF($W425=1,IFERROR(IF(VALUE($B425)&lt;100000000,VALUE($B425),1000000000),IFERROR(IF(VALUE(MID($B425,2,20))&lt;100000000,VALUE(MID($B425,2,20)),1000000000),1000000000))+ROW()/100000,"")</f>
        <v/>
      </c>
    </row>
    <row r="426">
      <c r="A426">
        <f>IF($B426="","",IFERROR(IF(INDEX('Per Invoice'!$A$2:$A$201,MATCH($B426,'Per Invoice'!$B$2:$B$201,0))=0,"",INDEX('Per Invoice'!$A$2:$A$201,MATCH($B426,'Per Invoice'!$B$2:$B$201,0))),""))</f>
        <v/>
      </c>
      <c r="G426" s="7">
        <f>IF($B426="","",F426*L426/100)</f>
        <v/>
      </c>
      <c r="J426" s="7" t="n"/>
      <c r="L426" s="7" t="n"/>
      <c r="M426" s="7" t="n"/>
      <c r="P426" s="11" t="n"/>
      <c r="S426">
        <f>IF($B426="","",IF($Y426=1,Settings!$C$6,Settings!$C$7)*1)</f>
        <v/>
      </c>
      <c r="T426" s="7">
        <f>IF($B426="","",S426*L426)</f>
        <v/>
      </c>
      <c r="U426" s="7">
        <f>IF($B426="","",L426-T426)</f>
        <v/>
      </c>
      <c r="V426" s="7">
        <f>IF($B426="","",U426-G426)</f>
        <v/>
      </c>
      <c r="W426">
        <f>IF($B426="","",IF(COUNTIF($B$2:$B426,$B426)=1,1,0))</f>
        <v/>
      </c>
      <c r="X426">
        <f>IF($W426=1,SUMPRODUCT(--($Z$2:$Z$501&lt;$Z426))+1,"")</f>
        <v/>
      </c>
      <c r="Y426">
        <f>IF($B426="","",IF(OR($R426=TRUE(),$R426="TRUE"),1,0))</f>
        <v/>
      </c>
      <c r="Z426">
        <f>IF($W426=1,IFERROR(IF(VALUE($B426)&lt;100000000,VALUE($B426),1000000000),IFERROR(IF(VALUE(MID($B426,2,20))&lt;100000000,VALUE(MID($B426,2,20)),1000000000),1000000000))+ROW()/100000,"")</f>
        <v/>
      </c>
    </row>
    <row r="427">
      <c r="A427">
        <f>IF($B427="","",IFERROR(IF(INDEX('Per Invoice'!$A$2:$A$201,MATCH($B427,'Per Invoice'!$B$2:$B$201,0))=0,"",INDEX('Per Invoice'!$A$2:$A$201,MATCH($B427,'Per Invoice'!$B$2:$B$201,0))),""))</f>
        <v/>
      </c>
      <c r="G427" s="7">
        <f>IF($B427="","",F427*L427/100)</f>
        <v/>
      </c>
      <c r="J427" s="7" t="n"/>
      <c r="L427" s="7" t="n"/>
      <c r="M427" s="7" t="n"/>
      <c r="P427" s="11" t="n"/>
      <c r="S427">
        <f>IF($B427="","",IF($Y427=1,Settings!$C$6,Settings!$C$7)*1)</f>
        <v/>
      </c>
      <c r="T427" s="7">
        <f>IF($B427="","",S427*L427)</f>
        <v/>
      </c>
      <c r="U427" s="7">
        <f>IF($B427="","",L427-T427)</f>
        <v/>
      </c>
      <c r="V427" s="7">
        <f>IF($B427="","",U427-G427)</f>
        <v/>
      </c>
      <c r="W427">
        <f>IF($B427="","",IF(COUNTIF($B$2:$B427,$B427)=1,1,0))</f>
        <v/>
      </c>
      <c r="X427">
        <f>IF($W427=1,SUMPRODUCT(--($Z$2:$Z$501&lt;$Z427))+1,"")</f>
        <v/>
      </c>
      <c r="Y427">
        <f>IF($B427="","",IF(OR($R427=TRUE(),$R427="TRUE"),1,0))</f>
        <v/>
      </c>
      <c r="Z427">
        <f>IF($W427=1,IFERROR(IF(VALUE($B427)&lt;100000000,VALUE($B427),1000000000),IFERROR(IF(VALUE(MID($B427,2,20))&lt;100000000,VALUE(MID($B427,2,20)),1000000000),1000000000))+ROW()/100000,"")</f>
        <v/>
      </c>
    </row>
    <row r="428">
      <c r="A428">
        <f>IF($B428="","",IFERROR(IF(INDEX('Per Invoice'!$A$2:$A$201,MATCH($B428,'Per Invoice'!$B$2:$B$201,0))=0,"",INDEX('Per Invoice'!$A$2:$A$201,MATCH($B428,'Per Invoice'!$B$2:$B$201,0))),""))</f>
        <v/>
      </c>
      <c r="G428" s="7">
        <f>IF($B428="","",F428*L428/100)</f>
        <v/>
      </c>
      <c r="J428" s="7" t="n"/>
      <c r="L428" s="7" t="n"/>
      <c r="M428" s="7" t="n"/>
      <c r="P428" s="11" t="n"/>
      <c r="S428">
        <f>IF($B428="","",IF($Y428=1,Settings!$C$6,Settings!$C$7)*1)</f>
        <v/>
      </c>
      <c r="T428" s="7">
        <f>IF($B428="","",S428*L428)</f>
        <v/>
      </c>
      <c r="U428" s="7">
        <f>IF($B428="","",L428-T428)</f>
        <v/>
      </c>
      <c r="V428" s="7">
        <f>IF($B428="","",U428-G428)</f>
        <v/>
      </c>
      <c r="W428">
        <f>IF($B428="","",IF(COUNTIF($B$2:$B428,$B428)=1,1,0))</f>
        <v/>
      </c>
      <c r="X428">
        <f>IF($W428=1,SUMPRODUCT(--($Z$2:$Z$501&lt;$Z428))+1,"")</f>
        <v/>
      </c>
      <c r="Y428">
        <f>IF($B428="","",IF(OR($R428=TRUE(),$R428="TRUE"),1,0))</f>
        <v/>
      </c>
      <c r="Z428">
        <f>IF($W428=1,IFERROR(IF(VALUE($B428)&lt;100000000,VALUE($B428),1000000000),IFERROR(IF(VALUE(MID($B428,2,20))&lt;100000000,VALUE(MID($B428,2,20)),1000000000),1000000000))+ROW()/100000,"")</f>
        <v/>
      </c>
    </row>
    <row r="429">
      <c r="A429">
        <f>IF($B429="","",IFERROR(IF(INDEX('Per Invoice'!$A$2:$A$201,MATCH($B429,'Per Invoice'!$B$2:$B$201,0))=0,"",INDEX('Per Invoice'!$A$2:$A$201,MATCH($B429,'Per Invoice'!$B$2:$B$201,0))),""))</f>
        <v/>
      </c>
      <c r="G429" s="7">
        <f>IF($B429="","",F429*L429/100)</f>
        <v/>
      </c>
      <c r="J429" s="7" t="n"/>
      <c r="L429" s="7" t="n"/>
      <c r="M429" s="7" t="n"/>
      <c r="P429" s="11" t="n"/>
      <c r="S429">
        <f>IF($B429="","",IF($Y429=1,Settings!$C$6,Settings!$C$7)*1)</f>
        <v/>
      </c>
      <c r="T429" s="7">
        <f>IF($B429="","",S429*L429)</f>
        <v/>
      </c>
      <c r="U429" s="7">
        <f>IF($B429="","",L429-T429)</f>
        <v/>
      </c>
      <c r="V429" s="7">
        <f>IF($B429="","",U429-G429)</f>
        <v/>
      </c>
      <c r="W429">
        <f>IF($B429="","",IF(COUNTIF($B$2:$B429,$B429)=1,1,0))</f>
        <v/>
      </c>
      <c r="X429">
        <f>IF($W429=1,SUMPRODUCT(--($Z$2:$Z$501&lt;$Z429))+1,"")</f>
        <v/>
      </c>
      <c r="Y429">
        <f>IF($B429="","",IF(OR($R429=TRUE(),$R429="TRUE"),1,0))</f>
        <v/>
      </c>
      <c r="Z429">
        <f>IF($W429=1,IFERROR(IF(VALUE($B429)&lt;100000000,VALUE($B429),1000000000),IFERROR(IF(VALUE(MID($B429,2,20))&lt;100000000,VALUE(MID($B429,2,20)),1000000000),1000000000))+ROW()/100000,"")</f>
        <v/>
      </c>
    </row>
    <row r="430">
      <c r="A430">
        <f>IF($B430="","",IFERROR(IF(INDEX('Per Invoice'!$A$2:$A$201,MATCH($B430,'Per Invoice'!$B$2:$B$201,0))=0,"",INDEX('Per Invoice'!$A$2:$A$201,MATCH($B430,'Per Invoice'!$B$2:$B$201,0))),""))</f>
        <v/>
      </c>
      <c r="G430" s="7">
        <f>IF($B430="","",F430*L430/100)</f>
        <v/>
      </c>
      <c r="J430" s="7" t="n"/>
      <c r="L430" s="7" t="n"/>
      <c r="M430" s="7" t="n"/>
      <c r="P430" s="11" t="n"/>
      <c r="S430">
        <f>IF($B430="","",IF($Y430=1,Settings!$C$6,Settings!$C$7)*1)</f>
        <v/>
      </c>
      <c r="T430" s="7">
        <f>IF($B430="","",S430*L430)</f>
        <v/>
      </c>
      <c r="U430" s="7">
        <f>IF($B430="","",L430-T430)</f>
        <v/>
      </c>
      <c r="V430" s="7">
        <f>IF($B430="","",U430-G430)</f>
        <v/>
      </c>
      <c r="W430">
        <f>IF($B430="","",IF(COUNTIF($B$2:$B430,$B430)=1,1,0))</f>
        <v/>
      </c>
      <c r="X430">
        <f>IF($W430=1,SUMPRODUCT(--($Z$2:$Z$501&lt;$Z430))+1,"")</f>
        <v/>
      </c>
      <c r="Y430">
        <f>IF($B430="","",IF(OR($R430=TRUE(),$R430="TRUE"),1,0))</f>
        <v/>
      </c>
      <c r="Z430">
        <f>IF($W430=1,IFERROR(IF(VALUE($B430)&lt;100000000,VALUE($B430),1000000000),IFERROR(IF(VALUE(MID($B430,2,20))&lt;100000000,VALUE(MID($B430,2,20)),1000000000),1000000000))+ROW()/100000,"")</f>
        <v/>
      </c>
    </row>
    <row r="431">
      <c r="A431">
        <f>IF($B431="","",IFERROR(IF(INDEX('Per Invoice'!$A$2:$A$201,MATCH($B431,'Per Invoice'!$B$2:$B$201,0))=0,"",INDEX('Per Invoice'!$A$2:$A$201,MATCH($B431,'Per Invoice'!$B$2:$B$201,0))),""))</f>
        <v/>
      </c>
      <c r="G431" s="7">
        <f>IF($B431="","",F431*L431/100)</f>
        <v/>
      </c>
      <c r="J431" s="7" t="n"/>
      <c r="L431" s="7" t="n"/>
      <c r="M431" s="7" t="n"/>
      <c r="P431" s="11" t="n"/>
      <c r="S431">
        <f>IF($B431="","",IF($Y431=1,Settings!$C$6,Settings!$C$7)*1)</f>
        <v/>
      </c>
      <c r="T431" s="7">
        <f>IF($B431="","",S431*L431)</f>
        <v/>
      </c>
      <c r="U431" s="7">
        <f>IF($B431="","",L431-T431)</f>
        <v/>
      </c>
      <c r="V431" s="7">
        <f>IF($B431="","",U431-G431)</f>
        <v/>
      </c>
      <c r="W431">
        <f>IF($B431="","",IF(COUNTIF($B$2:$B431,$B431)=1,1,0))</f>
        <v/>
      </c>
      <c r="X431">
        <f>IF($W431=1,SUMPRODUCT(--($Z$2:$Z$501&lt;$Z431))+1,"")</f>
        <v/>
      </c>
      <c r="Y431">
        <f>IF($B431="","",IF(OR($R431=TRUE(),$R431="TRUE"),1,0))</f>
        <v/>
      </c>
      <c r="Z431">
        <f>IF($W431=1,IFERROR(IF(VALUE($B431)&lt;100000000,VALUE($B431),1000000000),IFERROR(IF(VALUE(MID($B431,2,20))&lt;100000000,VALUE(MID($B431,2,20)),1000000000),1000000000))+ROW()/100000,"")</f>
        <v/>
      </c>
    </row>
    <row r="432">
      <c r="A432">
        <f>IF($B432="","",IFERROR(IF(INDEX('Per Invoice'!$A$2:$A$201,MATCH($B432,'Per Invoice'!$B$2:$B$201,0))=0,"",INDEX('Per Invoice'!$A$2:$A$201,MATCH($B432,'Per Invoice'!$B$2:$B$201,0))),""))</f>
        <v/>
      </c>
      <c r="G432" s="7">
        <f>IF($B432="","",F432*L432/100)</f>
        <v/>
      </c>
      <c r="J432" s="7" t="n"/>
      <c r="L432" s="7" t="n"/>
      <c r="M432" s="7" t="n"/>
      <c r="P432" s="11" t="n"/>
      <c r="S432">
        <f>IF($B432="","",IF($Y432=1,Settings!$C$6,Settings!$C$7)*1)</f>
        <v/>
      </c>
      <c r="T432" s="7">
        <f>IF($B432="","",S432*L432)</f>
        <v/>
      </c>
      <c r="U432" s="7">
        <f>IF($B432="","",L432-T432)</f>
        <v/>
      </c>
      <c r="V432" s="7">
        <f>IF($B432="","",U432-G432)</f>
        <v/>
      </c>
      <c r="W432">
        <f>IF($B432="","",IF(COUNTIF($B$2:$B432,$B432)=1,1,0))</f>
        <v/>
      </c>
      <c r="X432">
        <f>IF($W432=1,SUMPRODUCT(--($Z$2:$Z$501&lt;$Z432))+1,"")</f>
        <v/>
      </c>
      <c r="Y432">
        <f>IF($B432="","",IF(OR($R432=TRUE(),$R432="TRUE"),1,0))</f>
        <v/>
      </c>
      <c r="Z432">
        <f>IF($W432=1,IFERROR(IF(VALUE($B432)&lt;100000000,VALUE($B432),1000000000),IFERROR(IF(VALUE(MID($B432,2,20))&lt;100000000,VALUE(MID($B432,2,20)),1000000000),1000000000))+ROW()/100000,"")</f>
        <v/>
      </c>
    </row>
    <row r="433">
      <c r="A433">
        <f>IF($B433="","",IFERROR(IF(INDEX('Per Invoice'!$A$2:$A$201,MATCH($B433,'Per Invoice'!$B$2:$B$201,0))=0,"",INDEX('Per Invoice'!$A$2:$A$201,MATCH($B433,'Per Invoice'!$B$2:$B$201,0))),""))</f>
        <v/>
      </c>
      <c r="G433" s="7">
        <f>IF($B433="","",F433*L433/100)</f>
        <v/>
      </c>
      <c r="J433" s="7" t="n"/>
      <c r="L433" s="7" t="n"/>
      <c r="M433" s="7" t="n"/>
      <c r="P433" s="11" t="n"/>
      <c r="S433">
        <f>IF($B433="","",IF($Y433=1,Settings!$C$6,Settings!$C$7)*1)</f>
        <v/>
      </c>
      <c r="T433" s="7">
        <f>IF($B433="","",S433*L433)</f>
        <v/>
      </c>
      <c r="U433" s="7">
        <f>IF($B433="","",L433-T433)</f>
        <v/>
      </c>
      <c r="V433" s="7">
        <f>IF($B433="","",U433-G433)</f>
        <v/>
      </c>
      <c r="W433">
        <f>IF($B433="","",IF(COUNTIF($B$2:$B433,$B433)=1,1,0))</f>
        <v/>
      </c>
      <c r="X433">
        <f>IF($W433=1,SUMPRODUCT(--($Z$2:$Z$501&lt;$Z433))+1,"")</f>
        <v/>
      </c>
      <c r="Y433">
        <f>IF($B433="","",IF(OR($R433=TRUE(),$R433="TRUE"),1,0))</f>
        <v/>
      </c>
      <c r="Z433">
        <f>IF($W433=1,IFERROR(IF(VALUE($B433)&lt;100000000,VALUE($B433),1000000000),IFERROR(IF(VALUE(MID($B433,2,20))&lt;100000000,VALUE(MID($B433,2,20)),1000000000),1000000000))+ROW()/100000,"")</f>
        <v/>
      </c>
    </row>
    <row r="434">
      <c r="A434">
        <f>IF($B434="","",IFERROR(IF(INDEX('Per Invoice'!$A$2:$A$201,MATCH($B434,'Per Invoice'!$B$2:$B$201,0))=0,"",INDEX('Per Invoice'!$A$2:$A$201,MATCH($B434,'Per Invoice'!$B$2:$B$201,0))),""))</f>
        <v/>
      </c>
      <c r="G434" s="7">
        <f>IF($B434="","",F434*L434/100)</f>
        <v/>
      </c>
      <c r="J434" s="7" t="n"/>
      <c r="L434" s="7" t="n"/>
      <c r="M434" s="7" t="n"/>
      <c r="P434" s="11" t="n"/>
      <c r="S434">
        <f>IF($B434="","",IF($Y434=1,Settings!$C$6,Settings!$C$7)*1)</f>
        <v/>
      </c>
      <c r="T434" s="7">
        <f>IF($B434="","",S434*L434)</f>
        <v/>
      </c>
      <c r="U434" s="7">
        <f>IF($B434="","",L434-T434)</f>
        <v/>
      </c>
      <c r="V434" s="7">
        <f>IF($B434="","",U434-G434)</f>
        <v/>
      </c>
      <c r="W434">
        <f>IF($B434="","",IF(COUNTIF($B$2:$B434,$B434)=1,1,0))</f>
        <v/>
      </c>
      <c r="X434">
        <f>IF($W434=1,SUMPRODUCT(--($Z$2:$Z$501&lt;$Z434))+1,"")</f>
        <v/>
      </c>
      <c r="Y434">
        <f>IF($B434="","",IF(OR($R434=TRUE(),$R434="TRUE"),1,0))</f>
        <v/>
      </c>
      <c r="Z434">
        <f>IF($W434=1,IFERROR(IF(VALUE($B434)&lt;100000000,VALUE($B434),1000000000),IFERROR(IF(VALUE(MID($B434,2,20))&lt;100000000,VALUE(MID($B434,2,20)),1000000000),1000000000))+ROW()/100000,"")</f>
        <v/>
      </c>
    </row>
    <row r="435">
      <c r="A435">
        <f>IF($B435="","",IFERROR(IF(INDEX('Per Invoice'!$A$2:$A$201,MATCH($B435,'Per Invoice'!$B$2:$B$201,0))=0,"",INDEX('Per Invoice'!$A$2:$A$201,MATCH($B435,'Per Invoice'!$B$2:$B$201,0))),""))</f>
        <v/>
      </c>
      <c r="G435" s="7">
        <f>IF($B435="","",F435*L435/100)</f>
        <v/>
      </c>
      <c r="J435" s="7" t="n"/>
      <c r="L435" s="7" t="n"/>
      <c r="M435" s="7" t="n"/>
      <c r="P435" s="11" t="n"/>
      <c r="S435">
        <f>IF($B435="","",IF($Y435=1,Settings!$C$6,Settings!$C$7)*1)</f>
        <v/>
      </c>
      <c r="T435" s="7">
        <f>IF($B435="","",S435*L435)</f>
        <v/>
      </c>
      <c r="U435" s="7">
        <f>IF($B435="","",L435-T435)</f>
        <v/>
      </c>
      <c r="V435" s="7">
        <f>IF($B435="","",U435-G435)</f>
        <v/>
      </c>
      <c r="W435">
        <f>IF($B435="","",IF(COUNTIF($B$2:$B435,$B435)=1,1,0))</f>
        <v/>
      </c>
      <c r="X435">
        <f>IF($W435=1,SUMPRODUCT(--($Z$2:$Z$501&lt;$Z435))+1,"")</f>
        <v/>
      </c>
      <c r="Y435">
        <f>IF($B435="","",IF(OR($R435=TRUE(),$R435="TRUE"),1,0))</f>
        <v/>
      </c>
      <c r="Z435">
        <f>IF($W435=1,IFERROR(IF(VALUE($B435)&lt;100000000,VALUE($B435),1000000000),IFERROR(IF(VALUE(MID($B435,2,20))&lt;100000000,VALUE(MID($B435,2,20)),1000000000),1000000000))+ROW()/100000,"")</f>
        <v/>
      </c>
    </row>
    <row r="436">
      <c r="A436">
        <f>IF($B436="","",IFERROR(IF(INDEX('Per Invoice'!$A$2:$A$201,MATCH($B436,'Per Invoice'!$B$2:$B$201,0))=0,"",INDEX('Per Invoice'!$A$2:$A$201,MATCH($B436,'Per Invoice'!$B$2:$B$201,0))),""))</f>
        <v/>
      </c>
      <c r="G436" s="7">
        <f>IF($B436="","",F436*L436/100)</f>
        <v/>
      </c>
      <c r="J436" s="7" t="n"/>
      <c r="L436" s="7" t="n"/>
      <c r="M436" s="7" t="n"/>
      <c r="P436" s="11" t="n"/>
      <c r="S436">
        <f>IF($B436="","",IF($Y436=1,Settings!$C$6,Settings!$C$7)*1)</f>
        <v/>
      </c>
      <c r="T436" s="7">
        <f>IF($B436="","",S436*L436)</f>
        <v/>
      </c>
      <c r="U436" s="7">
        <f>IF($B436="","",L436-T436)</f>
        <v/>
      </c>
      <c r="V436" s="7">
        <f>IF($B436="","",U436-G436)</f>
        <v/>
      </c>
      <c r="W436">
        <f>IF($B436="","",IF(COUNTIF($B$2:$B436,$B436)=1,1,0))</f>
        <v/>
      </c>
      <c r="X436">
        <f>IF($W436=1,SUMPRODUCT(--($Z$2:$Z$501&lt;$Z436))+1,"")</f>
        <v/>
      </c>
      <c r="Y436">
        <f>IF($B436="","",IF(OR($R436=TRUE(),$R436="TRUE"),1,0))</f>
        <v/>
      </c>
      <c r="Z436">
        <f>IF($W436=1,IFERROR(IF(VALUE($B436)&lt;100000000,VALUE($B436),1000000000),IFERROR(IF(VALUE(MID($B436,2,20))&lt;100000000,VALUE(MID($B436,2,20)),1000000000),1000000000))+ROW()/100000,"")</f>
        <v/>
      </c>
    </row>
    <row r="437">
      <c r="A437">
        <f>IF($B437="","",IFERROR(IF(INDEX('Per Invoice'!$A$2:$A$201,MATCH($B437,'Per Invoice'!$B$2:$B$201,0))=0,"",INDEX('Per Invoice'!$A$2:$A$201,MATCH($B437,'Per Invoice'!$B$2:$B$201,0))),""))</f>
        <v/>
      </c>
      <c r="G437" s="7">
        <f>IF($B437="","",F437*L437/100)</f>
        <v/>
      </c>
      <c r="J437" s="7" t="n"/>
      <c r="L437" s="7" t="n"/>
      <c r="M437" s="7" t="n"/>
      <c r="P437" s="11" t="n"/>
      <c r="S437">
        <f>IF($B437="","",IF($Y437=1,Settings!$C$6,Settings!$C$7)*1)</f>
        <v/>
      </c>
      <c r="T437" s="7">
        <f>IF($B437="","",S437*L437)</f>
        <v/>
      </c>
      <c r="U437" s="7">
        <f>IF($B437="","",L437-T437)</f>
        <v/>
      </c>
      <c r="V437" s="7">
        <f>IF($B437="","",U437-G437)</f>
        <v/>
      </c>
      <c r="W437">
        <f>IF($B437="","",IF(COUNTIF($B$2:$B437,$B437)=1,1,0))</f>
        <v/>
      </c>
      <c r="X437">
        <f>IF($W437=1,SUMPRODUCT(--($Z$2:$Z$501&lt;$Z437))+1,"")</f>
        <v/>
      </c>
      <c r="Y437">
        <f>IF($B437="","",IF(OR($R437=TRUE(),$R437="TRUE"),1,0))</f>
        <v/>
      </c>
      <c r="Z437">
        <f>IF($W437=1,IFERROR(IF(VALUE($B437)&lt;100000000,VALUE($B437),1000000000),IFERROR(IF(VALUE(MID($B437,2,20))&lt;100000000,VALUE(MID($B437,2,20)),1000000000),1000000000))+ROW()/100000,"")</f>
        <v/>
      </c>
    </row>
    <row r="438">
      <c r="A438">
        <f>IF($B438="","",IFERROR(IF(INDEX('Per Invoice'!$A$2:$A$201,MATCH($B438,'Per Invoice'!$B$2:$B$201,0))=0,"",INDEX('Per Invoice'!$A$2:$A$201,MATCH($B438,'Per Invoice'!$B$2:$B$201,0))),""))</f>
        <v/>
      </c>
      <c r="G438" s="7">
        <f>IF($B438="","",F438*L438/100)</f>
        <v/>
      </c>
      <c r="J438" s="7" t="n"/>
      <c r="L438" s="7" t="n"/>
      <c r="M438" s="7" t="n"/>
      <c r="P438" s="11" t="n"/>
      <c r="S438">
        <f>IF($B438="","",IF($Y438=1,Settings!$C$6,Settings!$C$7)*1)</f>
        <v/>
      </c>
      <c r="T438" s="7">
        <f>IF($B438="","",S438*L438)</f>
        <v/>
      </c>
      <c r="U438" s="7">
        <f>IF($B438="","",L438-T438)</f>
        <v/>
      </c>
      <c r="V438" s="7">
        <f>IF($B438="","",U438-G438)</f>
        <v/>
      </c>
      <c r="W438">
        <f>IF($B438="","",IF(COUNTIF($B$2:$B438,$B438)=1,1,0))</f>
        <v/>
      </c>
      <c r="X438">
        <f>IF($W438=1,SUMPRODUCT(--($Z$2:$Z$501&lt;$Z438))+1,"")</f>
        <v/>
      </c>
      <c r="Y438">
        <f>IF($B438="","",IF(OR($R438=TRUE(),$R438="TRUE"),1,0))</f>
        <v/>
      </c>
      <c r="Z438">
        <f>IF($W438=1,IFERROR(IF(VALUE($B438)&lt;100000000,VALUE($B438),1000000000),IFERROR(IF(VALUE(MID($B438,2,20))&lt;100000000,VALUE(MID($B438,2,20)),1000000000),1000000000))+ROW()/100000,"")</f>
        <v/>
      </c>
    </row>
    <row r="439">
      <c r="A439">
        <f>IF($B439="","",IFERROR(IF(INDEX('Per Invoice'!$A$2:$A$201,MATCH($B439,'Per Invoice'!$B$2:$B$201,0))=0,"",INDEX('Per Invoice'!$A$2:$A$201,MATCH($B439,'Per Invoice'!$B$2:$B$201,0))),""))</f>
        <v/>
      </c>
      <c r="G439" s="7">
        <f>IF($B439="","",F439*L439/100)</f>
        <v/>
      </c>
      <c r="J439" s="7" t="n"/>
      <c r="L439" s="7" t="n"/>
      <c r="M439" s="7" t="n"/>
      <c r="P439" s="11" t="n"/>
      <c r="S439">
        <f>IF($B439="","",IF($Y439=1,Settings!$C$6,Settings!$C$7)*1)</f>
        <v/>
      </c>
      <c r="T439" s="7">
        <f>IF($B439="","",S439*L439)</f>
        <v/>
      </c>
      <c r="U439" s="7">
        <f>IF($B439="","",L439-T439)</f>
        <v/>
      </c>
      <c r="V439" s="7">
        <f>IF($B439="","",U439-G439)</f>
        <v/>
      </c>
      <c r="W439">
        <f>IF($B439="","",IF(COUNTIF($B$2:$B439,$B439)=1,1,0))</f>
        <v/>
      </c>
      <c r="X439">
        <f>IF($W439=1,SUMPRODUCT(--($Z$2:$Z$501&lt;$Z439))+1,"")</f>
        <v/>
      </c>
      <c r="Y439">
        <f>IF($B439="","",IF(OR($R439=TRUE(),$R439="TRUE"),1,0))</f>
        <v/>
      </c>
      <c r="Z439">
        <f>IF($W439=1,IFERROR(IF(VALUE($B439)&lt;100000000,VALUE($B439),1000000000),IFERROR(IF(VALUE(MID($B439,2,20))&lt;100000000,VALUE(MID($B439,2,20)),1000000000),1000000000))+ROW()/100000,"")</f>
        <v/>
      </c>
    </row>
    <row r="440">
      <c r="A440">
        <f>IF($B440="","",IFERROR(IF(INDEX('Per Invoice'!$A$2:$A$201,MATCH($B440,'Per Invoice'!$B$2:$B$201,0))=0,"",INDEX('Per Invoice'!$A$2:$A$201,MATCH($B440,'Per Invoice'!$B$2:$B$201,0))),""))</f>
        <v/>
      </c>
      <c r="G440" s="7">
        <f>IF($B440="","",F440*L440/100)</f>
        <v/>
      </c>
      <c r="J440" s="7" t="n"/>
      <c r="L440" s="7" t="n"/>
      <c r="M440" s="7" t="n"/>
      <c r="P440" s="11" t="n"/>
      <c r="S440">
        <f>IF($B440="","",IF($Y440=1,Settings!$C$6,Settings!$C$7)*1)</f>
        <v/>
      </c>
      <c r="T440" s="7">
        <f>IF($B440="","",S440*L440)</f>
        <v/>
      </c>
      <c r="U440" s="7">
        <f>IF($B440="","",L440-T440)</f>
        <v/>
      </c>
      <c r="V440" s="7">
        <f>IF($B440="","",U440-G440)</f>
        <v/>
      </c>
      <c r="W440">
        <f>IF($B440="","",IF(COUNTIF($B$2:$B440,$B440)=1,1,0))</f>
        <v/>
      </c>
      <c r="X440">
        <f>IF($W440=1,SUMPRODUCT(--($Z$2:$Z$501&lt;$Z440))+1,"")</f>
        <v/>
      </c>
      <c r="Y440">
        <f>IF($B440="","",IF(OR($R440=TRUE(),$R440="TRUE"),1,0))</f>
        <v/>
      </c>
      <c r="Z440">
        <f>IF($W440=1,IFERROR(IF(VALUE($B440)&lt;100000000,VALUE($B440),1000000000),IFERROR(IF(VALUE(MID($B440,2,20))&lt;100000000,VALUE(MID($B440,2,20)),1000000000),1000000000))+ROW()/100000,"")</f>
        <v/>
      </c>
    </row>
    <row r="441">
      <c r="A441">
        <f>IF($B441="","",IFERROR(IF(INDEX('Per Invoice'!$A$2:$A$201,MATCH($B441,'Per Invoice'!$B$2:$B$201,0))=0,"",INDEX('Per Invoice'!$A$2:$A$201,MATCH($B441,'Per Invoice'!$B$2:$B$201,0))),""))</f>
        <v/>
      </c>
      <c r="G441" s="7">
        <f>IF($B441="","",F441*L441/100)</f>
        <v/>
      </c>
      <c r="J441" s="7" t="n"/>
      <c r="L441" s="7" t="n"/>
      <c r="M441" s="7" t="n"/>
      <c r="P441" s="11" t="n"/>
      <c r="S441">
        <f>IF($B441="","",IF($Y441=1,Settings!$C$6,Settings!$C$7)*1)</f>
        <v/>
      </c>
      <c r="T441" s="7">
        <f>IF($B441="","",S441*L441)</f>
        <v/>
      </c>
      <c r="U441" s="7">
        <f>IF($B441="","",L441-T441)</f>
        <v/>
      </c>
      <c r="V441" s="7">
        <f>IF($B441="","",U441-G441)</f>
        <v/>
      </c>
      <c r="W441">
        <f>IF($B441="","",IF(COUNTIF($B$2:$B441,$B441)=1,1,0))</f>
        <v/>
      </c>
      <c r="X441">
        <f>IF($W441=1,SUMPRODUCT(--($Z$2:$Z$501&lt;$Z441))+1,"")</f>
        <v/>
      </c>
      <c r="Y441">
        <f>IF($B441="","",IF(OR($R441=TRUE(),$R441="TRUE"),1,0))</f>
        <v/>
      </c>
      <c r="Z441">
        <f>IF($W441=1,IFERROR(IF(VALUE($B441)&lt;100000000,VALUE($B441),1000000000),IFERROR(IF(VALUE(MID($B441,2,20))&lt;100000000,VALUE(MID($B441,2,20)),1000000000),1000000000))+ROW()/100000,"")</f>
        <v/>
      </c>
    </row>
    <row r="442">
      <c r="A442">
        <f>IF($B442="","",IFERROR(IF(INDEX('Per Invoice'!$A$2:$A$201,MATCH($B442,'Per Invoice'!$B$2:$B$201,0))=0,"",INDEX('Per Invoice'!$A$2:$A$201,MATCH($B442,'Per Invoice'!$B$2:$B$201,0))),""))</f>
        <v/>
      </c>
      <c r="G442" s="7">
        <f>IF($B442="","",F442*L442/100)</f>
        <v/>
      </c>
      <c r="J442" s="7" t="n"/>
      <c r="L442" s="7" t="n"/>
      <c r="M442" s="7" t="n"/>
      <c r="P442" s="11" t="n"/>
      <c r="S442">
        <f>IF($B442="","",IF($Y442=1,Settings!$C$6,Settings!$C$7)*1)</f>
        <v/>
      </c>
      <c r="T442" s="7">
        <f>IF($B442="","",S442*L442)</f>
        <v/>
      </c>
      <c r="U442" s="7">
        <f>IF($B442="","",L442-T442)</f>
        <v/>
      </c>
      <c r="V442" s="7">
        <f>IF($B442="","",U442-G442)</f>
        <v/>
      </c>
      <c r="W442">
        <f>IF($B442="","",IF(COUNTIF($B$2:$B442,$B442)=1,1,0))</f>
        <v/>
      </c>
      <c r="X442">
        <f>IF($W442=1,SUMPRODUCT(--($Z$2:$Z$501&lt;$Z442))+1,"")</f>
        <v/>
      </c>
      <c r="Y442">
        <f>IF($B442="","",IF(OR($R442=TRUE(),$R442="TRUE"),1,0))</f>
        <v/>
      </c>
      <c r="Z442">
        <f>IF($W442=1,IFERROR(IF(VALUE($B442)&lt;100000000,VALUE($B442),1000000000),IFERROR(IF(VALUE(MID($B442,2,20))&lt;100000000,VALUE(MID($B442,2,20)),1000000000),1000000000))+ROW()/100000,"")</f>
        <v/>
      </c>
    </row>
    <row r="443">
      <c r="A443">
        <f>IF($B443="","",IFERROR(IF(INDEX('Per Invoice'!$A$2:$A$201,MATCH($B443,'Per Invoice'!$B$2:$B$201,0))=0,"",INDEX('Per Invoice'!$A$2:$A$201,MATCH($B443,'Per Invoice'!$B$2:$B$201,0))),""))</f>
        <v/>
      </c>
      <c r="G443" s="7">
        <f>IF($B443="","",F443*L443/100)</f>
        <v/>
      </c>
      <c r="J443" s="7" t="n"/>
      <c r="L443" s="7" t="n"/>
      <c r="M443" s="7" t="n"/>
      <c r="P443" s="11" t="n"/>
      <c r="S443">
        <f>IF($B443="","",IF($Y443=1,Settings!$C$6,Settings!$C$7)*1)</f>
        <v/>
      </c>
      <c r="T443" s="7">
        <f>IF($B443="","",S443*L443)</f>
        <v/>
      </c>
      <c r="U443" s="7">
        <f>IF($B443="","",L443-T443)</f>
        <v/>
      </c>
      <c r="V443" s="7">
        <f>IF($B443="","",U443-G443)</f>
        <v/>
      </c>
      <c r="W443">
        <f>IF($B443="","",IF(COUNTIF($B$2:$B443,$B443)=1,1,0))</f>
        <v/>
      </c>
      <c r="X443">
        <f>IF($W443=1,SUMPRODUCT(--($Z$2:$Z$501&lt;$Z443))+1,"")</f>
        <v/>
      </c>
      <c r="Y443">
        <f>IF($B443="","",IF(OR($R443=TRUE(),$R443="TRUE"),1,0))</f>
        <v/>
      </c>
      <c r="Z443">
        <f>IF($W443=1,IFERROR(IF(VALUE($B443)&lt;100000000,VALUE($B443),1000000000),IFERROR(IF(VALUE(MID($B443,2,20))&lt;100000000,VALUE(MID($B443,2,20)),1000000000),1000000000))+ROW()/100000,"")</f>
        <v/>
      </c>
    </row>
    <row r="444">
      <c r="A444">
        <f>IF($B444="","",IFERROR(IF(INDEX('Per Invoice'!$A$2:$A$201,MATCH($B444,'Per Invoice'!$B$2:$B$201,0))=0,"",INDEX('Per Invoice'!$A$2:$A$201,MATCH($B444,'Per Invoice'!$B$2:$B$201,0))),""))</f>
        <v/>
      </c>
      <c r="G444" s="7">
        <f>IF($B444="","",F444*L444/100)</f>
        <v/>
      </c>
      <c r="J444" s="7" t="n"/>
      <c r="L444" s="7" t="n"/>
      <c r="M444" s="7" t="n"/>
      <c r="P444" s="11" t="n"/>
      <c r="S444">
        <f>IF($B444="","",IF($Y444=1,Settings!$C$6,Settings!$C$7)*1)</f>
        <v/>
      </c>
      <c r="T444" s="7">
        <f>IF($B444="","",S444*L444)</f>
        <v/>
      </c>
      <c r="U444" s="7">
        <f>IF($B444="","",L444-T444)</f>
        <v/>
      </c>
      <c r="V444" s="7">
        <f>IF($B444="","",U444-G444)</f>
        <v/>
      </c>
      <c r="W444">
        <f>IF($B444="","",IF(COUNTIF($B$2:$B444,$B444)=1,1,0))</f>
        <v/>
      </c>
      <c r="X444">
        <f>IF($W444=1,SUMPRODUCT(--($Z$2:$Z$501&lt;$Z444))+1,"")</f>
        <v/>
      </c>
      <c r="Y444">
        <f>IF($B444="","",IF(OR($R444=TRUE(),$R444="TRUE"),1,0))</f>
        <v/>
      </c>
      <c r="Z444">
        <f>IF($W444=1,IFERROR(IF(VALUE($B444)&lt;100000000,VALUE($B444),1000000000),IFERROR(IF(VALUE(MID($B444,2,20))&lt;100000000,VALUE(MID($B444,2,20)),1000000000),1000000000))+ROW()/100000,"")</f>
        <v/>
      </c>
    </row>
    <row r="445">
      <c r="A445">
        <f>IF($B445="","",IFERROR(IF(INDEX('Per Invoice'!$A$2:$A$201,MATCH($B445,'Per Invoice'!$B$2:$B$201,0))=0,"",INDEX('Per Invoice'!$A$2:$A$201,MATCH($B445,'Per Invoice'!$B$2:$B$201,0))),""))</f>
        <v/>
      </c>
      <c r="G445" s="7">
        <f>IF($B445="","",F445*L445/100)</f>
        <v/>
      </c>
      <c r="J445" s="7" t="n"/>
      <c r="L445" s="7" t="n"/>
      <c r="M445" s="7" t="n"/>
      <c r="P445" s="11" t="n"/>
      <c r="S445">
        <f>IF($B445="","",IF($Y445=1,Settings!$C$6,Settings!$C$7)*1)</f>
        <v/>
      </c>
      <c r="T445" s="7">
        <f>IF($B445="","",S445*L445)</f>
        <v/>
      </c>
      <c r="U445" s="7">
        <f>IF($B445="","",L445-T445)</f>
        <v/>
      </c>
      <c r="V445" s="7">
        <f>IF($B445="","",U445-G445)</f>
        <v/>
      </c>
      <c r="W445">
        <f>IF($B445="","",IF(COUNTIF($B$2:$B445,$B445)=1,1,0))</f>
        <v/>
      </c>
      <c r="X445">
        <f>IF($W445=1,SUMPRODUCT(--($Z$2:$Z$501&lt;$Z445))+1,"")</f>
        <v/>
      </c>
      <c r="Y445">
        <f>IF($B445="","",IF(OR($R445=TRUE(),$R445="TRUE"),1,0))</f>
        <v/>
      </c>
      <c r="Z445">
        <f>IF($W445=1,IFERROR(IF(VALUE($B445)&lt;100000000,VALUE($B445),1000000000),IFERROR(IF(VALUE(MID($B445,2,20))&lt;100000000,VALUE(MID($B445,2,20)),1000000000),1000000000))+ROW()/100000,"")</f>
        <v/>
      </c>
    </row>
    <row r="446">
      <c r="A446">
        <f>IF($B446="","",IFERROR(IF(INDEX('Per Invoice'!$A$2:$A$201,MATCH($B446,'Per Invoice'!$B$2:$B$201,0))=0,"",INDEX('Per Invoice'!$A$2:$A$201,MATCH($B446,'Per Invoice'!$B$2:$B$201,0))),""))</f>
        <v/>
      </c>
      <c r="G446" s="7">
        <f>IF($B446="","",F446*L446/100)</f>
        <v/>
      </c>
      <c r="J446" s="7" t="n"/>
      <c r="L446" s="7" t="n"/>
      <c r="M446" s="7" t="n"/>
      <c r="P446" s="11" t="n"/>
      <c r="S446">
        <f>IF($B446="","",IF($Y446=1,Settings!$C$6,Settings!$C$7)*1)</f>
        <v/>
      </c>
      <c r="T446" s="7">
        <f>IF($B446="","",S446*L446)</f>
        <v/>
      </c>
      <c r="U446" s="7">
        <f>IF($B446="","",L446-T446)</f>
        <v/>
      </c>
      <c r="V446" s="7">
        <f>IF($B446="","",U446-G446)</f>
        <v/>
      </c>
      <c r="W446">
        <f>IF($B446="","",IF(COUNTIF($B$2:$B446,$B446)=1,1,0))</f>
        <v/>
      </c>
      <c r="X446">
        <f>IF($W446=1,SUMPRODUCT(--($Z$2:$Z$501&lt;$Z446))+1,"")</f>
        <v/>
      </c>
      <c r="Y446">
        <f>IF($B446="","",IF(OR($R446=TRUE(),$R446="TRUE"),1,0))</f>
        <v/>
      </c>
      <c r="Z446">
        <f>IF($W446=1,IFERROR(IF(VALUE($B446)&lt;100000000,VALUE($B446),1000000000),IFERROR(IF(VALUE(MID($B446,2,20))&lt;100000000,VALUE(MID($B446,2,20)),1000000000),1000000000))+ROW()/100000,"")</f>
        <v/>
      </c>
    </row>
    <row r="447">
      <c r="A447">
        <f>IF($B447="","",IFERROR(IF(INDEX('Per Invoice'!$A$2:$A$201,MATCH($B447,'Per Invoice'!$B$2:$B$201,0))=0,"",INDEX('Per Invoice'!$A$2:$A$201,MATCH($B447,'Per Invoice'!$B$2:$B$201,0))),""))</f>
        <v/>
      </c>
      <c r="G447" s="7">
        <f>IF($B447="","",F447*L447/100)</f>
        <v/>
      </c>
      <c r="J447" s="7" t="n"/>
      <c r="L447" s="7" t="n"/>
      <c r="M447" s="7" t="n"/>
      <c r="P447" s="11" t="n"/>
      <c r="S447">
        <f>IF($B447="","",IF($Y447=1,Settings!$C$6,Settings!$C$7)*1)</f>
        <v/>
      </c>
      <c r="T447" s="7">
        <f>IF($B447="","",S447*L447)</f>
        <v/>
      </c>
      <c r="U447" s="7">
        <f>IF($B447="","",L447-T447)</f>
        <v/>
      </c>
      <c r="V447" s="7">
        <f>IF($B447="","",U447-G447)</f>
        <v/>
      </c>
      <c r="W447">
        <f>IF($B447="","",IF(COUNTIF($B$2:$B447,$B447)=1,1,0))</f>
        <v/>
      </c>
      <c r="X447">
        <f>IF($W447=1,SUMPRODUCT(--($Z$2:$Z$501&lt;$Z447))+1,"")</f>
        <v/>
      </c>
      <c r="Y447">
        <f>IF($B447="","",IF(OR($R447=TRUE(),$R447="TRUE"),1,0))</f>
        <v/>
      </c>
      <c r="Z447">
        <f>IF($W447=1,IFERROR(IF(VALUE($B447)&lt;100000000,VALUE($B447),1000000000),IFERROR(IF(VALUE(MID($B447,2,20))&lt;100000000,VALUE(MID($B447,2,20)),1000000000),1000000000))+ROW()/100000,"")</f>
        <v/>
      </c>
    </row>
    <row r="448">
      <c r="A448">
        <f>IF($B448="","",IFERROR(IF(INDEX('Per Invoice'!$A$2:$A$201,MATCH($B448,'Per Invoice'!$B$2:$B$201,0))=0,"",INDEX('Per Invoice'!$A$2:$A$201,MATCH($B448,'Per Invoice'!$B$2:$B$201,0))),""))</f>
        <v/>
      </c>
      <c r="G448" s="7">
        <f>IF($B448="","",F448*L448/100)</f>
        <v/>
      </c>
      <c r="J448" s="7" t="n"/>
      <c r="L448" s="7" t="n"/>
      <c r="M448" s="7" t="n"/>
      <c r="P448" s="11" t="n"/>
      <c r="S448">
        <f>IF($B448="","",IF($Y448=1,Settings!$C$6,Settings!$C$7)*1)</f>
        <v/>
      </c>
      <c r="T448" s="7">
        <f>IF($B448="","",S448*L448)</f>
        <v/>
      </c>
      <c r="U448" s="7">
        <f>IF($B448="","",L448-T448)</f>
        <v/>
      </c>
      <c r="V448" s="7">
        <f>IF($B448="","",U448-G448)</f>
        <v/>
      </c>
      <c r="W448">
        <f>IF($B448="","",IF(COUNTIF($B$2:$B448,$B448)=1,1,0))</f>
        <v/>
      </c>
      <c r="X448">
        <f>IF($W448=1,SUMPRODUCT(--($Z$2:$Z$501&lt;$Z448))+1,"")</f>
        <v/>
      </c>
      <c r="Y448">
        <f>IF($B448="","",IF(OR($R448=TRUE(),$R448="TRUE"),1,0))</f>
        <v/>
      </c>
      <c r="Z448">
        <f>IF($W448=1,IFERROR(IF(VALUE($B448)&lt;100000000,VALUE($B448),1000000000),IFERROR(IF(VALUE(MID($B448,2,20))&lt;100000000,VALUE(MID($B448,2,20)),1000000000),1000000000))+ROW()/100000,"")</f>
        <v/>
      </c>
    </row>
    <row r="449">
      <c r="A449">
        <f>IF($B449="","",IFERROR(IF(INDEX('Per Invoice'!$A$2:$A$201,MATCH($B449,'Per Invoice'!$B$2:$B$201,0))=0,"",INDEX('Per Invoice'!$A$2:$A$201,MATCH($B449,'Per Invoice'!$B$2:$B$201,0))),""))</f>
        <v/>
      </c>
      <c r="G449" s="7">
        <f>IF($B449="","",F449*L449/100)</f>
        <v/>
      </c>
      <c r="J449" s="7" t="n"/>
      <c r="L449" s="7" t="n"/>
      <c r="M449" s="7" t="n"/>
      <c r="P449" s="11" t="n"/>
      <c r="S449">
        <f>IF($B449="","",IF($Y449=1,Settings!$C$6,Settings!$C$7)*1)</f>
        <v/>
      </c>
      <c r="T449" s="7">
        <f>IF($B449="","",S449*L449)</f>
        <v/>
      </c>
      <c r="U449" s="7">
        <f>IF($B449="","",L449-T449)</f>
        <v/>
      </c>
      <c r="V449" s="7">
        <f>IF($B449="","",U449-G449)</f>
        <v/>
      </c>
      <c r="W449">
        <f>IF($B449="","",IF(COUNTIF($B$2:$B449,$B449)=1,1,0))</f>
        <v/>
      </c>
      <c r="X449">
        <f>IF($W449=1,SUMPRODUCT(--($Z$2:$Z$501&lt;$Z449))+1,"")</f>
        <v/>
      </c>
      <c r="Y449">
        <f>IF($B449="","",IF(OR($R449=TRUE(),$R449="TRUE"),1,0))</f>
        <v/>
      </c>
      <c r="Z449">
        <f>IF($W449=1,IFERROR(IF(VALUE($B449)&lt;100000000,VALUE($B449),1000000000),IFERROR(IF(VALUE(MID($B449,2,20))&lt;100000000,VALUE(MID($B449,2,20)),1000000000),1000000000))+ROW()/100000,"")</f>
        <v/>
      </c>
    </row>
    <row r="450">
      <c r="A450">
        <f>IF($B450="","",IFERROR(IF(INDEX('Per Invoice'!$A$2:$A$201,MATCH($B450,'Per Invoice'!$B$2:$B$201,0))=0,"",INDEX('Per Invoice'!$A$2:$A$201,MATCH($B450,'Per Invoice'!$B$2:$B$201,0))),""))</f>
        <v/>
      </c>
      <c r="G450" s="7">
        <f>IF($B450="","",F450*L450/100)</f>
        <v/>
      </c>
      <c r="J450" s="7" t="n"/>
      <c r="L450" s="7" t="n"/>
      <c r="M450" s="7" t="n"/>
      <c r="P450" s="11" t="n"/>
      <c r="S450">
        <f>IF($B450="","",IF($Y450=1,Settings!$C$6,Settings!$C$7)*1)</f>
        <v/>
      </c>
      <c r="T450" s="7">
        <f>IF($B450="","",S450*L450)</f>
        <v/>
      </c>
      <c r="U450" s="7">
        <f>IF($B450="","",L450-T450)</f>
        <v/>
      </c>
      <c r="V450" s="7">
        <f>IF($B450="","",U450-G450)</f>
        <v/>
      </c>
      <c r="W450">
        <f>IF($B450="","",IF(COUNTIF($B$2:$B450,$B450)=1,1,0))</f>
        <v/>
      </c>
      <c r="X450">
        <f>IF($W450=1,SUMPRODUCT(--($Z$2:$Z$501&lt;$Z450))+1,"")</f>
        <v/>
      </c>
      <c r="Y450">
        <f>IF($B450="","",IF(OR($R450=TRUE(),$R450="TRUE"),1,0))</f>
        <v/>
      </c>
      <c r="Z450">
        <f>IF($W450=1,IFERROR(IF(VALUE($B450)&lt;100000000,VALUE($B450),1000000000),IFERROR(IF(VALUE(MID($B450,2,20))&lt;100000000,VALUE(MID($B450,2,20)),1000000000),1000000000))+ROW()/100000,"")</f>
        <v/>
      </c>
    </row>
    <row r="451">
      <c r="A451">
        <f>IF($B451="","",IFERROR(IF(INDEX('Per Invoice'!$A$2:$A$201,MATCH($B451,'Per Invoice'!$B$2:$B$201,0))=0,"",INDEX('Per Invoice'!$A$2:$A$201,MATCH($B451,'Per Invoice'!$B$2:$B$201,0))),""))</f>
        <v/>
      </c>
      <c r="G451" s="7">
        <f>IF($B451="","",F451*L451/100)</f>
        <v/>
      </c>
      <c r="J451" s="7" t="n"/>
      <c r="L451" s="7" t="n"/>
      <c r="M451" s="7" t="n"/>
      <c r="P451" s="11" t="n"/>
      <c r="S451">
        <f>IF($B451="","",IF($Y451=1,Settings!$C$6,Settings!$C$7)*1)</f>
        <v/>
      </c>
      <c r="T451" s="7">
        <f>IF($B451="","",S451*L451)</f>
        <v/>
      </c>
      <c r="U451" s="7">
        <f>IF($B451="","",L451-T451)</f>
        <v/>
      </c>
      <c r="V451" s="7">
        <f>IF($B451="","",U451-G451)</f>
        <v/>
      </c>
      <c r="W451">
        <f>IF($B451="","",IF(COUNTIF($B$2:$B451,$B451)=1,1,0))</f>
        <v/>
      </c>
      <c r="X451">
        <f>IF($W451=1,SUMPRODUCT(--($Z$2:$Z$501&lt;$Z451))+1,"")</f>
        <v/>
      </c>
      <c r="Y451">
        <f>IF($B451="","",IF(OR($R451=TRUE(),$R451="TRUE"),1,0))</f>
        <v/>
      </c>
      <c r="Z451">
        <f>IF($W451=1,IFERROR(IF(VALUE($B451)&lt;100000000,VALUE($B451),1000000000),IFERROR(IF(VALUE(MID($B451,2,20))&lt;100000000,VALUE(MID($B451,2,20)),1000000000),1000000000))+ROW()/100000,"")</f>
        <v/>
      </c>
    </row>
    <row r="452">
      <c r="A452">
        <f>IF($B452="","",IFERROR(IF(INDEX('Per Invoice'!$A$2:$A$201,MATCH($B452,'Per Invoice'!$B$2:$B$201,0))=0,"",INDEX('Per Invoice'!$A$2:$A$201,MATCH($B452,'Per Invoice'!$B$2:$B$201,0))),""))</f>
        <v/>
      </c>
      <c r="G452" s="7">
        <f>IF($B452="","",F452*L452/100)</f>
        <v/>
      </c>
      <c r="J452" s="7" t="n"/>
      <c r="L452" s="7" t="n"/>
      <c r="M452" s="7" t="n"/>
      <c r="P452" s="11" t="n"/>
      <c r="S452">
        <f>IF($B452="","",IF($Y452=1,Settings!$C$6,Settings!$C$7)*1)</f>
        <v/>
      </c>
      <c r="T452" s="7">
        <f>IF($B452="","",S452*L452)</f>
        <v/>
      </c>
      <c r="U452" s="7">
        <f>IF($B452="","",L452-T452)</f>
        <v/>
      </c>
      <c r="V452" s="7">
        <f>IF($B452="","",U452-G452)</f>
        <v/>
      </c>
      <c r="W452">
        <f>IF($B452="","",IF(COUNTIF($B$2:$B452,$B452)=1,1,0))</f>
        <v/>
      </c>
      <c r="X452">
        <f>IF($W452=1,SUMPRODUCT(--($Z$2:$Z$501&lt;$Z452))+1,"")</f>
        <v/>
      </c>
      <c r="Y452">
        <f>IF($B452="","",IF(OR($R452=TRUE(),$R452="TRUE"),1,0))</f>
        <v/>
      </c>
      <c r="Z452">
        <f>IF($W452=1,IFERROR(IF(VALUE($B452)&lt;100000000,VALUE($B452),1000000000),IFERROR(IF(VALUE(MID($B452,2,20))&lt;100000000,VALUE(MID($B452,2,20)),1000000000),1000000000))+ROW()/100000,"")</f>
        <v/>
      </c>
    </row>
    <row r="453">
      <c r="A453">
        <f>IF($B453="","",IFERROR(IF(INDEX('Per Invoice'!$A$2:$A$201,MATCH($B453,'Per Invoice'!$B$2:$B$201,0))=0,"",INDEX('Per Invoice'!$A$2:$A$201,MATCH($B453,'Per Invoice'!$B$2:$B$201,0))),""))</f>
        <v/>
      </c>
      <c r="G453" s="7">
        <f>IF($B453="","",F453*L453/100)</f>
        <v/>
      </c>
      <c r="J453" s="7" t="n"/>
      <c r="L453" s="7" t="n"/>
      <c r="M453" s="7" t="n"/>
      <c r="P453" s="11" t="n"/>
      <c r="S453">
        <f>IF($B453="","",IF($Y453=1,Settings!$C$6,Settings!$C$7)*1)</f>
        <v/>
      </c>
      <c r="T453" s="7">
        <f>IF($B453="","",S453*L453)</f>
        <v/>
      </c>
      <c r="U453" s="7">
        <f>IF($B453="","",L453-T453)</f>
        <v/>
      </c>
      <c r="V453" s="7">
        <f>IF($B453="","",U453-G453)</f>
        <v/>
      </c>
      <c r="W453">
        <f>IF($B453="","",IF(COUNTIF($B$2:$B453,$B453)=1,1,0))</f>
        <v/>
      </c>
      <c r="X453">
        <f>IF($W453=1,SUMPRODUCT(--($Z$2:$Z$501&lt;$Z453))+1,"")</f>
        <v/>
      </c>
      <c r="Y453">
        <f>IF($B453="","",IF(OR($R453=TRUE(),$R453="TRUE"),1,0))</f>
        <v/>
      </c>
      <c r="Z453">
        <f>IF($W453=1,IFERROR(IF(VALUE($B453)&lt;100000000,VALUE($B453),1000000000),IFERROR(IF(VALUE(MID($B453,2,20))&lt;100000000,VALUE(MID($B453,2,20)),1000000000),1000000000))+ROW()/100000,"")</f>
        <v/>
      </c>
    </row>
    <row r="454">
      <c r="A454">
        <f>IF($B454="","",IFERROR(IF(INDEX('Per Invoice'!$A$2:$A$201,MATCH($B454,'Per Invoice'!$B$2:$B$201,0))=0,"",INDEX('Per Invoice'!$A$2:$A$201,MATCH($B454,'Per Invoice'!$B$2:$B$201,0))),""))</f>
        <v/>
      </c>
      <c r="G454" s="7">
        <f>IF($B454="","",F454*L454/100)</f>
        <v/>
      </c>
      <c r="J454" s="7" t="n"/>
      <c r="L454" s="7" t="n"/>
      <c r="M454" s="7" t="n"/>
      <c r="P454" s="11" t="n"/>
      <c r="S454">
        <f>IF($B454="","",IF($Y454=1,Settings!$C$6,Settings!$C$7)*1)</f>
        <v/>
      </c>
      <c r="T454" s="7">
        <f>IF($B454="","",S454*L454)</f>
        <v/>
      </c>
      <c r="U454" s="7">
        <f>IF($B454="","",L454-T454)</f>
        <v/>
      </c>
      <c r="V454" s="7">
        <f>IF($B454="","",U454-G454)</f>
        <v/>
      </c>
      <c r="W454">
        <f>IF($B454="","",IF(COUNTIF($B$2:$B454,$B454)=1,1,0))</f>
        <v/>
      </c>
      <c r="X454">
        <f>IF($W454=1,SUMPRODUCT(--($Z$2:$Z$501&lt;$Z454))+1,"")</f>
        <v/>
      </c>
      <c r="Y454">
        <f>IF($B454="","",IF(OR($R454=TRUE(),$R454="TRUE"),1,0))</f>
        <v/>
      </c>
      <c r="Z454">
        <f>IF($W454=1,IFERROR(IF(VALUE($B454)&lt;100000000,VALUE($B454),1000000000),IFERROR(IF(VALUE(MID($B454,2,20))&lt;100000000,VALUE(MID($B454,2,20)),1000000000),1000000000))+ROW()/100000,"")</f>
        <v/>
      </c>
    </row>
    <row r="455">
      <c r="A455">
        <f>IF($B455="","",IFERROR(IF(INDEX('Per Invoice'!$A$2:$A$201,MATCH($B455,'Per Invoice'!$B$2:$B$201,0))=0,"",INDEX('Per Invoice'!$A$2:$A$201,MATCH($B455,'Per Invoice'!$B$2:$B$201,0))),""))</f>
        <v/>
      </c>
      <c r="G455" s="7">
        <f>IF($B455="","",F455*L455/100)</f>
        <v/>
      </c>
      <c r="J455" s="7" t="n"/>
      <c r="L455" s="7" t="n"/>
      <c r="M455" s="7" t="n"/>
      <c r="P455" s="11" t="n"/>
      <c r="S455">
        <f>IF($B455="","",IF($Y455=1,Settings!$C$6,Settings!$C$7)*1)</f>
        <v/>
      </c>
      <c r="T455" s="7">
        <f>IF($B455="","",S455*L455)</f>
        <v/>
      </c>
      <c r="U455" s="7">
        <f>IF($B455="","",L455-T455)</f>
        <v/>
      </c>
      <c r="V455" s="7">
        <f>IF($B455="","",U455-G455)</f>
        <v/>
      </c>
      <c r="W455">
        <f>IF($B455="","",IF(COUNTIF($B$2:$B455,$B455)=1,1,0))</f>
        <v/>
      </c>
      <c r="X455">
        <f>IF($W455=1,SUMPRODUCT(--($Z$2:$Z$501&lt;$Z455))+1,"")</f>
        <v/>
      </c>
      <c r="Y455">
        <f>IF($B455="","",IF(OR($R455=TRUE(),$R455="TRUE"),1,0))</f>
        <v/>
      </c>
      <c r="Z455">
        <f>IF($W455=1,IFERROR(IF(VALUE($B455)&lt;100000000,VALUE($B455),1000000000),IFERROR(IF(VALUE(MID($B455,2,20))&lt;100000000,VALUE(MID($B455,2,20)),1000000000),1000000000))+ROW()/100000,"")</f>
        <v/>
      </c>
    </row>
    <row r="456">
      <c r="A456">
        <f>IF($B456="","",IFERROR(IF(INDEX('Per Invoice'!$A$2:$A$201,MATCH($B456,'Per Invoice'!$B$2:$B$201,0))=0,"",INDEX('Per Invoice'!$A$2:$A$201,MATCH($B456,'Per Invoice'!$B$2:$B$201,0))),""))</f>
        <v/>
      </c>
      <c r="G456" s="7">
        <f>IF($B456="","",F456*L456/100)</f>
        <v/>
      </c>
      <c r="J456" s="7" t="n"/>
      <c r="L456" s="7" t="n"/>
      <c r="M456" s="7" t="n"/>
      <c r="P456" s="11" t="n"/>
      <c r="S456">
        <f>IF($B456="","",IF($Y456=1,Settings!$C$6,Settings!$C$7)*1)</f>
        <v/>
      </c>
      <c r="T456" s="7">
        <f>IF($B456="","",S456*L456)</f>
        <v/>
      </c>
      <c r="U456" s="7">
        <f>IF($B456="","",L456-T456)</f>
        <v/>
      </c>
      <c r="V456" s="7">
        <f>IF($B456="","",U456-G456)</f>
        <v/>
      </c>
      <c r="W456">
        <f>IF($B456="","",IF(COUNTIF($B$2:$B456,$B456)=1,1,0))</f>
        <v/>
      </c>
      <c r="X456">
        <f>IF($W456=1,SUMPRODUCT(--($Z$2:$Z$501&lt;$Z456))+1,"")</f>
        <v/>
      </c>
      <c r="Y456">
        <f>IF($B456="","",IF(OR($R456=TRUE(),$R456="TRUE"),1,0))</f>
        <v/>
      </c>
      <c r="Z456">
        <f>IF($W456=1,IFERROR(IF(VALUE($B456)&lt;100000000,VALUE($B456),1000000000),IFERROR(IF(VALUE(MID($B456,2,20))&lt;100000000,VALUE(MID($B456,2,20)),1000000000),1000000000))+ROW()/100000,"")</f>
        <v/>
      </c>
    </row>
    <row r="457">
      <c r="A457">
        <f>IF($B457="","",IFERROR(IF(INDEX('Per Invoice'!$A$2:$A$201,MATCH($B457,'Per Invoice'!$B$2:$B$201,0))=0,"",INDEX('Per Invoice'!$A$2:$A$201,MATCH($B457,'Per Invoice'!$B$2:$B$201,0))),""))</f>
        <v/>
      </c>
      <c r="G457" s="7">
        <f>IF($B457="","",F457*L457/100)</f>
        <v/>
      </c>
      <c r="J457" s="7" t="n"/>
      <c r="L457" s="7" t="n"/>
      <c r="M457" s="7" t="n"/>
      <c r="P457" s="11" t="n"/>
      <c r="S457">
        <f>IF($B457="","",IF($Y457=1,Settings!$C$6,Settings!$C$7)*1)</f>
        <v/>
      </c>
      <c r="T457" s="7">
        <f>IF($B457="","",S457*L457)</f>
        <v/>
      </c>
      <c r="U457" s="7">
        <f>IF($B457="","",L457-T457)</f>
        <v/>
      </c>
      <c r="V457" s="7">
        <f>IF($B457="","",U457-G457)</f>
        <v/>
      </c>
      <c r="W457">
        <f>IF($B457="","",IF(COUNTIF($B$2:$B457,$B457)=1,1,0))</f>
        <v/>
      </c>
      <c r="X457">
        <f>IF($W457=1,SUMPRODUCT(--($Z$2:$Z$501&lt;$Z457))+1,"")</f>
        <v/>
      </c>
      <c r="Y457">
        <f>IF($B457="","",IF(OR($R457=TRUE(),$R457="TRUE"),1,0))</f>
        <v/>
      </c>
      <c r="Z457">
        <f>IF($W457=1,IFERROR(IF(VALUE($B457)&lt;100000000,VALUE($B457),1000000000),IFERROR(IF(VALUE(MID($B457,2,20))&lt;100000000,VALUE(MID($B457,2,20)),1000000000),1000000000))+ROW()/100000,"")</f>
        <v/>
      </c>
    </row>
    <row r="458">
      <c r="A458">
        <f>IF($B458="","",IFERROR(IF(INDEX('Per Invoice'!$A$2:$A$201,MATCH($B458,'Per Invoice'!$B$2:$B$201,0))=0,"",INDEX('Per Invoice'!$A$2:$A$201,MATCH($B458,'Per Invoice'!$B$2:$B$201,0))),""))</f>
        <v/>
      </c>
      <c r="G458" s="7">
        <f>IF($B458="","",F458*L458/100)</f>
        <v/>
      </c>
      <c r="J458" s="7" t="n"/>
      <c r="L458" s="7" t="n"/>
      <c r="M458" s="7" t="n"/>
      <c r="P458" s="11" t="n"/>
      <c r="S458">
        <f>IF($B458="","",IF($Y458=1,Settings!$C$6,Settings!$C$7)*1)</f>
        <v/>
      </c>
      <c r="T458" s="7">
        <f>IF($B458="","",S458*L458)</f>
        <v/>
      </c>
      <c r="U458" s="7">
        <f>IF($B458="","",L458-T458)</f>
        <v/>
      </c>
      <c r="V458" s="7">
        <f>IF($B458="","",U458-G458)</f>
        <v/>
      </c>
      <c r="W458">
        <f>IF($B458="","",IF(COUNTIF($B$2:$B458,$B458)=1,1,0))</f>
        <v/>
      </c>
      <c r="X458">
        <f>IF($W458=1,SUMPRODUCT(--($Z$2:$Z$501&lt;$Z458))+1,"")</f>
        <v/>
      </c>
      <c r="Y458">
        <f>IF($B458="","",IF(OR($R458=TRUE(),$R458="TRUE"),1,0))</f>
        <v/>
      </c>
      <c r="Z458">
        <f>IF($W458=1,IFERROR(IF(VALUE($B458)&lt;100000000,VALUE($B458),1000000000),IFERROR(IF(VALUE(MID($B458,2,20))&lt;100000000,VALUE(MID($B458,2,20)),1000000000),1000000000))+ROW()/100000,"")</f>
        <v/>
      </c>
    </row>
    <row r="459">
      <c r="A459">
        <f>IF($B459="","",IFERROR(IF(INDEX('Per Invoice'!$A$2:$A$201,MATCH($B459,'Per Invoice'!$B$2:$B$201,0))=0,"",INDEX('Per Invoice'!$A$2:$A$201,MATCH($B459,'Per Invoice'!$B$2:$B$201,0))),""))</f>
        <v/>
      </c>
      <c r="G459" s="7">
        <f>IF($B459="","",F459*L459/100)</f>
        <v/>
      </c>
      <c r="J459" s="7" t="n"/>
      <c r="L459" s="7" t="n"/>
      <c r="M459" s="7" t="n"/>
      <c r="P459" s="11" t="n"/>
      <c r="S459">
        <f>IF($B459="","",IF($Y459=1,Settings!$C$6,Settings!$C$7)*1)</f>
        <v/>
      </c>
      <c r="T459" s="7">
        <f>IF($B459="","",S459*L459)</f>
        <v/>
      </c>
      <c r="U459" s="7">
        <f>IF($B459="","",L459-T459)</f>
        <v/>
      </c>
      <c r="V459" s="7">
        <f>IF($B459="","",U459-G459)</f>
        <v/>
      </c>
      <c r="W459">
        <f>IF($B459="","",IF(COUNTIF($B$2:$B459,$B459)=1,1,0))</f>
        <v/>
      </c>
      <c r="X459">
        <f>IF($W459=1,SUMPRODUCT(--($Z$2:$Z$501&lt;$Z459))+1,"")</f>
        <v/>
      </c>
      <c r="Y459">
        <f>IF($B459="","",IF(OR($R459=TRUE(),$R459="TRUE"),1,0))</f>
        <v/>
      </c>
      <c r="Z459">
        <f>IF($W459=1,IFERROR(IF(VALUE($B459)&lt;100000000,VALUE($B459),1000000000),IFERROR(IF(VALUE(MID($B459,2,20))&lt;100000000,VALUE(MID($B459,2,20)),1000000000),1000000000))+ROW()/100000,"")</f>
        <v/>
      </c>
    </row>
    <row r="460">
      <c r="A460">
        <f>IF($B460="","",IFERROR(IF(INDEX('Per Invoice'!$A$2:$A$201,MATCH($B460,'Per Invoice'!$B$2:$B$201,0))=0,"",INDEX('Per Invoice'!$A$2:$A$201,MATCH($B460,'Per Invoice'!$B$2:$B$201,0))),""))</f>
        <v/>
      </c>
      <c r="G460" s="7">
        <f>IF($B460="","",F460*L460/100)</f>
        <v/>
      </c>
      <c r="J460" s="7" t="n"/>
      <c r="L460" s="7" t="n"/>
      <c r="M460" s="7" t="n"/>
      <c r="P460" s="11" t="n"/>
      <c r="S460">
        <f>IF($B460="","",IF($Y460=1,Settings!$C$6,Settings!$C$7)*1)</f>
        <v/>
      </c>
      <c r="T460" s="7">
        <f>IF($B460="","",S460*L460)</f>
        <v/>
      </c>
      <c r="U460" s="7">
        <f>IF($B460="","",L460-T460)</f>
        <v/>
      </c>
      <c r="V460" s="7">
        <f>IF($B460="","",U460-G460)</f>
        <v/>
      </c>
      <c r="W460">
        <f>IF($B460="","",IF(COUNTIF($B$2:$B460,$B460)=1,1,0))</f>
        <v/>
      </c>
      <c r="X460">
        <f>IF($W460=1,SUMPRODUCT(--($Z$2:$Z$501&lt;$Z460))+1,"")</f>
        <v/>
      </c>
      <c r="Y460">
        <f>IF($B460="","",IF(OR($R460=TRUE(),$R460="TRUE"),1,0))</f>
        <v/>
      </c>
      <c r="Z460">
        <f>IF($W460=1,IFERROR(IF(VALUE($B460)&lt;100000000,VALUE($B460),1000000000),IFERROR(IF(VALUE(MID($B460,2,20))&lt;100000000,VALUE(MID($B460,2,20)),1000000000),1000000000))+ROW()/100000,"")</f>
        <v/>
      </c>
    </row>
    <row r="461">
      <c r="A461">
        <f>IF($B461="","",IFERROR(IF(INDEX('Per Invoice'!$A$2:$A$201,MATCH($B461,'Per Invoice'!$B$2:$B$201,0))=0,"",INDEX('Per Invoice'!$A$2:$A$201,MATCH($B461,'Per Invoice'!$B$2:$B$201,0))),""))</f>
        <v/>
      </c>
      <c r="G461" s="7">
        <f>IF($B461="","",F461*L461/100)</f>
        <v/>
      </c>
      <c r="J461" s="7" t="n"/>
      <c r="L461" s="7" t="n"/>
      <c r="M461" s="7" t="n"/>
      <c r="P461" s="11" t="n"/>
      <c r="S461">
        <f>IF($B461="","",IF($Y461=1,Settings!$C$6,Settings!$C$7)*1)</f>
        <v/>
      </c>
      <c r="T461" s="7">
        <f>IF($B461="","",S461*L461)</f>
        <v/>
      </c>
      <c r="U461" s="7">
        <f>IF($B461="","",L461-T461)</f>
        <v/>
      </c>
      <c r="V461" s="7">
        <f>IF($B461="","",U461-G461)</f>
        <v/>
      </c>
      <c r="W461">
        <f>IF($B461="","",IF(COUNTIF($B$2:$B461,$B461)=1,1,0))</f>
        <v/>
      </c>
      <c r="X461">
        <f>IF($W461=1,SUMPRODUCT(--($Z$2:$Z$501&lt;$Z461))+1,"")</f>
        <v/>
      </c>
      <c r="Y461">
        <f>IF($B461="","",IF(OR($R461=TRUE(),$R461="TRUE"),1,0))</f>
        <v/>
      </c>
      <c r="Z461">
        <f>IF($W461=1,IFERROR(IF(VALUE($B461)&lt;100000000,VALUE($B461),1000000000),IFERROR(IF(VALUE(MID($B461,2,20))&lt;100000000,VALUE(MID($B461,2,20)),1000000000),1000000000))+ROW()/100000,"")</f>
        <v/>
      </c>
    </row>
    <row r="462">
      <c r="A462">
        <f>IF($B462="","",IFERROR(IF(INDEX('Per Invoice'!$A$2:$A$201,MATCH($B462,'Per Invoice'!$B$2:$B$201,0))=0,"",INDEX('Per Invoice'!$A$2:$A$201,MATCH($B462,'Per Invoice'!$B$2:$B$201,0))),""))</f>
        <v/>
      </c>
      <c r="G462" s="7">
        <f>IF($B462="","",F462*L462/100)</f>
        <v/>
      </c>
      <c r="J462" s="7" t="n"/>
      <c r="L462" s="7" t="n"/>
      <c r="M462" s="7" t="n"/>
      <c r="P462" s="11" t="n"/>
      <c r="S462">
        <f>IF($B462="","",IF($Y462=1,Settings!$C$6,Settings!$C$7)*1)</f>
        <v/>
      </c>
      <c r="T462" s="7">
        <f>IF($B462="","",S462*L462)</f>
        <v/>
      </c>
      <c r="U462" s="7">
        <f>IF($B462="","",L462-T462)</f>
        <v/>
      </c>
      <c r="V462" s="7">
        <f>IF($B462="","",U462-G462)</f>
        <v/>
      </c>
      <c r="W462">
        <f>IF($B462="","",IF(COUNTIF($B$2:$B462,$B462)=1,1,0))</f>
        <v/>
      </c>
      <c r="X462">
        <f>IF($W462=1,SUMPRODUCT(--($Z$2:$Z$501&lt;$Z462))+1,"")</f>
        <v/>
      </c>
      <c r="Y462">
        <f>IF($B462="","",IF(OR($R462=TRUE(),$R462="TRUE"),1,0))</f>
        <v/>
      </c>
      <c r="Z462">
        <f>IF($W462=1,IFERROR(IF(VALUE($B462)&lt;100000000,VALUE($B462),1000000000),IFERROR(IF(VALUE(MID($B462,2,20))&lt;100000000,VALUE(MID($B462,2,20)),1000000000),1000000000))+ROW()/100000,"")</f>
        <v/>
      </c>
    </row>
    <row r="463">
      <c r="A463">
        <f>IF($B463="","",IFERROR(IF(INDEX('Per Invoice'!$A$2:$A$201,MATCH($B463,'Per Invoice'!$B$2:$B$201,0))=0,"",INDEX('Per Invoice'!$A$2:$A$201,MATCH($B463,'Per Invoice'!$B$2:$B$201,0))),""))</f>
        <v/>
      </c>
      <c r="G463" s="7">
        <f>IF($B463="","",F463*L463/100)</f>
        <v/>
      </c>
      <c r="J463" s="7" t="n"/>
      <c r="L463" s="7" t="n"/>
      <c r="M463" s="7" t="n"/>
      <c r="P463" s="11" t="n"/>
      <c r="S463">
        <f>IF($B463="","",IF($Y463=1,Settings!$C$6,Settings!$C$7)*1)</f>
        <v/>
      </c>
      <c r="T463" s="7">
        <f>IF($B463="","",S463*L463)</f>
        <v/>
      </c>
      <c r="U463" s="7">
        <f>IF($B463="","",L463-T463)</f>
        <v/>
      </c>
      <c r="V463" s="7">
        <f>IF($B463="","",U463-G463)</f>
        <v/>
      </c>
      <c r="W463">
        <f>IF($B463="","",IF(COUNTIF($B$2:$B463,$B463)=1,1,0))</f>
        <v/>
      </c>
      <c r="X463">
        <f>IF($W463=1,SUMPRODUCT(--($Z$2:$Z$501&lt;$Z463))+1,"")</f>
        <v/>
      </c>
      <c r="Y463">
        <f>IF($B463="","",IF(OR($R463=TRUE(),$R463="TRUE"),1,0))</f>
        <v/>
      </c>
      <c r="Z463">
        <f>IF($W463=1,IFERROR(IF(VALUE($B463)&lt;100000000,VALUE($B463),1000000000),IFERROR(IF(VALUE(MID($B463,2,20))&lt;100000000,VALUE(MID($B463,2,20)),1000000000),1000000000))+ROW()/100000,"")</f>
        <v/>
      </c>
    </row>
    <row r="464">
      <c r="A464">
        <f>IF($B464="","",IFERROR(IF(INDEX('Per Invoice'!$A$2:$A$201,MATCH($B464,'Per Invoice'!$B$2:$B$201,0))=0,"",INDEX('Per Invoice'!$A$2:$A$201,MATCH($B464,'Per Invoice'!$B$2:$B$201,0))),""))</f>
        <v/>
      </c>
      <c r="G464" s="7">
        <f>IF($B464="","",F464*L464/100)</f>
        <v/>
      </c>
      <c r="J464" s="7" t="n"/>
      <c r="L464" s="7" t="n"/>
      <c r="M464" s="7" t="n"/>
      <c r="P464" s="11" t="n"/>
      <c r="S464">
        <f>IF($B464="","",IF($Y464=1,Settings!$C$6,Settings!$C$7)*1)</f>
        <v/>
      </c>
      <c r="T464" s="7">
        <f>IF($B464="","",S464*L464)</f>
        <v/>
      </c>
      <c r="U464" s="7">
        <f>IF($B464="","",L464-T464)</f>
        <v/>
      </c>
      <c r="V464" s="7">
        <f>IF($B464="","",U464-G464)</f>
        <v/>
      </c>
      <c r="W464">
        <f>IF($B464="","",IF(COUNTIF($B$2:$B464,$B464)=1,1,0))</f>
        <v/>
      </c>
      <c r="X464">
        <f>IF($W464=1,SUMPRODUCT(--($Z$2:$Z$501&lt;$Z464))+1,"")</f>
        <v/>
      </c>
      <c r="Y464">
        <f>IF($B464="","",IF(OR($R464=TRUE(),$R464="TRUE"),1,0))</f>
        <v/>
      </c>
      <c r="Z464">
        <f>IF($W464=1,IFERROR(IF(VALUE($B464)&lt;100000000,VALUE($B464),1000000000),IFERROR(IF(VALUE(MID($B464,2,20))&lt;100000000,VALUE(MID($B464,2,20)),1000000000),1000000000))+ROW()/100000,"")</f>
        <v/>
      </c>
    </row>
    <row r="465">
      <c r="A465">
        <f>IF($B465="","",IFERROR(IF(INDEX('Per Invoice'!$A$2:$A$201,MATCH($B465,'Per Invoice'!$B$2:$B$201,0))=0,"",INDEX('Per Invoice'!$A$2:$A$201,MATCH($B465,'Per Invoice'!$B$2:$B$201,0))),""))</f>
        <v/>
      </c>
      <c r="G465" s="7">
        <f>IF($B465="","",F465*L465/100)</f>
        <v/>
      </c>
      <c r="J465" s="7" t="n"/>
      <c r="L465" s="7" t="n"/>
      <c r="M465" s="7" t="n"/>
      <c r="P465" s="11" t="n"/>
      <c r="S465">
        <f>IF($B465="","",IF($Y465=1,Settings!$C$6,Settings!$C$7)*1)</f>
        <v/>
      </c>
      <c r="T465" s="7">
        <f>IF($B465="","",S465*L465)</f>
        <v/>
      </c>
      <c r="U465" s="7">
        <f>IF($B465="","",L465-T465)</f>
        <v/>
      </c>
      <c r="V465" s="7">
        <f>IF($B465="","",U465-G465)</f>
        <v/>
      </c>
      <c r="W465">
        <f>IF($B465="","",IF(COUNTIF($B$2:$B465,$B465)=1,1,0))</f>
        <v/>
      </c>
      <c r="X465">
        <f>IF($W465=1,SUMPRODUCT(--($Z$2:$Z$501&lt;$Z465))+1,"")</f>
        <v/>
      </c>
      <c r="Y465">
        <f>IF($B465="","",IF(OR($R465=TRUE(),$R465="TRUE"),1,0))</f>
        <v/>
      </c>
      <c r="Z465">
        <f>IF($W465=1,IFERROR(IF(VALUE($B465)&lt;100000000,VALUE($B465),1000000000),IFERROR(IF(VALUE(MID($B465,2,20))&lt;100000000,VALUE(MID($B465,2,20)),1000000000),1000000000))+ROW()/100000,"")</f>
        <v/>
      </c>
    </row>
    <row r="466">
      <c r="A466">
        <f>IF($B466="","",IFERROR(IF(INDEX('Per Invoice'!$A$2:$A$201,MATCH($B466,'Per Invoice'!$B$2:$B$201,0))=0,"",INDEX('Per Invoice'!$A$2:$A$201,MATCH($B466,'Per Invoice'!$B$2:$B$201,0))),""))</f>
        <v/>
      </c>
      <c r="G466" s="7">
        <f>IF($B466="","",F466*L466/100)</f>
        <v/>
      </c>
      <c r="J466" s="7" t="n"/>
      <c r="L466" s="7" t="n"/>
      <c r="M466" s="7" t="n"/>
      <c r="P466" s="11" t="n"/>
      <c r="S466">
        <f>IF($B466="","",IF($Y466=1,Settings!$C$6,Settings!$C$7)*1)</f>
        <v/>
      </c>
      <c r="T466" s="7">
        <f>IF($B466="","",S466*L466)</f>
        <v/>
      </c>
      <c r="U466" s="7">
        <f>IF($B466="","",L466-T466)</f>
        <v/>
      </c>
      <c r="V466" s="7">
        <f>IF($B466="","",U466-G466)</f>
        <v/>
      </c>
      <c r="W466">
        <f>IF($B466="","",IF(COUNTIF($B$2:$B466,$B466)=1,1,0))</f>
        <v/>
      </c>
      <c r="X466">
        <f>IF($W466=1,SUMPRODUCT(--($Z$2:$Z$501&lt;$Z466))+1,"")</f>
        <v/>
      </c>
      <c r="Y466">
        <f>IF($B466="","",IF(OR($R466=TRUE(),$R466="TRUE"),1,0))</f>
        <v/>
      </c>
      <c r="Z466">
        <f>IF($W466=1,IFERROR(IF(VALUE($B466)&lt;100000000,VALUE($B466),1000000000),IFERROR(IF(VALUE(MID($B466,2,20))&lt;100000000,VALUE(MID($B466,2,20)),1000000000),1000000000))+ROW()/100000,"")</f>
        <v/>
      </c>
    </row>
    <row r="467">
      <c r="A467">
        <f>IF($B467="","",IFERROR(IF(INDEX('Per Invoice'!$A$2:$A$201,MATCH($B467,'Per Invoice'!$B$2:$B$201,0))=0,"",INDEX('Per Invoice'!$A$2:$A$201,MATCH($B467,'Per Invoice'!$B$2:$B$201,0))),""))</f>
        <v/>
      </c>
      <c r="G467" s="7">
        <f>IF($B467="","",F467*L467/100)</f>
        <v/>
      </c>
      <c r="J467" s="7" t="n"/>
      <c r="L467" s="7" t="n"/>
      <c r="M467" s="7" t="n"/>
      <c r="P467" s="11" t="n"/>
      <c r="S467">
        <f>IF($B467="","",IF($Y467=1,Settings!$C$6,Settings!$C$7)*1)</f>
        <v/>
      </c>
      <c r="T467" s="7">
        <f>IF($B467="","",S467*L467)</f>
        <v/>
      </c>
      <c r="U467" s="7">
        <f>IF($B467="","",L467-T467)</f>
        <v/>
      </c>
      <c r="V467" s="7">
        <f>IF($B467="","",U467-G467)</f>
        <v/>
      </c>
      <c r="W467">
        <f>IF($B467="","",IF(COUNTIF($B$2:$B467,$B467)=1,1,0))</f>
        <v/>
      </c>
      <c r="X467">
        <f>IF($W467=1,SUMPRODUCT(--($Z$2:$Z$501&lt;$Z467))+1,"")</f>
        <v/>
      </c>
      <c r="Y467">
        <f>IF($B467="","",IF(OR($R467=TRUE(),$R467="TRUE"),1,0))</f>
        <v/>
      </c>
      <c r="Z467">
        <f>IF($W467=1,IFERROR(IF(VALUE($B467)&lt;100000000,VALUE($B467),1000000000),IFERROR(IF(VALUE(MID($B467,2,20))&lt;100000000,VALUE(MID($B467,2,20)),1000000000),1000000000))+ROW()/100000,"")</f>
        <v/>
      </c>
    </row>
    <row r="468">
      <c r="A468">
        <f>IF($B468="","",IFERROR(IF(INDEX('Per Invoice'!$A$2:$A$201,MATCH($B468,'Per Invoice'!$B$2:$B$201,0))=0,"",INDEX('Per Invoice'!$A$2:$A$201,MATCH($B468,'Per Invoice'!$B$2:$B$201,0))),""))</f>
        <v/>
      </c>
      <c r="G468" s="7">
        <f>IF($B468="","",F468*L468/100)</f>
        <v/>
      </c>
      <c r="J468" s="7" t="n"/>
      <c r="L468" s="7" t="n"/>
      <c r="M468" s="7" t="n"/>
      <c r="P468" s="11" t="n"/>
      <c r="S468">
        <f>IF($B468="","",IF($Y468=1,Settings!$C$6,Settings!$C$7)*1)</f>
        <v/>
      </c>
      <c r="T468" s="7">
        <f>IF($B468="","",S468*L468)</f>
        <v/>
      </c>
      <c r="U468" s="7">
        <f>IF($B468="","",L468-T468)</f>
        <v/>
      </c>
      <c r="V468" s="7">
        <f>IF($B468="","",U468-G468)</f>
        <v/>
      </c>
      <c r="W468">
        <f>IF($B468="","",IF(COUNTIF($B$2:$B468,$B468)=1,1,0))</f>
        <v/>
      </c>
      <c r="X468">
        <f>IF($W468=1,SUMPRODUCT(--($Z$2:$Z$501&lt;$Z468))+1,"")</f>
        <v/>
      </c>
      <c r="Y468">
        <f>IF($B468="","",IF(OR($R468=TRUE(),$R468="TRUE"),1,0))</f>
        <v/>
      </c>
      <c r="Z468">
        <f>IF($W468=1,IFERROR(IF(VALUE($B468)&lt;100000000,VALUE($B468),1000000000),IFERROR(IF(VALUE(MID($B468,2,20))&lt;100000000,VALUE(MID($B468,2,20)),1000000000),1000000000))+ROW()/100000,"")</f>
        <v/>
      </c>
    </row>
    <row r="469">
      <c r="A469">
        <f>IF($B469="","",IFERROR(IF(INDEX('Per Invoice'!$A$2:$A$201,MATCH($B469,'Per Invoice'!$B$2:$B$201,0))=0,"",INDEX('Per Invoice'!$A$2:$A$201,MATCH($B469,'Per Invoice'!$B$2:$B$201,0))),""))</f>
        <v/>
      </c>
      <c r="G469" s="7">
        <f>IF($B469="","",F469*L469/100)</f>
        <v/>
      </c>
      <c r="J469" s="7" t="n"/>
      <c r="L469" s="7" t="n"/>
      <c r="M469" s="7" t="n"/>
      <c r="P469" s="11" t="n"/>
      <c r="S469">
        <f>IF($B469="","",IF($Y469=1,Settings!$C$6,Settings!$C$7)*1)</f>
        <v/>
      </c>
      <c r="T469" s="7">
        <f>IF($B469="","",S469*L469)</f>
        <v/>
      </c>
      <c r="U469" s="7">
        <f>IF($B469="","",L469-T469)</f>
        <v/>
      </c>
      <c r="V469" s="7">
        <f>IF($B469="","",U469-G469)</f>
        <v/>
      </c>
      <c r="W469">
        <f>IF($B469="","",IF(COUNTIF($B$2:$B469,$B469)=1,1,0))</f>
        <v/>
      </c>
      <c r="X469">
        <f>IF($W469=1,SUMPRODUCT(--($Z$2:$Z$501&lt;$Z469))+1,"")</f>
        <v/>
      </c>
      <c r="Y469">
        <f>IF($B469="","",IF(OR($R469=TRUE(),$R469="TRUE"),1,0))</f>
        <v/>
      </c>
      <c r="Z469">
        <f>IF($W469=1,IFERROR(IF(VALUE($B469)&lt;100000000,VALUE($B469),1000000000),IFERROR(IF(VALUE(MID($B469,2,20))&lt;100000000,VALUE(MID($B469,2,20)),1000000000),1000000000))+ROW()/100000,"")</f>
        <v/>
      </c>
    </row>
    <row r="470">
      <c r="A470">
        <f>IF($B470="","",IFERROR(IF(INDEX('Per Invoice'!$A$2:$A$201,MATCH($B470,'Per Invoice'!$B$2:$B$201,0))=0,"",INDEX('Per Invoice'!$A$2:$A$201,MATCH($B470,'Per Invoice'!$B$2:$B$201,0))),""))</f>
        <v/>
      </c>
      <c r="G470" s="7">
        <f>IF($B470="","",F470*L470/100)</f>
        <v/>
      </c>
      <c r="J470" s="7" t="n"/>
      <c r="L470" s="7" t="n"/>
      <c r="M470" s="7" t="n"/>
      <c r="P470" s="11" t="n"/>
      <c r="S470">
        <f>IF($B470="","",IF($Y470=1,Settings!$C$6,Settings!$C$7)*1)</f>
        <v/>
      </c>
      <c r="T470" s="7">
        <f>IF($B470="","",S470*L470)</f>
        <v/>
      </c>
      <c r="U470" s="7">
        <f>IF($B470="","",L470-T470)</f>
        <v/>
      </c>
      <c r="V470" s="7">
        <f>IF($B470="","",U470-G470)</f>
        <v/>
      </c>
      <c r="W470">
        <f>IF($B470="","",IF(COUNTIF($B$2:$B470,$B470)=1,1,0))</f>
        <v/>
      </c>
      <c r="X470">
        <f>IF($W470=1,SUMPRODUCT(--($Z$2:$Z$501&lt;$Z470))+1,"")</f>
        <v/>
      </c>
      <c r="Y470">
        <f>IF($B470="","",IF(OR($R470=TRUE(),$R470="TRUE"),1,0))</f>
        <v/>
      </c>
      <c r="Z470">
        <f>IF($W470=1,IFERROR(IF(VALUE($B470)&lt;100000000,VALUE($B470),1000000000),IFERROR(IF(VALUE(MID($B470,2,20))&lt;100000000,VALUE(MID($B470,2,20)),1000000000),1000000000))+ROW()/100000,"")</f>
        <v/>
      </c>
    </row>
    <row r="471">
      <c r="A471">
        <f>IF($B471="","",IFERROR(IF(INDEX('Per Invoice'!$A$2:$A$201,MATCH($B471,'Per Invoice'!$B$2:$B$201,0))=0,"",INDEX('Per Invoice'!$A$2:$A$201,MATCH($B471,'Per Invoice'!$B$2:$B$201,0))),""))</f>
        <v/>
      </c>
      <c r="G471" s="7">
        <f>IF($B471="","",F471*L471/100)</f>
        <v/>
      </c>
      <c r="J471" s="7" t="n"/>
      <c r="L471" s="7" t="n"/>
      <c r="M471" s="7" t="n"/>
      <c r="P471" s="11" t="n"/>
      <c r="S471">
        <f>IF($B471="","",IF($Y471=1,Settings!$C$6,Settings!$C$7)*1)</f>
        <v/>
      </c>
      <c r="T471" s="7">
        <f>IF($B471="","",S471*L471)</f>
        <v/>
      </c>
      <c r="U471" s="7">
        <f>IF($B471="","",L471-T471)</f>
        <v/>
      </c>
      <c r="V471" s="7">
        <f>IF($B471="","",U471-G471)</f>
        <v/>
      </c>
      <c r="W471">
        <f>IF($B471="","",IF(COUNTIF($B$2:$B471,$B471)=1,1,0))</f>
        <v/>
      </c>
      <c r="X471">
        <f>IF($W471=1,SUMPRODUCT(--($Z$2:$Z$501&lt;$Z471))+1,"")</f>
        <v/>
      </c>
      <c r="Y471">
        <f>IF($B471="","",IF(OR($R471=TRUE(),$R471="TRUE"),1,0))</f>
        <v/>
      </c>
      <c r="Z471">
        <f>IF($W471=1,IFERROR(IF(VALUE($B471)&lt;100000000,VALUE($B471),1000000000),IFERROR(IF(VALUE(MID($B471,2,20))&lt;100000000,VALUE(MID($B471,2,20)),1000000000),1000000000))+ROW()/100000,"")</f>
        <v/>
      </c>
    </row>
    <row r="472">
      <c r="A472">
        <f>IF($B472="","",IFERROR(IF(INDEX('Per Invoice'!$A$2:$A$201,MATCH($B472,'Per Invoice'!$B$2:$B$201,0))=0,"",INDEX('Per Invoice'!$A$2:$A$201,MATCH($B472,'Per Invoice'!$B$2:$B$201,0))),""))</f>
        <v/>
      </c>
      <c r="G472" s="7">
        <f>IF($B472="","",F472*L472/100)</f>
        <v/>
      </c>
      <c r="J472" s="7" t="n"/>
      <c r="L472" s="7" t="n"/>
      <c r="M472" s="7" t="n"/>
      <c r="P472" s="11" t="n"/>
      <c r="S472">
        <f>IF($B472="","",IF($Y472=1,Settings!$C$6,Settings!$C$7)*1)</f>
        <v/>
      </c>
      <c r="T472" s="7">
        <f>IF($B472="","",S472*L472)</f>
        <v/>
      </c>
      <c r="U472" s="7">
        <f>IF($B472="","",L472-T472)</f>
        <v/>
      </c>
      <c r="V472" s="7">
        <f>IF($B472="","",U472-G472)</f>
        <v/>
      </c>
      <c r="W472">
        <f>IF($B472="","",IF(COUNTIF($B$2:$B472,$B472)=1,1,0))</f>
        <v/>
      </c>
      <c r="X472">
        <f>IF($W472=1,SUMPRODUCT(--($Z$2:$Z$501&lt;$Z472))+1,"")</f>
        <v/>
      </c>
      <c r="Y472">
        <f>IF($B472="","",IF(OR($R472=TRUE(),$R472="TRUE"),1,0))</f>
        <v/>
      </c>
      <c r="Z472">
        <f>IF($W472=1,IFERROR(IF(VALUE($B472)&lt;100000000,VALUE($B472),1000000000),IFERROR(IF(VALUE(MID($B472,2,20))&lt;100000000,VALUE(MID($B472,2,20)),1000000000),1000000000))+ROW()/100000,"")</f>
        <v/>
      </c>
    </row>
    <row r="473">
      <c r="A473">
        <f>IF($B473="","",IFERROR(IF(INDEX('Per Invoice'!$A$2:$A$201,MATCH($B473,'Per Invoice'!$B$2:$B$201,0))=0,"",INDEX('Per Invoice'!$A$2:$A$201,MATCH($B473,'Per Invoice'!$B$2:$B$201,0))),""))</f>
        <v/>
      </c>
      <c r="G473" s="7">
        <f>IF($B473="","",F473*L473/100)</f>
        <v/>
      </c>
      <c r="J473" s="7" t="n"/>
      <c r="L473" s="7" t="n"/>
      <c r="M473" s="7" t="n"/>
      <c r="P473" s="11" t="n"/>
      <c r="S473">
        <f>IF($B473="","",IF($Y473=1,Settings!$C$6,Settings!$C$7)*1)</f>
        <v/>
      </c>
      <c r="T473" s="7">
        <f>IF($B473="","",S473*L473)</f>
        <v/>
      </c>
      <c r="U473" s="7">
        <f>IF($B473="","",L473-T473)</f>
        <v/>
      </c>
      <c r="V473" s="7">
        <f>IF($B473="","",U473-G473)</f>
        <v/>
      </c>
      <c r="W473">
        <f>IF($B473="","",IF(COUNTIF($B$2:$B473,$B473)=1,1,0))</f>
        <v/>
      </c>
      <c r="X473">
        <f>IF($W473=1,SUMPRODUCT(--($Z$2:$Z$501&lt;$Z473))+1,"")</f>
        <v/>
      </c>
      <c r="Y473">
        <f>IF($B473="","",IF(OR($R473=TRUE(),$R473="TRUE"),1,0))</f>
        <v/>
      </c>
      <c r="Z473">
        <f>IF($W473=1,IFERROR(IF(VALUE($B473)&lt;100000000,VALUE($B473),1000000000),IFERROR(IF(VALUE(MID($B473,2,20))&lt;100000000,VALUE(MID($B473,2,20)),1000000000),1000000000))+ROW()/100000,"")</f>
        <v/>
      </c>
    </row>
    <row r="474">
      <c r="A474">
        <f>IF($B474="","",IFERROR(IF(INDEX('Per Invoice'!$A$2:$A$201,MATCH($B474,'Per Invoice'!$B$2:$B$201,0))=0,"",INDEX('Per Invoice'!$A$2:$A$201,MATCH($B474,'Per Invoice'!$B$2:$B$201,0))),""))</f>
        <v/>
      </c>
      <c r="G474" s="7">
        <f>IF($B474="","",F474*L474/100)</f>
        <v/>
      </c>
      <c r="J474" s="7" t="n"/>
      <c r="L474" s="7" t="n"/>
      <c r="M474" s="7" t="n"/>
      <c r="P474" s="11" t="n"/>
      <c r="S474">
        <f>IF($B474="","",IF($Y474=1,Settings!$C$6,Settings!$C$7)*1)</f>
        <v/>
      </c>
      <c r="T474" s="7">
        <f>IF($B474="","",S474*L474)</f>
        <v/>
      </c>
      <c r="U474" s="7">
        <f>IF($B474="","",L474-T474)</f>
        <v/>
      </c>
      <c r="V474" s="7">
        <f>IF($B474="","",U474-G474)</f>
        <v/>
      </c>
      <c r="W474">
        <f>IF($B474="","",IF(COUNTIF($B$2:$B474,$B474)=1,1,0))</f>
        <v/>
      </c>
      <c r="X474">
        <f>IF($W474=1,SUMPRODUCT(--($Z$2:$Z$501&lt;$Z474))+1,"")</f>
        <v/>
      </c>
      <c r="Y474">
        <f>IF($B474="","",IF(OR($R474=TRUE(),$R474="TRUE"),1,0))</f>
        <v/>
      </c>
      <c r="Z474">
        <f>IF($W474=1,IFERROR(IF(VALUE($B474)&lt;100000000,VALUE($B474),1000000000),IFERROR(IF(VALUE(MID($B474,2,20))&lt;100000000,VALUE(MID($B474,2,20)),1000000000),1000000000))+ROW()/100000,"")</f>
        <v/>
      </c>
    </row>
    <row r="475">
      <c r="A475">
        <f>IF($B475="","",IFERROR(IF(INDEX('Per Invoice'!$A$2:$A$201,MATCH($B475,'Per Invoice'!$B$2:$B$201,0))=0,"",INDEX('Per Invoice'!$A$2:$A$201,MATCH($B475,'Per Invoice'!$B$2:$B$201,0))),""))</f>
        <v/>
      </c>
      <c r="G475" s="7">
        <f>IF($B475="","",F475*L475/100)</f>
        <v/>
      </c>
      <c r="J475" s="7" t="n"/>
      <c r="L475" s="7" t="n"/>
      <c r="M475" s="7" t="n"/>
      <c r="P475" s="11" t="n"/>
      <c r="S475">
        <f>IF($B475="","",IF($Y475=1,Settings!$C$6,Settings!$C$7)*1)</f>
        <v/>
      </c>
      <c r="T475" s="7">
        <f>IF($B475="","",S475*L475)</f>
        <v/>
      </c>
      <c r="U475" s="7">
        <f>IF($B475="","",L475-T475)</f>
        <v/>
      </c>
      <c r="V475" s="7">
        <f>IF($B475="","",U475-G475)</f>
        <v/>
      </c>
      <c r="W475">
        <f>IF($B475="","",IF(COUNTIF($B$2:$B475,$B475)=1,1,0))</f>
        <v/>
      </c>
      <c r="X475">
        <f>IF($W475=1,SUMPRODUCT(--($Z$2:$Z$501&lt;$Z475))+1,"")</f>
        <v/>
      </c>
      <c r="Y475">
        <f>IF($B475="","",IF(OR($R475=TRUE(),$R475="TRUE"),1,0))</f>
        <v/>
      </c>
      <c r="Z475">
        <f>IF($W475=1,IFERROR(IF(VALUE($B475)&lt;100000000,VALUE($B475),1000000000),IFERROR(IF(VALUE(MID($B475,2,20))&lt;100000000,VALUE(MID($B475,2,20)),1000000000),1000000000))+ROW()/100000,"")</f>
        <v/>
      </c>
    </row>
    <row r="476">
      <c r="A476">
        <f>IF($B476="","",IFERROR(IF(INDEX('Per Invoice'!$A$2:$A$201,MATCH($B476,'Per Invoice'!$B$2:$B$201,0))=0,"",INDEX('Per Invoice'!$A$2:$A$201,MATCH($B476,'Per Invoice'!$B$2:$B$201,0))),""))</f>
        <v/>
      </c>
      <c r="G476" s="7">
        <f>IF($B476="","",F476*L476/100)</f>
        <v/>
      </c>
      <c r="J476" s="7" t="n"/>
      <c r="L476" s="7" t="n"/>
      <c r="M476" s="7" t="n"/>
      <c r="P476" s="11" t="n"/>
      <c r="S476">
        <f>IF($B476="","",IF($Y476=1,Settings!$C$6,Settings!$C$7)*1)</f>
        <v/>
      </c>
      <c r="T476" s="7">
        <f>IF($B476="","",S476*L476)</f>
        <v/>
      </c>
      <c r="U476" s="7">
        <f>IF($B476="","",L476-T476)</f>
        <v/>
      </c>
      <c r="V476" s="7">
        <f>IF($B476="","",U476-G476)</f>
        <v/>
      </c>
      <c r="W476">
        <f>IF($B476="","",IF(COUNTIF($B$2:$B476,$B476)=1,1,0))</f>
        <v/>
      </c>
      <c r="X476">
        <f>IF($W476=1,SUMPRODUCT(--($Z$2:$Z$501&lt;$Z476))+1,"")</f>
        <v/>
      </c>
      <c r="Y476">
        <f>IF($B476="","",IF(OR($R476=TRUE(),$R476="TRUE"),1,0))</f>
        <v/>
      </c>
      <c r="Z476">
        <f>IF($W476=1,IFERROR(IF(VALUE($B476)&lt;100000000,VALUE($B476),1000000000),IFERROR(IF(VALUE(MID($B476,2,20))&lt;100000000,VALUE(MID($B476,2,20)),1000000000),1000000000))+ROW()/100000,"")</f>
        <v/>
      </c>
    </row>
    <row r="477">
      <c r="A477">
        <f>IF($B477="","",IFERROR(IF(INDEX('Per Invoice'!$A$2:$A$201,MATCH($B477,'Per Invoice'!$B$2:$B$201,0))=0,"",INDEX('Per Invoice'!$A$2:$A$201,MATCH($B477,'Per Invoice'!$B$2:$B$201,0))),""))</f>
        <v/>
      </c>
      <c r="G477" s="7">
        <f>IF($B477="","",F477*L477/100)</f>
        <v/>
      </c>
      <c r="J477" s="7" t="n"/>
      <c r="L477" s="7" t="n"/>
      <c r="M477" s="7" t="n"/>
      <c r="P477" s="11" t="n"/>
      <c r="S477">
        <f>IF($B477="","",IF($Y477=1,Settings!$C$6,Settings!$C$7)*1)</f>
        <v/>
      </c>
      <c r="T477" s="7">
        <f>IF($B477="","",S477*L477)</f>
        <v/>
      </c>
      <c r="U477" s="7">
        <f>IF($B477="","",L477-T477)</f>
        <v/>
      </c>
      <c r="V477" s="7">
        <f>IF($B477="","",U477-G477)</f>
        <v/>
      </c>
      <c r="W477">
        <f>IF($B477="","",IF(COUNTIF($B$2:$B477,$B477)=1,1,0))</f>
        <v/>
      </c>
      <c r="X477">
        <f>IF($W477=1,SUMPRODUCT(--($Z$2:$Z$501&lt;$Z477))+1,"")</f>
        <v/>
      </c>
      <c r="Y477">
        <f>IF($B477="","",IF(OR($R477=TRUE(),$R477="TRUE"),1,0))</f>
        <v/>
      </c>
      <c r="Z477">
        <f>IF($W477=1,IFERROR(IF(VALUE($B477)&lt;100000000,VALUE($B477),1000000000),IFERROR(IF(VALUE(MID($B477,2,20))&lt;100000000,VALUE(MID($B477,2,20)),1000000000),1000000000))+ROW()/100000,"")</f>
        <v/>
      </c>
    </row>
    <row r="478">
      <c r="A478">
        <f>IF($B478="","",IFERROR(IF(INDEX('Per Invoice'!$A$2:$A$201,MATCH($B478,'Per Invoice'!$B$2:$B$201,0))=0,"",INDEX('Per Invoice'!$A$2:$A$201,MATCH($B478,'Per Invoice'!$B$2:$B$201,0))),""))</f>
        <v/>
      </c>
      <c r="G478" s="7">
        <f>IF($B478="","",F478*L478/100)</f>
        <v/>
      </c>
      <c r="J478" s="7" t="n"/>
      <c r="L478" s="7" t="n"/>
      <c r="M478" s="7" t="n"/>
      <c r="P478" s="11" t="n"/>
      <c r="S478">
        <f>IF($B478="","",IF($Y478=1,Settings!$C$6,Settings!$C$7)*1)</f>
        <v/>
      </c>
      <c r="T478" s="7">
        <f>IF($B478="","",S478*L478)</f>
        <v/>
      </c>
      <c r="U478" s="7">
        <f>IF($B478="","",L478-T478)</f>
        <v/>
      </c>
      <c r="V478" s="7">
        <f>IF($B478="","",U478-G478)</f>
        <v/>
      </c>
      <c r="W478">
        <f>IF($B478="","",IF(COUNTIF($B$2:$B478,$B478)=1,1,0))</f>
        <v/>
      </c>
      <c r="X478">
        <f>IF($W478=1,SUMPRODUCT(--($Z$2:$Z$501&lt;$Z478))+1,"")</f>
        <v/>
      </c>
      <c r="Y478">
        <f>IF($B478="","",IF(OR($R478=TRUE(),$R478="TRUE"),1,0))</f>
        <v/>
      </c>
      <c r="Z478">
        <f>IF($W478=1,IFERROR(IF(VALUE($B478)&lt;100000000,VALUE($B478),1000000000),IFERROR(IF(VALUE(MID($B478,2,20))&lt;100000000,VALUE(MID($B478,2,20)),1000000000),1000000000))+ROW()/100000,"")</f>
        <v/>
      </c>
    </row>
    <row r="479">
      <c r="A479">
        <f>IF($B479="","",IFERROR(IF(INDEX('Per Invoice'!$A$2:$A$201,MATCH($B479,'Per Invoice'!$B$2:$B$201,0))=0,"",INDEX('Per Invoice'!$A$2:$A$201,MATCH($B479,'Per Invoice'!$B$2:$B$201,0))),""))</f>
        <v/>
      </c>
      <c r="G479" s="7">
        <f>IF($B479="","",F479*L479/100)</f>
        <v/>
      </c>
      <c r="J479" s="7" t="n"/>
      <c r="L479" s="7" t="n"/>
      <c r="M479" s="7" t="n"/>
      <c r="P479" s="11" t="n"/>
      <c r="S479">
        <f>IF($B479="","",IF($Y479=1,Settings!$C$6,Settings!$C$7)*1)</f>
        <v/>
      </c>
      <c r="T479" s="7">
        <f>IF($B479="","",S479*L479)</f>
        <v/>
      </c>
      <c r="U479" s="7">
        <f>IF($B479="","",L479-T479)</f>
        <v/>
      </c>
      <c r="V479" s="7">
        <f>IF($B479="","",U479-G479)</f>
        <v/>
      </c>
      <c r="W479">
        <f>IF($B479="","",IF(COUNTIF($B$2:$B479,$B479)=1,1,0))</f>
        <v/>
      </c>
      <c r="X479">
        <f>IF($W479=1,SUMPRODUCT(--($Z$2:$Z$501&lt;$Z479))+1,"")</f>
        <v/>
      </c>
      <c r="Y479">
        <f>IF($B479="","",IF(OR($R479=TRUE(),$R479="TRUE"),1,0))</f>
        <v/>
      </c>
      <c r="Z479">
        <f>IF($W479=1,IFERROR(IF(VALUE($B479)&lt;100000000,VALUE($B479),1000000000),IFERROR(IF(VALUE(MID($B479,2,20))&lt;100000000,VALUE(MID($B479,2,20)),1000000000),1000000000))+ROW()/100000,"")</f>
        <v/>
      </c>
    </row>
    <row r="480">
      <c r="A480">
        <f>IF($B480="","",IFERROR(IF(INDEX('Per Invoice'!$A$2:$A$201,MATCH($B480,'Per Invoice'!$B$2:$B$201,0))=0,"",INDEX('Per Invoice'!$A$2:$A$201,MATCH($B480,'Per Invoice'!$B$2:$B$201,0))),""))</f>
        <v/>
      </c>
      <c r="G480" s="7">
        <f>IF($B480="","",F480*L480/100)</f>
        <v/>
      </c>
      <c r="J480" s="7" t="n"/>
      <c r="L480" s="7" t="n"/>
      <c r="M480" s="7" t="n"/>
      <c r="P480" s="11" t="n"/>
      <c r="S480">
        <f>IF($B480="","",IF($Y480=1,Settings!$C$6,Settings!$C$7)*1)</f>
        <v/>
      </c>
      <c r="T480" s="7">
        <f>IF($B480="","",S480*L480)</f>
        <v/>
      </c>
      <c r="U480" s="7">
        <f>IF($B480="","",L480-T480)</f>
        <v/>
      </c>
      <c r="V480" s="7">
        <f>IF($B480="","",U480-G480)</f>
        <v/>
      </c>
      <c r="W480">
        <f>IF($B480="","",IF(COUNTIF($B$2:$B480,$B480)=1,1,0))</f>
        <v/>
      </c>
      <c r="X480">
        <f>IF($W480=1,SUMPRODUCT(--($Z$2:$Z$501&lt;$Z480))+1,"")</f>
        <v/>
      </c>
      <c r="Y480">
        <f>IF($B480="","",IF(OR($R480=TRUE(),$R480="TRUE"),1,0))</f>
        <v/>
      </c>
      <c r="Z480">
        <f>IF($W480=1,IFERROR(IF(VALUE($B480)&lt;100000000,VALUE($B480),1000000000),IFERROR(IF(VALUE(MID($B480,2,20))&lt;100000000,VALUE(MID($B480,2,20)),1000000000),1000000000))+ROW()/100000,"")</f>
        <v/>
      </c>
    </row>
    <row r="481">
      <c r="A481">
        <f>IF($B481="","",IFERROR(IF(INDEX('Per Invoice'!$A$2:$A$201,MATCH($B481,'Per Invoice'!$B$2:$B$201,0))=0,"",INDEX('Per Invoice'!$A$2:$A$201,MATCH($B481,'Per Invoice'!$B$2:$B$201,0))),""))</f>
        <v/>
      </c>
      <c r="G481" s="7">
        <f>IF($B481="","",F481*L481/100)</f>
        <v/>
      </c>
      <c r="J481" s="7" t="n"/>
      <c r="L481" s="7" t="n"/>
      <c r="M481" s="7" t="n"/>
      <c r="P481" s="11" t="n"/>
      <c r="S481">
        <f>IF($B481="","",IF($Y481=1,Settings!$C$6,Settings!$C$7)*1)</f>
        <v/>
      </c>
      <c r="T481" s="7">
        <f>IF($B481="","",S481*L481)</f>
        <v/>
      </c>
      <c r="U481" s="7">
        <f>IF($B481="","",L481-T481)</f>
        <v/>
      </c>
      <c r="V481" s="7">
        <f>IF($B481="","",U481-G481)</f>
        <v/>
      </c>
      <c r="W481">
        <f>IF($B481="","",IF(COUNTIF($B$2:$B481,$B481)=1,1,0))</f>
        <v/>
      </c>
      <c r="X481">
        <f>IF($W481=1,SUMPRODUCT(--($Z$2:$Z$501&lt;$Z481))+1,"")</f>
        <v/>
      </c>
      <c r="Y481">
        <f>IF($B481="","",IF(OR($R481=TRUE(),$R481="TRUE"),1,0))</f>
        <v/>
      </c>
      <c r="Z481">
        <f>IF($W481=1,IFERROR(IF(VALUE($B481)&lt;100000000,VALUE($B481),1000000000),IFERROR(IF(VALUE(MID($B481,2,20))&lt;100000000,VALUE(MID($B481,2,20)),1000000000),1000000000))+ROW()/100000,"")</f>
        <v/>
      </c>
    </row>
    <row r="482">
      <c r="A482">
        <f>IF($B482="","",IFERROR(IF(INDEX('Per Invoice'!$A$2:$A$201,MATCH($B482,'Per Invoice'!$B$2:$B$201,0))=0,"",INDEX('Per Invoice'!$A$2:$A$201,MATCH($B482,'Per Invoice'!$B$2:$B$201,0))),""))</f>
        <v/>
      </c>
      <c r="G482" s="7">
        <f>IF($B482="","",F482*L482/100)</f>
        <v/>
      </c>
      <c r="J482" s="7" t="n"/>
      <c r="L482" s="7" t="n"/>
      <c r="M482" s="7" t="n"/>
      <c r="P482" s="11" t="n"/>
      <c r="S482">
        <f>IF($B482="","",IF($Y482=1,Settings!$C$6,Settings!$C$7)*1)</f>
        <v/>
      </c>
      <c r="T482" s="7">
        <f>IF($B482="","",S482*L482)</f>
        <v/>
      </c>
      <c r="U482" s="7">
        <f>IF($B482="","",L482-T482)</f>
        <v/>
      </c>
      <c r="V482" s="7">
        <f>IF($B482="","",U482-G482)</f>
        <v/>
      </c>
      <c r="W482">
        <f>IF($B482="","",IF(COUNTIF($B$2:$B482,$B482)=1,1,0))</f>
        <v/>
      </c>
      <c r="X482">
        <f>IF($W482=1,SUMPRODUCT(--($Z$2:$Z$501&lt;$Z482))+1,"")</f>
        <v/>
      </c>
      <c r="Y482">
        <f>IF($B482="","",IF(OR($R482=TRUE(),$R482="TRUE"),1,0))</f>
        <v/>
      </c>
      <c r="Z482">
        <f>IF($W482=1,IFERROR(IF(VALUE($B482)&lt;100000000,VALUE($B482),1000000000),IFERROR(IF(VALUE(MID($B482,2,20))&lt;100000000,VALUE(MID($B482,2,20)),1000000000),1000000000))+ROW()/100000,"")</f>
        <v/>
      </c>
    </row>
    <row r="483">
      <c r="A483">
        <f>IF($B483="","",IFERROR(IF(INDEX('Per Invoice'!$A$2:$A$201,MATCH($B483,'Per Invoice'!$B$2:$B$201,0))=0,"",INDEX('Per Invoice'!$A$2:$A$201,MATCH($B483,'Per Invoice'!$B$2:$B$201,0))),""))</f>
        <v/>
      </c>
      <c r="G483" s="7">
        <f>IF($B483="","",F483*L483/100)</f>
        <v/>
      </c>
      <c r="J483" s="7" t="n"/>
      <c r="L483" s="7" t="n"/>
      <c r="M483" s="7" t="n"/>
      <c r="P483" s="11" t="n"/>
      <c r="S483">
        <f>IF($B483="","",IF($Y483=1,Settings!$C$6,Settings!$C$7)*1)</f>
        <v/>
      </c>
      <c r="T483" s="7">
        <f>IF($B483="","",S483*L483)</f>
        <v/>
      </c>
      <c r="U483" s="7">
        <f>IF($B483="","",L483-T483)</f>
        <v/>
      </c>
      <c r="V483" s="7">
        <f>IF($B483="","",U483-G483)</f>
        <v/>
      </c>
      <c r="W483">
        <f>IF($B483="","",IF(COUNTIF($B$2:$B483,$B483)=1,1,0))</f>
        <v/>
      </c>
      <c r="X483">
        <f>IF($W483=1,SUMPRODUCT(--($Z$2:$Z$501&lt;$Z483))+1,"")</f>
        <v/>
      </c>
      <c r="Y483">
        <f>IF($B483="","",IF(OR($R483=TRUE(),$R483="TRUE"),1,0))</f>
        <v/>
      </c>
      <c r="Z483">
        <f>IF($W483=1,IFERROR(IF(VALUE($B483)&lt;100000000,VALUE($B483),1000000000),IFERROR(IF(VALUE(MID($B483,2,20))&lt;100000000,VALUE(MID($B483,2,20)),1000000000),1000000000))+ROW()/100000,"")</f>
        <v/>
      </c>
    </row>
    <row r="484">
      <c r="A484">
        <f>IF($B484="","",IFERROR(IF(INDEX('Per Invoice'!$A$2:$A$201,MATCH($B484,'Per Invoice'!$B$2:$B$201,0))=0,"",INDEX('Per Invoice'!$A$2:$A$201,MATCH($B484,'Per Invoice'!$B$2:$B$201,0))),""))</f>
        <v/>
      </c>
      <c r="G484" s="7">
        <f>IF($B484="","",F484*L484/100)</f>
        <v/>
      </c>
      <c r="J484" s="7" t="n"/>
      <c r="L484" s="7" t="n"/>
      <c r="M484" s="7" t="n"/>
      <c r="P484" s="11" t="n"/>
      <c r="S484">
        <f>IF($B484="","",IF($Y484=1,Settings!$C$6,Settings!$C$7)*1)</f>
        <v/>
      </c>
      <c r="T484" s="7">
        <f>IF($B484="","",S484*L484)</f>
        <v/>
      </c>
      <c r="U484" s="7">
        <f>IF($B484="","",L484-T484)</f>
        <v/>
      </c>
      <c r="V484" s="7">
        <f>IF($B484="","",U484-G484)</f>
        <v/>
      </c>
      <c r="W484">
        <f>IF($B484="","",IF(COUNTIF($B$2:$B484,$B484)=1,1,0))</f>
        <v/>
      </c>
      <c r="X484">
        <f>IF($W484=1,SUMPRODUCT(--($Z$2:$Z$501&lt;$Z484))+1,"")</f>
        <v/>
      </c>
      <c r="Y484">
        <f>IF($B484="","",IF(OR($R484=TRUE(),$R484="TRUE"),1,0))</f>
        <v/>
      </c>
      <c r="Z484">
        <f>IF($W484=1,IFERROR(IF(VALUE($B484)&lt;100000000,VALUE($B484),1000000000),IFERROR(IF(VALUE(MID($B484,2,20))&lt;100000000,VALUE(MID($B484,2,20)),1000000000),1000000000))+ROW()/100000,"")</f>
        <v/>
      </c>
    </row>
    <row r="485">
      <c r="A485">
        <f>IF($B485="","",IFERROR(IF(INDEX('Per Invoice'!$A$2:$A$201,MATCH($B485,'Per Invoice'!$B$2:$B$201,0))=0,"",INDEX('Per Invoice'!$A$2:$A$201,MATCH($B485,'Per Invoice'!$B$2:$B$201,0))),""))</f>
        <v/>
      </c>
      <c r="G485" s="7">
        <f>IF($B485="","",F485*L485/100)</f>
        <v/>
      </c>
      <c r="J485" s="7" t="n"/>
      <c r="L485" s="7" t="n"/>
      <c r="M485" s="7" t="n"/>
      <c r="P485" s="11" t="n"/>
      <c r="S485">
        <f>IF($B485="","",IF($Y485=1,Settings!$C$6,Settings!$C$7)*1)</f>
        <v/>
      </c>
      <c r="T485" s="7">
        <f>IF($B485="","",S485*L485)</f>
        <v/>
      </c>
      <c r="U485" s="7">
        <f>IF($B485="","",L485-T485)</f>
        <v/>
      </c>
      <c r="V485" s="7">
        <f>IF($B485="","",U485-G485)</f>
        <v/>
      </c>
      <c r="W485">
        <f>IF($B485="","",IF(COUNTIF($B$2:$B485,$B485)=1,1,0))</f>
        <v/>
      </c>
      <c r="X485">
        <f>IF($W485=1,SUMPRODUCT(--($Z$2:$Z$501&lt;$Z485))+1,"")</f>
        <v/>
      </c>
      <c r="Y485">
        <f>IF($B485="","",IF(OR($R485=TRUE(),$R485="TRUE"),1,0))</f>
        <v/>
      </c>
      <c r="Z485">
        <f>IF($W485=1,IFERROR(IF(VALUE($B485)&lt;100000000,VALUE($B485),1000000000),IFERROR(IF(VALUE(MID($B485,2,20))&lt;100000000,VALUE(MID($B485,2,20)),1000000000),1000000000))+ROW()/100000,"")</f>
        <v/>
      </c>
    </row>
    <row r="486">
      <c r="A486">
        <f>IF($B486="","",IFERROR(IF(INDEX('Per Invoice'!$A$2:$A$201,MATCH($B486,'Per Invoice'!$B$2:$B$201,0))=0,"",INDEX('Per Invoice'!$A$2:$A$201,MATCH($B486,'Per Invoice'!$B$2:$B$201,0))),""))</f>
        <v/>
      </c>
      <c r="G486" s="7">
        <f>IF($B486="","",F486*L486/100)</f>
        <v/>
      </c>
      <c r="J486" s="7" t="n"/>
      <c r="L486" s="7" t="n"/>
      <c r="M486" s="7" t="n"/>
      <c r="P486" s="11" t="n"/>
      <c r="S486">
        <f>IF($B486="","",IF($Y486=1,Settings!$C$6,Settings!$C$7)*1)</f>
        <v/>
      </c>
      <c r="T486" s="7">
        <f>IF($B486="","",S486*L486)</f>
        <v/>
      </c>
      <c r="U486" s="7">
        <f>IF($B486="","",L486-T486)</f>
        <v/>
      </c>
      <c r="V486" s="7">
        <f>IF($B486="","",U486-G486)</f>
        <v/>
      </c>
      <c r="W486">
        <f>IF($B486="","",IF(COUNTIF($B$2:$B486,$B486)=1,1,0))</f>
        <v/>
      </c>
      <c r="X486">
        <f>IF($W486=1,SUMPRODUCT(--($Z$2:$Z$501&lt;$Z486))+1,"")</f>
        <v/>
      </c>
      <c r="Y486">
        <f>IF($B486="","",IF(OR($R486=TRUE(),$R486="TRUE"),1,0))</f>
        <v/>
      </c>
      <c r="Z486">
        <f>IF($W486=1,IFERROR(IF(VALUE($B486)&lt;100000000,VALUE($B486),1000000000),IFERROR(IF(VALUE(MID($B486,2,20))&lt;100000000,VALUE(MID($B486,2,20)),1000000000),1000000000))+ROW()/100000,"")</f>
        <v/>
      </c>
    </row>
    <row r="487">
      <c r="A487">
        <f>IF($B487="","",IFERROR(IF(INDEX('Per Invoice'!$A$2:$A$201,MATCH($B487,'Per Invoice'!$B$2:$B$201,0))=0,"",INDEX('Per Invoice'!$A$2:$A$201,MATCH($B487,'Per Invoice'!$B$2:$B$201,0))),""))</f>
        <v/>
      </c>
      <c r="G487" s="7">
        <f>IF($B487="","",F487*L487/100)</f>
        <v/>
      </c>
      <c r="J487" s="7" t="n"/>
      <c r="L487" s="7" t="n"/>
      <c r="M487" s="7" t="n"/>
      <c r="P487" s="11" t="n"/>
      <c r="S487">
        <f>IF($B487="","",IF($Y487=1,Settings!$C$6,Settings!$C$7)*1)</f>
        <v/>
      </c>
      <c r="T487" s="7">
        <f>IF($B487="","",S487*L487)</f>
        <v/>
      </c>
      <c r="U487" s="7">
        <f>IF($B487="","",L487-T487)</f>
        <v/>
      </c>
      <c r="V487" s="7">
        <f>IF($B487="","",U487-G487)</f>
        <v/>
      </c>
      <c r="W487">
        <f>IF($B487="","",IF(COUNTIF($B$2:$B487,$B487)=1,1,0))</f>
        <v/>
      </c>
      <c r="X487">
        <f>IF($W487=1,SUMPRODUCT(--($Z$2:$Z$501&lt;$Z487))+1,"")</f>
        <v/>
      </c>
      <c r="Y487">
        <f>IF($B487="","",IF(OR($R487=TRUE(),$R487="TRUE"),1,0))</f>
        <v/>
      </c>
      <c r="Z487">
        <f>IF($W487=1,IFERROR(IF(VALUE($B487)&lt;100000000,VALUE($B487),1000000000),IFERROR(IF(VALUE(MID($B487,2,20))&lt;100000000,VALUE(MID($B487,2,20)),1000000000),1000000000))+ROW()/100000,"")</f>
        <v/>
      </c>
    </row>
    <row r="488">
      <c r="A488">
        <f>IF($B488="","",IFERROR(IF(INDEX('Per Invoice'!$A$2:$A$201,MATCH($B488,'Per Invoice'!$B$2:$B$201,0))=0,"",INDEX('Per Invoice'!$A$2:$A$201,MATCH($B488,'Per Invoice'!$B$2:$B$201,0))),""))</f>
        <v/>
      </c>
      <c r="G488" s="7">
        <f>IF($B488="","",F488*L488/100)</f>
        <v/>
      </c>
      <c r="J488" s="7" t="n"/>
      <c r="L488" s="7" t="n"/>
      <c r="M488" s="7" t="n"/>
      <c r="P488" s="11" t="n"/>
      <c r="S488">
        <f>IF($B488="","",IF($Y488=1,Settings!$C$6,Settings!$C$7)*1)</f>
        <v/>
      </c>
      <c r="T488" s="7">
        <f>IF($B488="","",S488*L488)</f>
        <v/>
      </c>
      <c r="U488" s="7">
        <f>IF($B488="","",L488-T488)</f>
        <v/>
      </c>
      <c r="V488" s="7">
        <f>IF($B488="","",U488-G488)</f>
        <v/>
      </c>
      <c r="W488">
        <f>IF($B488="","",IF(COUNTIF($B$2:$B488,$B488)=1,1,0))</f>
        <v/>
      </c>
      <c r="X488">
        <f>IF($W488=1,SUMPRODUCT(--($Z$2:$Z$501&lt;$Z488))+1,"")</f>
        <v/>
      </c>
      <c r="Y488">
        <f>IF($B488="","",IF(OR($R488=TRUE(),$R488="TRUE"),1,0))</f>
        <v/>
      </c>
      <c r="Z488">
        <f>IF($W488=1,IFERROR(IF(VALUE($B488)&lt;100000000,VALUE($B488),1000000000),IFERROR(IF(VALUE(MID($B488,2,20))&lt;100000000,VALUE(MID($B488,2,20)),1000000000),1000000000))+ROW()/100000,"")</f>
        <v/>
      </c>
    </row>
    <row r="489">
      <c r="A489">
        <f>IF($B489="","",IFERROR(IF(INDEX('Per Invoice'!$A$2:$A$201,MATCH($B489,'Per Invoice'!$B$2:$B$201,0))=0,"",INDEX('Per Invoice'!$A$2:$A$201,MATCH($B489,'Per Invoice'!$B$2:$B$201,0))),""))</f>
        <v/>
      </c>
      <c r="G489" s="7">
        <f>IF($B489="","",F489*L489/100)</f>
        <v/>
      </c>
      <c r="J489" s="7" t="n"/>
      <c r="L489" s="7" t="n"/>
      <c r="M489" s="7" t="n"/>
      <c r="P489" s="11" t="n"/>
      <c r="S489">
        <f>IF($B489="","",IF($Y489=1,Settings!$C$6,Settings!$C$7)*1)</f>
        <v/>
      </c>
      <c r="T489" s="7">
        <f>IF($B489="","",S489*L489)</f>
        <v/>
      </c>
      <c r="U489" s="7">
        <f>IF($B489="","",L489-T489)</f>
        <v/>
      </c>
      <c r="V489" s="7">
        <f>IF($B489="","",U489-G489)</f>
        <v/>
      </c>
      <c r="W489">
        <f>IF($B489="","",IF(COUNTIF($B$2:$B489,$B489)=1,1,0))</f>
        <v/>
      </c>
      <c r="X489">
        <f>IF($W489=1,SUMPRODUCT(--($Z$2:$Z$501&lt;$Z489))+1,"")</f>
        <v/>
      </c>
      <c r="Y489">
        <f>IF($B489="","",IF(OR($R489=TRUE(),$R489="TRUE"),1,0))</f>
        <v/>
      </c>
      <c r="Z489">
        <f>IF($W489=1,IFERROR(IF(VALUE($B489)&lt;100000000,VALUE($B489),1000000000),IFERROR(IF(VALUE(MID($B489,2,20))&lt;100000000,VALUE(MID($B489,2,20)),1000000000),1000000000))+ROW()/100000,"")</f>
        <v/>
      </c>
    </row>
    <row r="490">
      <c r="A490">
        <f>IF($B490="","",IFERROR(IF(INDEX('Per Invoice'!$A$2:$A$201,MATCH($B490,'Per Invoice'!$B$2:$B$201,0))=0,"",INDEX('Per Invoice'!$A$2:$A$201,MATCH($B490,'Per Invoice'!$B$2:$B$201,0))),""))</f>
        <v/>
      </c>
      <c r="G490" s="7">
        <f>IF($B490="","",F490*L490/100)</f>
        <v/>
      </c>
      <c r="J490" s="7" t="n"/>
      <c r="L490" s="7" t="n"/>
      <c r="M490" s="7" t="n"/>
      <c r="P490" s="11" t="n"/>
      <c r="S490">
        <f>IF($B490="","",IF($Y490=1,Settings!$C$6,Settings!$C$7)*1)</f>
        <v/>
      </c>
      <c r="T490" s="7">
        <f>IF($B490="","",S490*L490)</f>
        <v/>
      </c>
      <c r="U490" s="7">
        <f>IF($B490="","",L490-T490)</f>
        <v/>
      </c>
      <c r="V490" s="7">
        <f>IF($B490="","",U490-G490)</f>
        <v/>
      </c>
      <c r="W490">
        <f>IF($B490="","",IF(COUNTIF($B$2:$B490,$B490)=1,1,0))</f>
        <v/>
      </c>
      <c r="X490">
        <f>IF($W490=1,SUMPRODUCT(--($Z$2:$Z$501&lt;$Z490))+1,"")</f>
        <v/>
      </c>
      <c r="Y490">
        <f>IF($B490="","",IF(OR($R490=TRUE(),$R490="TRUE"),1,0))</f>
        <v/>
      </c>
      <c r="Z490">
        <f>IF($W490=1,IFERROR(IF(VALUE($B490)&lt;100000000,VALUE($B490),1000000000),IFERROR(IF(VALUE(MID($B490,2,20))&lt;100000000,VALUE(MID($B490,2,20)),1000000000),1000000000))+ROW()/100000,"")</f>
        <v/>
      </c>
    </row>
    <row r="491">
      <c r="A491">
        <f>IF($B491="","",IFERROR(IF(INDEX('Per Invoice'!$A$2:$A$201,MATCH($B491,'Per Invoice'!$B$2:$B$201,0))=0,"",INDEX('Per Invoice'!$A$2:$A$201,MATCH($B491,'Per Invoice'!$B$2:$B$201,0))),""))</f>
        <v/>
      </c>
      <c r="G491" s="7">
        <f>IF($B491="","",F491*L491/100)</f>
        <v/>
      </c>
      <c r="J491" s="7" t="n"/>
      <c r="L491" s="7" t="n"/>
      <c r="M491" s="7" t="n"/>
      <c r="P491" s="11" t="n"/>
      <c r="S491">
        <f>IF($B491="","",IF($Y491=1,Settings!$C$6,Settings!$C$7)*1)</f>
        <v/>
      </c>
      <c r="T491" s="7">
        <f>IF($B491="","",S491*L491)</f>
        <v/>
      </c>
      <c r="U491" s="7">
        <f>IF($B491="","",L491-T491)</f>
        <v/>
      </c>
      <c r="V491" s="7">
        <f>IF($B491="","",U491-G491)</f>
        <v/>
      </c>
      <c r="W491">
        <f>IF($B491="","",IF(COUNTIF($B$2:$B491,$B491)=1,1,0))</f>
        <v/>
      </c>
      <c r="X491">
        <f>IF($W491=1,SUMPRODUCT(--($Z$2:$Z$501&lt;$Z491))+1,"")</f>
        <v/>
      </c>
      <c r="Y491">
        <f>IF($B491="","",IF(OR($R491=TRUE(),$R491="TRUE"),1,0))</f>
        <v/>
      </c>
      <c r="Z491">
        <f>IF($W491=1,IFERROR(IF(VALUE($B491)&lt;100000000,VALUE($B491),1000000000),IFERROR(IF(VALUE(MID($B491,2,20))&lt;100000000,VALUE(MID($B491,2,20)),1000000000),1000000000))+ROW()/100000,"")</f>
        <v/>
      </c>
    </row>
    <row r="492">
      <c r="A492">
        <f>IF($B492="","",IFERROR(IF(INDEX('Per Invoice'!$A$2:$A$201,MATCH($B492,'Per Invoice'!$B$2:$B$201,0))=0,"",INDEX('Per Invoice'!$A$2:$A$201,MATCH($B492,'Per Invoice'!$B$2:$B$201,0))),""))</f>
        <v/>
      </c>
      <c r="G492" s="7">
        <f>IF($B492="","",F492*L492/100)</f>
        <v/>
      </c>
      <c r="J492" s="7" t="n"/>
      <c r="L492" s="7" t="n"/>
      <c r="M492" s="7" t="n"/>
      <c r="P492" s="11" t="n"/>
      <c r="S492">
        <f>IF($B492="","",IF($Y492=1,Settings!$C$6,Settings!$C$7)*1)</f>
        <v/>
      </c>
      <c r="T492" s="7">
        <f>IF($B492="","",S492*L492)</f>
        <v/>
      </c>
      <c r="U492" s="7">
        <f>IF($B492="","",L492-T492)</f>
        <v/>
      </c>
      <c r="V492" s="7">
        <f>IF($B492="","",U492-G492)</f>
        <v/>
      </c>
      <c r="W492">
        <f>IF($B492="","",IF(COUNTIF($B$2:$B492,$B492)=1,1,0))</f>
        <v/>
      </c>
      <c r="X492">
        <f>IF($W492=1,SUMPRODUCT(--($Z$2:$Z$501&lt;$Z492))+1,"")</f>
        <v/>
      </c>
      <c r="Y492">
        <f>IF($B492="","",IF(OR($R492=TRUE(),$R492="TRUE"),1,0))</f>
        <v/>
      </c>
      <c r="Z492">
        <f>IF($W492=1,IFERROR(IF(VALUE($B492)&lt;100000000,VALUE($B492),1000000000),IFERROR(IF(VALUE(MID($B492,2,20))&lt;100000000,VALUE(MID($B492,2,20)),1000000000),1000000000))+ROW()/100000,"")</f>
        <v/>
      </c>
    </row>
    <row r="493">
      <c r="A493">
        <f>IF($B493="","",IFERROR(IF(INDEX('Per Invoice'!$A$2:$A$201,MATCH($B493,'Per Invoice'!$B$2:$B$201,0))=0,"",INDEX('Per Invoice'!$A$2:$A$201,MATCH($B493,'Per Invoice'!$B$2:$B$201,0))),""))</f>
        <v/>
      </c>
      <c r="G493" s="7">
        <f>IF($B493="","",F493*L493/100)</f>
        <v/>
      </c>
      <c r="J493" s="7" t="n"/>
      <c r="L493" s="7" t="n"/>
      <c r="M493" s="7" t="n"/>
      <c r="P493" s="11" t="n"/>
      <c r="S493">
        <f>IF($B493="","",IF($Y493=1,Settings!$C$6,Settings!$C$7)*1)</f>
        <v/>
      </c>
      <c r="T493" s="7">
        <f>IF($B493="","",S493*L493)</f>
        <v/>
      </c>
      <c r="U493" s="7">
        <f>IF($B493="","",L493-T493)</f>
        <v/>
      </c>
      <c r="V493" s="7">
        <f>IF($B493="","",U493-G493)</f>
        <v/>
      </c>
      <c r="W493">
        <f>IF($B493="","",IF(COUNTIF($B$2:$B493,$B493)=1,1,0))</f>
        <v/>
      </c>
      <c r="X493">
        <f>IF($W493=1,SUMPRODUCT(--($Z$2:$Z$501&lt;$Z493))+1,"")</f>
        <v/>
      </c>
      <c r="Y493">
        <f>IF($B493="","",IF(OR($R493=TRUE(),$R493="TRUE"),1,0))</f>
        <v/>
      </c>
      <c r="Z493">
        <f>IF($W493=1,IFERROR(IF(VALUE($B493)&lt;100000000,VALUE($B493),1000000000),IFERROR(IF(VALUE(MID($B493,2,20))&lt;100000000,VALUE(MID($B493,2,20)),1000000000),1000000000))+ROW()/100000,"")</f>
        <v/>
      </c>
    </row>
    <row r="494">
      <c r="A494">
        <f>IF($B494="","",IFERROR(IF(INDEX('Per Invoice'!$A$2:$A$201,MATCH($B494,'Per Invoice'!$B$2:$B$201,0))=0,"",INDEX('Per Invoice'!$A$2:$A$201,MATCH($B494,'Per Invoice'!$B$2:$B$201,0))),""))</f>
        <v/>
      </c>
      <c r="G494" s="7">
        <f>IF($B494="","",F494*L494/100)</f>
        <v/>
      </c>
      <c r="J494" s="7" t="n"/>
      <c r="L494" s="7" t="n"/>
      <c r="M494" s="7" t="n"/>
      <c r="P494" s="11" t="n"/>
      <c r="S494">
        <f>IF($B494="","",IF($Y494=1,Settings!$C$6,Settings!$C$7)*1)</f>
        <v/>
      </c>
      <c r="T494" s="7">
        <f>IF($B494="","",S494*L494)</f>
        <v/>
      </c>
      <c r="U494" s="7">
        <f>IF($B494="","",L494-T494)</f>
        <v/>
      </c>
      <c r="V494" s="7">
        <f>IF($B494="","",U494-G494)</f>
        <v/>
      </c>
      <c r="W494">
        <f>IF($B494="","",IF(COUNTIF($B$2:$B494,$B494)=1,1,0))</f>
        <v/>
      </c>
      <c r="X494">
        <f>IF($W494=1,SUMPRODUCT(--($Z$2:$Z$501&lt;$Z494))+1,"")</f>
        <v/>
      </c>
      <c r="Y494">
        <f>IF($B494="","",IF(OR($R494=TRUE(),$R494="TRUE"),1,0))</f>
        <v/>
      </c>
      <c r="Z494">
        <f>IF($W494=1,IFERROR(IF(VALUE($B494)&lt;100000000,VALUE($B494),1000000000),IFERROR(IF(VALUE(MID($B494,2,20))&lt;100000000,VALUE(MID($B494,2,20)),1000000000),1000000000))+ROW()/100000,"")</f>
        <v/>
      </c>
    </row>
    <row r="495">
      <c r="A495">
        <f>IF($B495="","",IFERROR(IF(INDEX('Per Invoice'!$A$2:$A$201,MATCH($B495,'Per Invoice'!$B$2:$B$201,0))=0,"",INDEX('Per Invoice'!$A$2:$A$201,MATCH($B495,'Per Invoice'!$B$2:$B$201,0))),""))</f>
        <v/>
      </c>
      <c r="G495" s="7">
        <f>IF($B495="","",F495*L495/100)</f>
        <v/>
      </c>
      <c r="J495" s="7" t="n"/>
      <c r="L495" s="7" t="n"/>
      <c r="M495" s="7" t="n"/>
      <c r="P495" s="11" t="n"/>
      <c r="S495">
        <f>IF($B495="","",IF($Y495=1,Settings!$C$6,Settings!$C$7)*1)</f>
        <v/>
      </c>
      <c r="T495" s="7">
        <f>IF($B495="","",S495*L495)</f>
        <v/>
      </c>
      <c r="U495" s="7">
        <f>IF($B495="","",L495-T495)</f>
        <v/>
      </c>
      <c r="V495" s="7">
        <f>IF($B495="","",U495-G495)</f>
        <v/>
      </c>
      <c r="W495">
        <f>IF($B495="","",IF(COUNTIF($B$2:$B495,$B495)=1,1,0))</f>
        <v/>
      </c>
      <c r="X495">
        <f>IF($W495=1,SUMPRODUCT(--($Z$2:$Z$501&lt;$Z495))+1,"")</f>
        <v/>
      </c>
      <c r="Y495">
        <f>IF($B495="","",IF(OR($R495=TRUE(),$R495="TRUE"),1,0))</f>
        <v/>
      </c>
      <c r="Z495">
        <f>IF($W495=1,IFERROR(IF(VALUE($B495)&lt;100000000,VALUE($B495),1000000000),IFERROR(IF(VALUE(MID($B495,2,20))&lt;100000000,VALUE(MID($B495,2,20)),1000000000),1000000000))+ROW()/100000,"")</f>
        <v/>
      </c>
    </row>
    <row r="496">
      <c r="A496">
        <f>IF($B496="","",IFERROR(IF(INDEX('Per Invoice'!$A$2:$A$201,MATCH($B496,'Per Invoice'!$B$2:$B$201,0))=0,"",INDEX('Per Invoice'!$A$2:$A$201,MATCH($B496,'Per Invoice'!$B$2:$B$201,0))),""))</f>
        <v/>
      </c>
      <c r="G496" s="7">
        <f>IF($B496="","",F496*L496/100)</f>
        <v/>
      </c>
      <c r="J496" s="7" t="n"/>
      <c r="L496" s="7" t="n"/>
      <c r="M496" s="7" t="n"/>
      <c r="P496" s="11" t="n"/>
      <c r="S496">
        <f>IF($B496="","",IF($Y496=1,Settings!$C$6,Settings!$C$7)*1)</f>
        <v/>
      </c>
      <c r="T496" s="7">
        <f>IF($B496="","",S496*L496)</f>
        <v/>
      </c>
      <c r="U496" s="7">
        <f>IF($B496="","",L496-T496)</f>
        <v/>
      </c>
      <c r="V496" s="7">
        <f>IF($B496="","",U496-G496)</f>
        <v/>
      </c>
      <c r="W496">
        <f>IF($B496="","",IF(COUNTIF($B$2:$B496,$B496)=1,1,0))</f>
        <v/>
      </c>
      <c r="X496">
        <f>IF($W496=1,SUMPRODUCT(--($Z$2:$Z$501&lt;$Z496))+1,"")</f>
        <v/>
      </c>
      <c r="Y496">
        <f>IF($B496="","",IF(OR($R496=TRUE(),$R496="TRUE"),1,0))</f>
        <v/>
      </c>
      <c r="Z496">
        <f>IF($W496=1,IFERROR(IF(VALUE($B496)&lt;100000000,VALUE($B496),1000000000),IFERROR(IF(VALUE(MID($B496,2,20))&lt;100000000,VALUE(MID($B496,2,20)),1000000000),1000000000))+ROW()/100000,"")</f>
        <v/>
      </c>
    </row>
    <row r="497">
      <c r="A497">
        <f>IF($B497="","",IFERROR(IF(INDEX('Per Invoice'!$A$2:$A$201,MATCH($B497,'Per Invoice'!$B$2:$B$201,0))=0,"",INDEX('Per Invoice'!$A$2:$A$201,MATCH($B497,'Per Invoice'!$B$2:$B$201,0))),""))</f>
        <v/>
      </c>
      <c r="G497" s="7">
        <f>IF($B497="","",F497*L497/100)</f>
        <v/>
      </c>
      <c r="J497" s="7" t="n"/>
      <c r="L497" s="7" t="n"/>
      <c r="M497" s="7" t="n"/>
      <c r="P497" s="11" t="n"/>
      <c r="S497">
        <f>IF($B497="","",IF($Y497=1,Settings!$C$6,Settings!$C$7)*1)</f>
        <v/>
      </c>
      <c r="T497" s="7">
        <f>IF($B497="","",S497*L497)</f>
        <v/>
      </c>
      <c r="U497" s="7">
        <f>IF($B497="","",L497-T497)</f>
        <v/>
      </c>
      <c r="V497" s="7">
        <f>IF($B497="","",U497-G497)</f>
        <v/>
      </c>
      <c r="W497">
        <f>IF($B497="","",IF(COUNTIF($B$2:$B497,$B497)=1,1,0))</f>
        <v/>
      </c>
      <c r="X497">
        <f>IF($W497=1,SUMPRODUCT(--($Z$2:$Z$501&lt;$Z497))+1,"")</f>
        <v/>
      </c>
      <c r="Y497">
        <f>IF($B497="","",IF(OR($R497=TRUE(),$R497="TRUE"),1,0))</f>
        <v/>
      </c>
      <c r="Z497">
        <f>IF($W497=1,IFERROR(IF(VALUE($B497)&lt;100000000,VALUE($B497),1000000000),IFERROR(IF(VALUE(MID($B497,2,20))&lt;100000000,VALUE(MID($B497,2,20)),1000000000),1000000000))+ROW()/100000,"")</f>
        <v/>
      </c>
    </row>
    <row r="498">
      <c r="A498">
        <f>IF($B498="","",IFERROR(IF(INDEX('Per Invoice'!$A$2:$A$201,MATCH($B498,'Per Invoice'!$B$2:$B$201,0))=0,"",INDEX('Per Invoice'!$A$2:$A$201,MATCH($B498,'Per Invoice'!$B$2:$B$201,0))),""))</f>
        <v/>
      </c>
      <c r="G498" s="7">
        <f>IF($B498="","",F498*L498/100)</f>
        <v/>
      </c>
      <c r="J498" s="7" t="n"/>
      <c r="L498" s="7" t="n"/>
      <c r="M498" s="7" t="n"/>
      <c r="P498" s="11" t="n"/>
      <c r="S498">
        <f>IF($B498="","",IF($Y498=1,Settings!$C$6,Settings!$C$7)*1)</f>
        <v/>
      </c>
      <c r="T498" s="7">
        <f>IF($B498="","",S498*L498)</f>
        <v/>
      </c>
      <c r="U498" s="7">
        <f>IF($B498="","",L498-T498)</f>
        <v/>
      </c>
      <c r="V498" s="7">
        <f>IF($B498="","",U498-G498)</f>
        <v/>
      </c>
      <c r="W498">
        <f>IF($B498="","",IF(COUNTIF($B$2:$B498,$B498)=1,1,0))</f>
        <v/>
      </c>
      <c r="X498">
        <f>IF($W498=1,SUMPRODUCT(--($Z$2:$Z$501&lt;$Z498))+1,"")</f>
        <v/>
      </c>
      <c r="Y498">
        <f>IF($B498="","",IF(OR($R498=TRUE(),$R498="TRUE"),1,0))</f>
        <v/>
      </c>
      <c r="Z498">
        <f>IF($W498=1,IFERROR(IF(VALUE($B498)&lt;100000000,VALUE($B498),1000000000),IFERROR(IF(VALUE(MID($B498,2,20))&lt;100000000,VALUE(MID($B498,2,20)),1000000000),1000000000))+ROW()/100000,"")</f>
        <v/>
      </c>
    </row>
    <row r="499">
      <c r="A499">
        <f>IF($B499="","",IFERROR(IF(INDEX('Per Invoice'!$A$2:$A$201,MATCH($B499,'Per Invoice'!$B$2:$B$201,0))=0,"",INDEX('Per Invoice'!$A$2:$A$201,MATCH($B499,'Per Invoice'!$B$2:$B$201,0))),""))</f>
        <v/>
      </c>
      <c r="G499" s="7">
        <f>IF($B499="","",F499*L499/100)</f>
        <v/>
      </c>
      <c r="J499" s="7" t="n"/>
      <c r="L499" s="7" t="n"/>
      <c r="M499" s="7" t="n"/>
      <c r="P499" s="11" t="n"/>
      <c r="S499">
        <f>IF($B499="","",IF($Y499=1,Settings!$C$6,Settings!$C$7)*1)</f>
        <v/>
      </c>
      <c r="T499" s="7">
        <f>IF($B499="","",S499*L499)</f>
        <v/>
      </c>
      <c r="U499" s="7">
        <f>IF($B499="","",L499-T499)</f>
        <v/>
      </c>
      <c r="V499" s="7">
        <f>IF($B499="","",U499-G499)</f>
        <v/>
      </c>
      <c r="W499">
        <f>IF($B499="","",IF(COUNTIF($B$2:$B499,$B499)=1,1,0))</f>
        <v/>
      </c>
      <c r="X499">
        <f>IF($W499=1,SUMPRODUCT(--($Z$2:$Z$501&lt;$Z499))+1,"")</f>
        <v/>
      </c>
      <c r="Y499">
        <f>IF($B499="","",IF(OR($R499=TRUE(),$R499="TRUE"),1,0))</f>
        <v/>
      </c>
      <c r="Z499">
        <f>IF($W499=1,IFERROR(IF(VALUE($B499)&lt;100000000,VALUE($B499),1000000000),IFERROR(IF(VALUE(MID($B499,2,20))&lt;100000000,VALUE(MID($B499,2,20)),1000000000),1000000000))+ROW()/100000,"")</f>
        <v/>
      </c>
    </row>
    <row r="500">
      <c r="A500">
        <f>IF($B500="","",IFERROR(IF(INDEX('Per Invoice'!$A$2:$A$201,MATCH($B500,'Per Invoice'!$B$2:$B$201,0))=0,"",INDEX('Per Invoice'!$A$2:$A$201,MATCH($B500,'Per Invoice'!$B$2:$B$201,0))),""))</f>
        <v/>
      </c>
      <c r="G500" s="7">
        <f>IF($B500="","",F500*L500/100)</f>
        <v/>
      </c>
      <c r="J500" s="7" t="n"/>
      <c r="L500" s="7" t="n"/>
      <c r="M500" s="7" t="n"/>
      <c r="P500" s="11" t="n"/>
      <c r="S500">
        <f>IF($B500="","",IF($Y500=1,Settings!$C$6,Settings!$C$7)*1)</f>
        <v/>
      </c>
      <c r="T500" s="7">
        <f>IF($B500="","",S500*L500)</f>
        <v/>
      </c>
      <c r="U500" s="7">
        <f>IF($B500="","",L500-T500)</f>
        <v/>
      </c>
      <c r="V500" s="7">
        <f>IF($B500="","",U500-G500)</f>
        <v/>
      </c>
      <c r="W500">
        <f>IF($B500="","",IF(COUNTIF($B$2:$B500,$B500)=1,1,0))</f>
        <v/>
      </c>
      <c r="X500">
        <f>IF($W500=1,SUMPRODUCT(--($Z$2:$Z$501&lt;$Z500))+1,"")</f>
        <v/>
      </c>
      <c r="Y500">
        <f>IF($B500="","",IF(OR($R500=TRUE(),$R500="TRUE"),1,0))</f>
        <v/>
      </c>
      <c r="Z500">
        <f>IF($W500=1,IFERROR(IF(VALUE($B500)&lt;100000000,VALUE($B500),1000000000),IFERROR(IF(VALUE(MID($B500,2,20))&lt;100000000,VALUE(MID($B500,2,20)),1000000000),1000000000))+ROW()/100000,"")</f>
        <v/>
      </c>
    </row>
    <row r="501">
      <c r="A501">
        <f>IF($B501="","",IFERROR(IF(INDEX('Per Invoice'!$A$2:$A$201,MATCH($B501,'Per Invoice'!$B$2:$B$201,0))=0,"",INDEX('Per Invoice'!$A$2:$A$201,MATCH($B501,'Per Invoice'!$B$2:$B$201,0))),""))</f>
        <v/>
      </c>
      <c r="G501" s="7">
        <f>IF($B501="","",F501*L501/100)</f>
        <v/>
      </c>
      <c r="J501" s="7" t="n"/>
      <c r="L501" s="7" t="n"/>
      <c r="M501" s="7" t="n"/>
      <c r="P501" s="11" t="n"/>
      <c r="S501">
        <f>IF($B501="","",IF($Y501=1,Settings!$C$6,Settings!$C$7)*1)</f>
        <v/>
      </c>
      <c r="T501" s="7">
        <f>IF($B501="","",S501*L501)</f>
        <v/>
      </c>
      <c r="U501" s="7">
        <f>IF($B501="","",L501-T501)</f>
        <v/>
      </c>
      <c r="V501" s="7">
        <f>IF($B501="","",U501-G501)</f>
        <v/>
      </c>
      <c r="W501">
        <f>IF($B501="","",IF(COUNTIF($B$2:$B501,$B501)=1,1,0))</f>
        <v/>
      </c>
      <c r="X501">
        <f>IF($W501=1,SUMPRODUCT(--($Z$2:$Z$501&lt;$Z501))+1,"")</f>
        <v/>
      </c>
      <c r="Y501">
        <f>IF($B501="","",IF(OR($R501=TRUE(),$R501="TRUE"),1,0))</f>
        <v/>
      </c>
      <c r="Z501">
        <f>IF($W501=1,IFERROR(IF(VALUE($B501)&lt;100000000,VALUE($B501),1000000000),IFERROR(IF(VALUE(MID($B501,2,20))&lt;100000000,VALUE(MID($B501,2,20)),1000000000),1000000000))+ROW()/100000,"")</f>
        <v/>
      </c>
    </row>
  </sheetData>
  <autoFilter ref="A1:Z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26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</cols>
  <sheetData>
    <row r="1" ht="32" customHeight="1">
      <c r="A1" s="9" t="inlineStr">
        <is>
          <t>Invoice</t>
        </is>
      </c>
      <c r="B1" s="8" t="inlineStr">
        <is>
          <t>Pos Reference</t>
        </is>
      </c>
      <c r="C1" s="9" t="inlineStr">
        <is>
          <t>APP</t>
        </is>
      </c>
      <c r="D1" s="8" t="inlineStr">
        <is>
          <t>Insurance Company</t>
        </is>
      </c>
      <c r="E1" s="8" t="inlineStr">
        <is>
          <t>Name</t>
        </is>
      </c>
      <c r="F1" s="8" t="inlineStr">
        <is>
          <t>Card Number</t>
        </is>
      </c>
      <c r="G1" s="8" t="inlineStr">
        <is>
          <t>Co Payment %</t>
        </is>
      </c>
      <c r="H1" s="8" t="inlineStr">
        <is>
          <t>Co val</t>
        </is>
      </c>
      <c r="I1" s="8" t="inlineStr">
        <is>
          <t>Payment Amount</t>
        </is>
      </c>
      <c r="J1" s="8" t="inlineStr">
        <is>
          <t>Session</t>
        </is>
      </c>
      <c r="K1" s="8" t="inlineStr">
        <is>
          <t>Order Reference</t>
        </is>
      </c>
      <c r="L1" s="8" t="inlineStr">
        <is>
          <t>IMP%</t>
        </is>
      </c>
      <c r="M1" s="8" t="inlineStr">
        <is>
          <t>IMP</t>
        </is>
      </c>
      <c r="N1" s="8" t="inlineStr">
        <is>
          <t>IMP VAL</t>
        </is>
      </c>
      <c r="O1" s="8" t="inlineStr">
        <is>
          <t>LOCAL %</t>
        </is>
      </c>
      <c r="P1" s="8" t="inlineStr">
        <is>
          <t>LOCAL</t>
        </is>
      </c>
      <c r="Q1" s="8" t="inlineStr">
        <is>
          <t>LOCAL VAL</t>
        </is>
      </c>
      <c r="R1" s="8" t="inlineStr">
        <is>
          <t>TOTAL VAL</t>
        </is>
      </c>
      <c r="S1" s="8" t="inlineStr">
        <is>
          <t>SUBTOTAL</t>
        </is>
      </c>
      <c r="T1" s="8" t="inlineStr">
        <is>
          <t>Grand Total</t>
        </is>
      </c>
      <c r="U1" s="8" t="inlineStr">
        <is>
          <t>NET</t>
        </is>
      </c>
      <c r="V1" s="10" t="inlineStr">
        <is>
          <t>Src Row (helper)</t>
        </is>
      </c>
    </row>
    <row r="2">
      <c r="A2" s="12" t="n"/>
      <c r="B2">
        <f>IF($V2="","",INDEX('Per Line'!$B$2:$B$501,$V2)&amp;"")</f>
        <v/>
      </c>
      <c r="C2" s="12" t="n"/>
      <c r="D2">
        <f>IF($V2="","",INDEX('Per Line'!$C$2:$C$501,$V2)&amp;"")</f>
        <v/>
      </c>
      <c r="E2">
        <f>IF($V2="","",INDEX('Per Line'!$D$2:$D$501,$V2)&amp;"")</f>
        <v/>
      </c>
      <c r="F2">
        <f>IF($V2="","",INDEX('Per Line'!$E$2:$E$501,$V2)&amp;"")</f>
        <v/>
      </c>
      <c r="G2">
        <f>IF($V2="","",INDEX('Per Line'!$F$2:$F$501,$V2))</f>
        <v/>
      </c>
      <c r="H2" s="7">
        <f>IF($V2="","",G2*T2/100)</f>
        <v/>
      </c>
      <c r="I2">
        <f>IF($V2="","",INDEX('Per Line'!$M$2:$M$501,$V2)&amp;"")</f>
        <v/>
      </c>
      <c r="J2">
        <f>IF($V2="","",INDEX('Per Line'!$O$2:$O$501,$V2)&amp;"")</f>
        <v/>
      </c>
      <c r="K2">
        <f>IF($V2="","",INDEX('Per Line'!$Q$2:$Q$501,$V2)&amp;"")</f>
        <v/>
      </c>
      <c r="L2">
        <f>IF($V2="","",Settings!$C$7)</f>
        <v/>
      </c>
      <c r="M2" s="7">
        <f>IF($V2="","",SUMIFS('Per Line'!$L$2:$L$501,'Per Line'!$B$2:$B$501,$B2,'Per Line'!$Y$2:$Y$501,0))</f>
        <v/>
      </c>
      <c r="N2" s="7">
        <f>IF($V2="","",M2*L2)</f>
        <v/>
      </c>
      <c r="O2">
        <f>IF($V2="","",Settings!$C$6)</f>
        <v/>
      </c>
      <c r="P2" s="7">
        <f>IF($V2="","",SUMIFS('Per Line'!$L$2:$L$501,'Per Line'!$B$2:$B$501,$B2,'Per Line'!$Y$2:$Y$501,1))</f>
        <v/>
      </c>
      <c r="Q2" s="7">
        <f>IF($V2="","",P2*O2)</f>
        <v/>
      </c>
      <c r="R2" s="7">
        <f>IF($V2="","",Q2+N2)</f>
        <v/>
      </c>
      <c r="S2" s="7">
        <f>IF($V2="","",T2-R2)</f>
        <v/>
      </c>
      <c r="T2" s="7">
        <f>IF($V2="","",M2+P2)</f>
        <v/>
      </c>
      <c r="U2" s="7">
        <f>IF($V2="","",T2-R2-H2)</f>
        <v/>
      </c>
      <c r="V2" s="13">
        <f>IF(ROWS($V$2:$V2)&lt;=MAX('Per Line'!$X$2:$X$501),MATCH(ROWS($V$2:$V2),'Per Line'!$X$2:$X$501,0),"")</f>
        <v/>
      </c>
    </row>
    <row r="3">
      <c r="A3" s="12" t="n"/>
      <c r="B3">
        <f>IF($V3="","",INDEX('Per Line'!$B$2:$B$501,$V3)&amp;"")</f>
        <v/>
      </c>
      <c r="C3" s="12" t="n"/>
      <c r="D3">
        <f>IF($V3="","",INDEX('Per Line'!$C$2:$C$501,$V3)&amp;"")</f>
        <v/>
      </c>
      <c r="E3">
        <f>IF($V3="","",INDEX('Per Line'!$D$2:$D$501,$V3)&amp;"")</f>
        <v/>
      </c>
      <c r="F3">
        <f>IF($V3="","",INDEX('Per Line'!$E$2:$E$501,$V3)&amp;"")</f>
        <v/>
      </c>
      <c r="G3">
        <f>IF($V3="","",INDEX('Per Line'!$F$2:$F$501,$V3))</f>
        <v/>
      </c>
      <c r="H3" s="7">
        <f>IF($V3="","",G3*T3/100)</f>
        <v/>
      </c>
      <c r="I3">
        <f>IF($V3="","",INDEX('Per Line'!$M$2:$M$501,$V3)&amp;"")</f>
        <v/>
      </c>
      <c r="J3">
        <f>IF($V3="","",INDEX('Per Line'!$O$2:$O$501,$V3)&amp;"")</f>
        <v/>
      </c>
      <c r="K3">
        <f>IF($V3="","",INDEX('Per Line'!$Q$2:$Q$501,$V3)&amp;"")</f>
        <v/>
      </c>
      <c r="L3">
        <f>IF($V3="","",Settings!$C$7)</f>
        <v/>
      </c>
      <c r="M3" s="7">
        <f>IF($V3="","",SUMIFS('Per Line'!$L$2:$L$501,'Per Line'!$B$2:$B$501,$B3,'Per Line'!$Y$2:$Y$501,0))</f>
        <v/>
      </c>
      <c r="N3" s="7">
        <f>IF($V3="","",M3*L3)</f>
        <v/>
      </c>
      <c r="O3">
        <f>IF($V3="","",Settings!$C$6)</f>
        <v/>
      </c>
      <c r="P3" s="7">
        <f>IF($V3="","",SUMIFS('Per Line'!$L$2:$L$501,'Per Line'!$B$2:$B$501,$B3,'Per Line'!$Y$2:$Y$501,1))</f>
        <v/>
      </c>
      <c r="Q3" s="7">
        <f>IF($V3="","",P3*O3)</f>
        <v/>
      </c>
      <c r="R3" s="7">
        <f>IF($V3="","",Q3+N3)</f>
        <v/>
      </c>
      <c r="S3" s="7">
        <f>IF($V3="","",T3-R3)</f>
        <v/>
      </c>
      <c r="T3" s="7">
        <f>IF($V3="","",M3+P3)</f>
        <v/>
      </c>
      <c r="U3" s="7">
        <f>IF($V3="","",T3-R3-H3)</f>
        <v/>
      </c>
      <c r="V3" s="13">
        <f>IF(ROWS($V$2:$V3)&lt;=MAX('Per Line'!$X$2:$X$501),MATCH(ROWS($V$2:$V3),'Per Line'!$X$2:$X$501,0),"")</f>
        <v/>
      </c>
    </row>
    <row r="4">
      <c r="A4" s="12" t="n"/>
      <c r="B4">
        <f>IF($V4="","",INDEX('Per Line'!$B$2:$B$501,$V4)&amp;"")</f>
        <v/>
      </c>
      <c r="C4" s="12" t="n"/>
      <c r="D4">
        <f>IF($V4="","",INDEX('Per Line'!$C$2:$C$501,$V4)&amp;"")</f>
        <v/>
      </c>
      <c r="E4">
        <f>IF($V4="","",INDEX('Per Line'!$D$2:$D$501,$V4)&amp;"")</f>
        <v/>
      </c>
      <c r="F4">
        <f>IF($V4="","",INDEX('Per Line'!$E$2:$E$501,$V4)&amp;"")</f>
        <v/>
      </c>
      <c r="G4">
        <f>IF($V4="","",INDEX('Per Line'!$F$2:$F$501,$V4))</f>
        <v/>
      </c>
      <c r="H4" s="7">
        <f>IF($V4="","",G4*T4/100)</f>
        <v/>
      </c>
      <c r="I4">
        <f>IF($V4="","",INDEX('Per Line'!$M$2:$M$501,$V4)&amp;"")</f>
        <v/>
      </c>
      <c r="J4">
        <f>IF($V4="","",INDEX('Per Line'!$O$2:$O$501,$V4)&amp;"")</f>
        <v/>
      </c>
      <c r="K4">
        <f>IF($V4="","",INDEX('Per Line'!$Q$2:$Q$501,$V4)&amp;"")</f>
        <v/>
      </c>
      <c r="L4">
        <f>IF($V4="","",Settings!$C$7)</f>
        <v/>
      </c>
      <c r="M4" s="7">
        <f>IF($V4="","",SUMIFS('Per Line'!$L$2:$L$501,'Per Line'!$B$2:$B$501,$B4,'Per Line'!$Y$2:$Y$501,0))</f>
        <v/>
      </c>
      <c r="N4" s="7">
        <f>IF($V4="","",M4*L4)</f>
        <v/>
      </c>
      <c r="O4">
        <f>IF($V4="","",Settings!$C$6)</f>
        <v/>
      </c>
      <c r="P4" s="7">
        <f>IF($V4="","",SUMIFS('Per Line'!$L$2:$L$501,'Per Line'!$B$2:$B$501,$B4,'Per Line'!$Y$2:$Y$501,1))</f>
        <v/>
      </c>
      <c r="Q4" s="7">
        <f>IF($V4="","",P4*O4)</f>
        <v/>
      </c>
      <c r="R4" s="7">
        <f>IF($V4="","",Q4+N4)</f>
        <v/>
      </c>
      <c r="S4" s="7">
        <f>IF($V4="","",T4-R4)</f>
        <v/>
      </c>
      <c r="T4" s="7">
        <f>IF($V4="","",M4+P4)</f>
        <v/>
      </c>
      <c r="U4" s="7">
        <f>IF($V4="","",T4-R4-H4)</f>
        <v/>
      </c>
      <c r="V4" s="13">
        <f>IF(ROWS($V$2:$V4)&lt;=MAX('Per Line'!$X$2:$X$501),MATCH(ROWS($V$2:$V4),'Per Line'!$X$2:$X$501,0),"")</f>
        <v/>
      </c>
    </row>
    <row r="5">
      <c r="A5" s="12" t="n"/>
      <c r="B5">
        <f>IF($V5="","",INDEX('Per Line'!$B$2:$B$501,$V5)&amp;"")</f>
        <v/>
      </c>
      <c r="C5" s="12" t="n"/>
      <c r="D5">
        <f>IF($V5="","",INDEX('Per Line'!$C$2:$C$501,$V5)&amp;"")</f>
        <v/>
      </c>
      <c r="E5">
        <f>IF($V5="","",INDEX('Per Line'!$D$2:$D$501,$V5)&amp;"")</f>
        <v/>
      </c>
      <c r="F5">
        <f>IF($V5="","",INDEX('Per Line'!$E$2:$E$501,$V5)&amp;"")</f>
        <v/>
      </c>
      <c r="G5">
        <f>IF($V5="","",INDEX('Per Line'!$F$2:$F$501,$V5))</f>
        <v/>
      </c>
      <c r="H5" s="7">
        <f>IF($V5="","",G5*T5/100)</f>
        <v/>
      </c>
      <c r="I5">
        <f>IF($V5="","",INDEX('Per Line'!$M$2:$M$501,$V5)&amp;"")</f>
        <v/>
      </c>
      <c r="J5">
        <f>IF($V5="","",INDEX('Per Line'!$O$2:$O$501,$V5)&amp;"")</f>
        <v/>
      </c>
      <c r="K5">
        <f>IF($V5="","",INDEX('Per Line'!$Q$2:$Q$501,$V5)&amp;"")</f>
        <v/>
      </c>
      <c r="L5">
        <f>IF($V5="","",Settings!$C$7)</f>
        <v/>
      </c>
      <c r="M5" s="7">
        <f>IF($V5="","",SUMIFS('Per Line'!$L$2:$L$501,'Per Line'!$B$2:$B$501,$B5,'Per Line'!$Y$2:$Y$501,0))</f>
        <v/>
      </c>
      <c r="N5" s="7">
        <f>IF($V5="","",M5*L5)</f>
        <v/>
      </c>
      <c r="O5">
        <f>IF($V5="","",Settings!$C$6)</f>
        <v/>
      </c>
      <c r="P5" s="7">
        <f>IF($V5="","",SUMIFS('Per Line'!$L$2:$L$501,'Per Line'!$B$2:$B$501,$B5,'Per Line'!$Y$2:$Y$501,1))</f>
        <v/>
      </c>
      <c r="Q5" s="7">
        <f>IF($V5="","",P5*O5)</f>
        <v/>
      </c>
      <c r="R5" s="7">
        <f>IF($V5="","",Q5+N5)</f>
        <v/>
      </c>
      <c r="S5" s="7">
        <f>IF($V5="","",T5-R5)</f>
        <v/>
      </c>
      <c r="T5" s="7">
        <f>IF($V5="","",M5+P5)</f>
        <v/>
      </c>
      <c r="U5" s="7">
        <f>IF($V5="","",T5-R5-H5)</f>
        <v/>
      </c>
      <c r="V5" s="13">
        <f>IF(ROWS($V$2:$V5)&lt;=MAX('Per Line'!$X$2:$X$501),MATCH(ROWS($V$2:$V5),'Per Line'!$X$2:$X$501,0),"")</f>
        <v/>
      </c>
    </row>
    <row r="6">
      <c r="A6" s="12" t="n"/>
      <c r="B6">
        <f>IF($V6="","",INDEX('Per Line'!$B$2:$B$501,$V6)&amp;"")</f>
        <v/>
      </c>
      <c r="C6" s="12" t="n"/>
      <c r="D6">
        <f>IF($V6="","",INDEX('Per Line'!$C$2:$C$501,$V6)&amp;"")</f>
        <v/>
      </c>
      <c r="E6">
        <f>IF($V6="","",INDEX('Per Line'!$D$2:$D$501,$V6)&amp;"")</f>
        <v/>
      </c>
      <c r="F6">
        <f>IF($V6="","",INDEX('Per Line'!$E$2:$E$501,$V6)&amp;"")</f>
        <v/>
      </c>
      <c r="G6">
        <f>IF($V6="","",INDEX('Per Line'!$F$2:$F$501,$V6))</f>
        <v/>
      </c>
      <c r="H6" s="7">
        <f>IF($V6="","",G6*T6/100)</f>
        <v/>
      </c>
      <c r="I6">
        <f>IF($V6="","",INDEX('Per Line'!$M$2:$M$501,$V6)&amp;"")</f>
        <v/>
      </c>
      <c r="J6">
        <f>IF($V6="","",INDEX('Per Line'!$O$2:$O$501,$V6)&amp;"")</f>
        <v/>
      </c>
      <c r="K6">
        <f>IF($V6="","",INDEX('Per Line'!$Q$2:$Q$501,$V6)&amp;"")</f>
        <v/>
      </c>
      <c r="L6">
        <f>IF($V6="","",Settings!$C$7)</f>
        <v/>
      </c>
      <c r="M6" s="7">
        <f>IF($V6="","",SUMIFS('Per Line'!$L$2:$L$501,'Per Line'!$B$2:$B$501,$B6,'Per Line'!$Y$2:$Y$501,0))</f>
        <v/>
      </c>
      <c r="N6" s="7">
        <f>IF($V6="","",M6*L6)</f>
        <v/>
      </c>
      <c r="O6">
        <f>IF($V6="","",Settings!$C$6)</f>
        <v/>
      </c>
      <c r="P6" s="7">
        <f>IF($V6="","",SUMIFS('Per Line'!$L$2:$L$501,'Per Line'!$B$2:$B$501,$B6,'Per Line'!$Y$2:$Y$501,1))</f>
        <v/>
      </c>
      <c r="Q6" s="7">
        <f>IF($V6="","",P6*O6)</f>
        <v/>
      </c>
      <c r="R6" s="7">
        <f>IF($V6="","",Q6+N6)</f>
        <v/>
      </c>
      <c r="S6" s="7">
        <f>IF($V6="","",T6-R6)</f>
        <v/>
      </c>
      <c r="T6" s="7">
        <f>IF($V6="","",M6+P6)</f>
        <v/>
      </c>
      <c r="U6" s="7">
        <f>IF($V6="","",T6-R6-H6)</f>
        <v/>
      </c>
      <c r="V6" s="13">
        <f>IF(ROWS($V$2:$V6)&lt;=MAX('Per Line'!$X$2:$X$501),MATCH(ROWS($V$2:$V6),'Per Line'!$X$2:$X$501,0),"")</f>
        <v/>
      </c>
    </row>
    <row r="7">
      <c r="A7" s="12" t="n"/>
      <c r="B7">
        <f>IF($V7="","",INDEX('Per Line'!$B$2:$B$501,$V7)&amp;"")</f>
        <v/>
      </c>
      <c r="C7" s="12" t="n"/>
      <c r="D7">
        <f>IF($V7="","",INDEX('Per Line'!$C$2:$C$501,$V7)&amp;"")</f>
        <v/>
      </c>
      <c r="E7">
        <f>IF($V7="","",INDEX('Per Line'!$D$2:$D$501,$V7)&amp;"")</f>
        <v/>
      </c>
      <c r="F7">
        <f>IF($V7="","",INDEX('Per Line'!$E$2:$E$501,$V7)&amp;"")</f>
        <v/>
      </c>
      <c r="G7">
        <f>IF($V7="","",INDEX('Per Line'!$F$2:$F$501,$V7))</f>
        <v/>
      </c>
      <c r="H7" s="7">
        <f>IF($V7="","",G7*T7/100)</f>
        <v/>
      </c>
      <c r="I7">
        <f>IF($V7="","",INDEX('Per Line'!$M$2:$M$501,$V7)&amp;"")</f>
        <v/>
      </c>
      <c r="J7">
        <f>IF($V7="","",INDEX('Per Line'!$O$2:$O$501,$V7)&amp;"")</f>
        <v/>
      </c>
      <c r="K7">
        <f>IF($V7="","",INDEX('Per Line'!$Q$2:$Q$501,$V7)&amp;"")</f>
        <v/>
      </c>
      <c r="L7">
        <f>IF($V7="","",Settings!$C$7)</f>
        <v/>
      </c>
      <c r="M7" s="7">
        <f>IF($V7="","",SUMIFS('Per Line'!$L$2:$L$501,'Per Line'!$B$2:$B$501,$B7,'Per Line'!$Y$2:$Y$501,0))</f>
        <v/>
      </c>
      <c r="N7" s="7">
        <f>IF($V7="","",M7*L7)</f>
        <v/>
      </c>
      <c r="O7">
        <f>IF($V7="","",Settings!$C$6)</f>
        <v/>
      </c>
      <c r="P7" s="7">
        <f>IF($V7="","",SUMIFS('Per Line'!$L$2:$L$501,'Per Line'!$B$2:$B$501,$B7,'Per Line'!$Y$2:$Y$501,1))</f>
        <v/>
      </c>
      <c r="Q7" s="7">
        <f>IF($V7="","",P7*O7)</f>
        <v/>
      </c>
      <c r="R7" s="7">
        <f>IF($V7="","",Q7+N7)</f>
        <v/>
      </c>
      <c r="S7" s="7">
        <f>IF($V7="","",T7-R7)</f>
        <v/>
      </c>
      <c r="T7" s="7">
        <f>IF($V7="","",M7+P7)</f>
        <v/>
      </c>
      <c r="U7" s="7">
        <f>IF($V7="","",T7-R7-H7)</f>
        <v/>
      </c>
      <c r="V7" s="13">
        <f>IF(ROWS($V$2:$V7)&lt;=MAX('Per Line'!$X$2:$X$501),MATCH(ROWS($V$2:$V7),'Per Line'!$X$2:$X$501,0),"")</f>
        <v/>
      </c>
    </row>
    <row r="8">
      <c r="A8" s="12" t="n"/>
      <c r="B8">
        <f>IF($V8="","",INDEX('Per Line'!$B$2:$B$501,$V8)&amp;"")</f>
        <v/>
      </c>
      <c r="C8" s="12" t="n"/>
      <c r="D8">
        <f>IF($V8="","",INDEX('Per Line'!$C$2:$C$501,$V8)&amp;"")</f>
        <v/>
      </c>
      <c r="E8">
        <f>IF($V8="","",INDEX('Per Line'!$D$2:$D$501,$V8)&amp;"")</f>
        <v/>
      </c>
      <c r="F8">
        <f>IF($V8="","",INDEX('Per Line'!$E$2:$E$501,$V8)&amp;"")</f>
        <v/>
      </c>
      <c r="G8">
        <f>IF($V8="","",INDEX('Per Line'!$F$2:$F$501,$V8))</f>
        <v/>
      </c>
      <c r="H8" s="7">
        <f>IF($V8="","",G8*T8/100)</f>
        <v/>
      </c>
      <c r="I8">
        <f>IF($V8="","",INDEX('Per Line'!$M$2:$M$501,$V8)&amp;"")</f>
        <v/>
      </c>
      <c r="J8">
        <f>IF($V8="","",INDEX('Per Line'!$O$2:$O$501,$V8)&amp;"")</f>
        <v/>
      </c>
      <c r="K8">
        <f>IF($V8="","",INDEX('Per Line'!$Q$2:$Q$501,$V8)&amp;"")</f>
        <v/>
      </c>
      <c r="L8">
        <f>IF($V8="","",Settings!$C$7)</f>
        <v/>
      </c>
      <c r="M8" s="7">
        <f>IF($V8="","",SUMIFS('Per Line'!$L$2:$L$501,'Per Line'!$B$2:$B$501,$B8,'Per Line'!$Y$2:$Y$501,0))</f>
        <v/>
      </c>
      <c r="N8" s="7">
        <f>IF($V8="","",M8*L8)</f>
        <v/>
      </c>
      <c r="O8">
        <f>IF($V8="","",Settings!$C$6)</f>
        <v/>
      </c>
      <c r="P8" s="7">
        <f>IF($V8="","",SUMIFS('Per Line'!$L$2:$L$501,'Per Line'!$B$2:$B$501,$B8,'Per Line'!$Y$2:$Y$501,1))</f>
        <v/>
      </c>
      <c r="Q8" s="7">
        <f>IF($V8="","",P8*O8)</f>
        <v/>
      </c>
      <c r="R8" s="7">
        <f>IF($V8="","",Q8+N8)</f>
        <v/>
      </c>
      <c r="S8" s="7">
        <f>IF($V8="","",T8-R8)</f>
        <v/>
      </c>
      <c r="T8" s="7">
        <f>IF($V8="","",M8+P8)</f>
        <v/>
      </c>
      <c r="U8" s="7">
        <f>IF($V8="","",T8-R8-H8)</f>
        <v/>
      </c>
      <c r="V8" s="13">
        <f>IF(ROWS($V$2:$V8)&lt;=MAX('Per Line'!$X$2:$X$501),MATCH(ROWS($V$2:$V8),'Per Line'!$X$2:$X$501,0),"")</f>
        <v/>
      </c>
    </row>
    <row r="9">
      <c r="A9" s="12" t="n"/>
      <c r="B9">
        <f>IF($V9="","",INDEX('Per Line'!$B$2:$B$501,$V9)&amp;"")</f>
        <v/>
      </c>
      <c r="C9" s="12" t="n"/>
      <c r="D9">
        <f>IF($V9="","",INDEX('Per Line'!$C$2:$C$501,$V9)&amp;"")</f>
        <v/>
      </c>
      <c r="E9">
        <f>IF($V9="","",INDEX('Per Line'!$D$2:$D$501,$V9)&amp;"")</f>
        <v/>
      </c>
      <c r="F9">
        <f>IF($V9="","",INDEX('Per Line'!$E$2:$E$501,$V9)&amp;"")</f>
        <v/>
      </c>
      <c r="G9">
        <f>IF($V9="","",INDEX('Per Line'!$F$2:$F$501,$V9))</f>
        <v/>
      </c>
      <c r="H9" s="7">
        <f>IF($V9="","",G9*T9/100)</f>
        <v/>
      </c>
      <c r="I9">
        <f>IF($V9="","",INDEX('Per Line'!$M$2:$M$501,$V9)&amp;"")</f>
        <v/>
      </c>
      <c r="J9">
        <f>IF($V9="","",INDEX('Per Line'!$O$2:$O$501,$V9)&amp;"")</f>
        <v/>
      </c>
      <c r="K9">
        <f>IF($V9="","",INDEX('Per Line'!$Q$2:$Q$501,$V9)&amp;"")</f>
        <v/>
      </c>
      <c r="L9">
        <f>IF($V9="","",Settings!$C$7)</f>
        <v/>
      </c>
      <c r="M9" s="7">
        <f>IF($V9="","",SUMIFS('Per Line'!$L$2:$L$501,'Per Line'!$B$2:$B$501,$B9,'Per Line'!$Y$2:$Y$501,0))</f>
        <v/>
      </c>
      <c r="N9" s="7">
        <f>IF($V9="","",M9*L9)</f>
        <v/>
      </c>
      <c r="O9">
        <f>IF($V9="","",Settings!$C$6)</f>
        <v/>
      </c>
      <c r="P9" s="7">
        <f>IF($V9="","",SUMIFS('Per Line'!$L$2:$L$501,'Per Line'!$B$2:$B$501,$B9,'Per Line'!$Y$2:$Y$501,1))</f>
        <v/>
      </c>
      <c r="Q9" s="7">
        <f>IF($V9="","",P9*O9)</f>
        <v/>
      </c>
      <c r="R9" s="7">
        <f>IF($V9="","",Q9+N9)</f>
        <v/>
      </c>
      <c r="S9" s="7">
        <f>IF($V9="","",T9-R9)</f>
        <v/>
      </c>
      <c r="T9" s="7">
        <f>IF($V9="","",M9+P9)</f>
        <v/>
      </c>
      <c r="U9" s="7">
        <f>IF($V9="","",T9-R9-H9)</f>
        <v/>
      </c>
      <c r="V9" s="13">
        <f>IF(ROWS($V$2:$V9)&lt;=MAX('Per Line'!$X$2:$X$501),MATCH(ROWS($V$2:$V9),'Per Line'!$X$2:$X$501,0),"")</f>
        <v/>
      </c>
    </row>
    <row r="10">
      <c r="A10" s="12" t="n"/>
      <c r="B10">
        <f>IF($V10="","",INDEX('Per Line'!$B$2:$B$501,$V10)&amp;"")</f>
        <v/>
      </c>
      <c r="C10" s="12" t="n"/>
      <c r="D10">
        <f>IF($V10="","",INDEX('Per Line'!$C$2:$C$501,$V10)&amp;"")</f>
        <v/>
      </c>
      <c r="E10">
        <f>IF($V10="","",INDEX('Per Line'!$D$2:$D$501,$V10)&amp;"")</f>
        <v/>
      </c>
      <c r="F10">
        <f>IF($V10="","",INDEX('Per Line'!$E$2:$E$501,$V10)&amp;"")</f>
        <v/>
      </c>
      <c r="G10">
        <f>IF($V10="","",INDEX('Per Line'!$F$2:$F$501,$V10))</f>
        <v/>
      </c>
      <c r="H10" s="7">
        <f>IF($V10="","",G10*T10/100)</f>
        <v/>
      </c>
      <c r="I10">
        <f>IF($V10="","",INDEX('Per Line'!$M$2:$M$501,$V10)&amp;"")</f>
        <v/>
      </c>
      <c r="J10">
        <f>IF($V10="","",INDEX('Per Line'!$O$2:$O$501,$V10)&amp;"")</f>
        <v/>
      </c>
      <c r="K10">
        <f>IF($V10="","",INDEX('Per Line'!$Q$2:$Q$501,$V10)&amp;"")</f>
        <v/>
      </c>
      <c r="L10">
        <f>IF($V10="","",Settings!$C$7)</f>
        <v/>
      </c>
      <c r="M10" s="7">
        <f>IF($V10="","",SUMIFS('Per Line'!$L$2:$L$501,'Per Line'!$B$2:$B$501,$B10,'Per Line'!$Y$2:$Y$501,0))</f>
        <v/>
      </c>
      <c r="N10" s="7">
        <f>IF($V10="","",M10*L10)</f>
        <v/>
      </c>
      <c r="O10">
        <f>IF($V10="","",Settings!$C$6)</f>
        <v/>
      </c>
      <c r="P10" s="7">
        <f>IF($V10="","",SUMIFS('Per Line'!$L$2:$L$501,'Per Line'!$B$2:$B$501,$B10,'Per Line'!$Y$2:$Y$501,1))</f>
        <v/>
      </c>
      <c r="Q10" s="7">
        <f>IF($V10="","",P10*O10)</f>
        <v/>
      </c>
      <c r="R10" s="7">
        <f>IF($V10="","",Q10+N10)</f>
        <v/>
      </c>
      <c r="S10" s="7">
        <f>IF($V10="","",T10-R10)</f>
        <v/>
      </c>
      <c r="T10" s="7">
        <f>IF($V10="","",M10+P10)</f>
        <v/>
      </c>
      <c r="U10" s="7">
        <f>IF($V10="","",T10-R10-H10)</f>
        <v/>
      </c>
      <c r="V10" s="13">
        <f>IF(ROWS($V$2:$V10)&lt;=MAX('Per Line'!$X$2:$X$501),MATCH(ROWS($V$2:$V10),'Per Line'!$X$2:$X$501,0),"")</f>
        <v/>
      </c>
    </row>
    <row r="11">
      <c r="A11" s="12" t="n"/>
      <c r="B11">
        <f>IF($V11="","",INDEX('Per Line'!$B$2:$B$501,$V11)&amp;"")</f>
        <v/>
      </c>
      <c r="C11" s="12" t="n"/>
      <c r="D11">
        <f>IF($V11="","",INDEX('Per Line'!$C$2:$C$501,$V11)&amp;"")</f>
        <v/>
      </c>
      <c r="E11">
        <f>IF($V11="","",INDEX('Per Line'!$D$2:$D$501,$V11)&amp;"")</f>
        <v/>
      </c>
      <c r="F11">
        <f>IF($V11="","",INDEX('Per Line'!$E$2:$E$501,$V11)&amp;"")</f>
        <v/>
      </c>
      <c r="G11">
        <f>IF($V11="","",INDEX('Per Line'!$F$2:$F$501,$V11))</f>
        <v/>
      </c>
      <c r="H11" s="7">
        <f>IF($V11="","",G11*T11/100)</f>
        <v/>
      </c>
      <c r="I11">
        <f>IF($V11="","",INDEX('Per Line'!$M$2:$M$501,$V11)&amp;"")</f>
        <v/>
      </c>
      <c r="J11">
        <f>IF($V11="","",INDEX('Per Line'!$O$2:$O$501,$V11)&amp;"")</f>
        <v/>
      </c>
      <c r="K11">
        <f>IF($V11="","",INDEX('Per Line'!$Q$2:$Q$501,$V11)&amp;"")</f>
        <v/>
      </c>
      <c r="L11">
        <f>IF($V11="","",Settings!$C$7)</f>
        <v/>
      </c>
      <c r="M11" s="7">
        <f>IF($V11="","",SUMIFS('Per Line'!$L$2:$L$501,'Per Line'!$B$2:$B$501,$B11,'Per Line'!$Y$2:$Y$501,0))</f>
        <v/>
      </c>
      <c r="N11" s="7">
        <f>IF($V11="","",M11*L11)</f>
        <v/>
      </c>
      <c r="O11">
        <f>IF($V11="","",Settings!$C$6)</f>
        <v/>
      </c>
      <c r="P11" s="7">
        <f>IF($V11="","",SUMIFS('Per Line'!$L$2:$L$501,'Per Line'!$B$2:$B$501,$B11,'Per Line'!$Y$2:$Y$501,1))</f>
        <v/>
      </c>
      <c r="Q11" s="7">
        <f>IF($V11="","",P11*O11)</f>
        <v/>
      </c>
      <c r="R11" s="7">
        <f>IF($V11="","",Q11+N11)</f>
        <v/>
      </c>
      <c r="S11" s="7">
        <f>IF($V11="","",T11-R11)</f>
        <v/>
      </c>
      <c r="T11" s="7">
        <f>IF($V11="","",M11+P11)</f>
        <v/>
      </c>
      <c r="U11" s="7">
        <f>IF($V11="","",T11-R11-H11)</f>
        <v/>
      </c>
      <c r="V11" s="13">
        <f>IF(ROWS($V$2:$V11)&lt;=MAX('Per Line'!$X$2:$X$501),MATCH(ROWS($V$2:$V11),'Per Line'!$X$2:$X$501,0),"")</f>
        <v/>
      </c>
    </row>
    <row r="12">
      <c r="A12" s="12" t="n"/>
      <c r="B12">
        <f>IF($V12="","",INDEX('Per Line'!$B$2:$B$501,$V12)&amp;"")</f>
        <v/>
      </c>
      <c r="C12" s="12" t="n"/>
      <c r="D12">
        <f>IF($V12="","",INDEX('Per Line'!$C$2:$C$501,$V12)&amp;"")</f>
        <v/>
      </c>
      <c r="E12">
        <f>IF($V12="","",INDEX('Per Line'!$D$2:$D$501,$V12)&amp;"")</f>
        <v/>
      </c>
      <c r="F12">
        <f>IF($V12="","",INDEX('Per Line'!$E$2:$E$501,$V12)&amp;"")</f>
        <v/>
      </c>
      <c r="G12">
        <f>IF($V12="","",INDEX('Per Line'!$F$2:$F$501,$V12))</f>
        <v/>
      </c>
      <c r="H12" s="7">
        <f>IF($V12="","",G12*T12/100)</f>
        <v/>
      </c>
      <c r="I12">
        <f>IF($V12="","",INDEX('Per Line'!$M$2:$M$501,$V12)&amp;"")</f>
        <v/>
      </c>
      <c r="J12">
        <f>IF($V12="","",INDEX('Per Line'!$O$2:$O$501,$V12)&amp;"")</f>
        <v/>
      </c>
      <c r="K12">
        <f>IF($V12="","",INDEX('Per Line'!$Q$2:$Q$501,$V12)&amp;"")</f>
        <v/>
      </c>
      <c r="L12">
        <f>IF($V12="","",Settings!$C$7)</f>
        <v/>
      </c>
      <c r="M12" s="7">
        <f>IF($V12="","",SUMIFS('Per Line'!$L$2:$L$501,'Per Line'!$B$2:$B$501,$B12,'Per Line'!$Y$2:$Y$501,0))</f>
        <v/>
      </c>
      <c r="N12" s="7">
        <f>IF($V12="","",M12*L12)</f>
        <v/>
      </c>
      <c r="O12">
        <f>IF($V12="","",Settings!$C$6)</f>
        <v/>
      </c>
      <c r="P12" s="7">
        <f>IF($V12="","",SUMIFS('Per Line'!$L$2:$L$501,'Per Line'!$B$2:$B$501,$B12,'Per Line'!$Y$2:$Y$501,1))</f>
        <v/>
      </c>
      <c r="Q12" s="7">
        <f>IF($V12="","",P12*O12)</f>
        <v/>
      </c>
      <c r="R12" s="7">
        <f>IF($V12="","",Q12+N12)</f>
        <v/>
      </c>
      <c r="S12" s="7">
        <f>IF($V12="","",T12-R12)</f>
        <v/>
      </c>
      <c r="T12" s="7">
        <f>IF($V12="","",M12+P12)</f>
        <v/>
      </c>
      <c r="U12" s="7">
        <f>IF($V12="","",T12-R12-H12)</f>
        <v/>
      </c>
      <c r="V12" s="13">
        <f>IF(ROWS($V$2:$V12)&lt;=MAX('Per Line'!$X$2:$X$501),MATCH(ROWS($V$2:$V12),'Per Line'!$X$2:$X$501,0),"")</f>
        <v/>
      </c>
    </row>
    <row r="13">
      <c r="A13" s="12" t="n"/>
      <c r="B13">
        <f>IF($V13="","",INDEX('Per Line'!$B$2:$B$501,$V13)&amp;"")</f>
        <v/>
      </c>
      <c r="C13" s="12" t="n"/>
      <c r="D13">
        <f>IF($V13="","",INDEX('Per Line'!$C$2:$C$501,$V13)&amp;"")</f>
        <v/>
      </c>
      <c r="E13">
        <f>IF($V13="","",INDEX('Per Line'!$D$2:$D$501,$V13)&amp;"")</f>
        <v/>
      </c>
      <c r="F13">
        <f>IF($V13="","",INDEX('Per Line'!$E$2:$E$501,$V13)&amp;"")</f>
        <v/>
      </c>
      <c r="G13">
        <f>IF($V13="","",INDEX('Per Line'!$F$2:$F$501,$V13))</f>
        <v/>
      </c>
      <c r="H13" s="7">
        <f>IF($V13="","",G13*T13/100)</f>
        <v/>
      </c>
      <c r="I13">
        <f>IF($V13="","",INDEX('Per Line'!$M$2:$M$501,$V13)&amp;"")</f>
        <v/>
      </c>
      <c r="J13">
        <f>IF($V13="","",INDEX('Per Line'!$O$2:$O$501,$V13)&amp;"")</f>
        <v/>
      </c>
      <c r="K13">
        <f>IF($V13="","",INDEX('Per Line'!$Q$2:$Q$501,$V13)&amp;"")</f>
        <v/>
      </c>
      <c r="L13">
        <f>IF($V13="","",Settings!$C$7)</f>
        <v/>
      </c>
      <c r="M13" s="7">
        <f>IF($V13="","",SUMIFS('Per Line'!$L$2:$L$501,'Per Line'!$B$2:$B$501,$B13,'Per Line'!$Y$2:$Y$501,0))</f>
        <v/>
      </c>
      <c r="N13" s="7">
        <f>IF($V13="","",M13*L13)</f>
        <v/>
      </c>
      <c r="O13">
        <f>IF($V13="","",Settings!$C$6)</f>
        <v/>
      </c>
      <c r="P13" s="7">
        <f>IF($V13="","",SUMIFS('Per Line'!$L$2:$L$501,'Per Line'!$B$2:$B$501,$B13,'Per Line'!$Y$2:$Y$501,1))</f>
        <v/>
      </c>
      <c r="Q13" s="7">
        <f>IF($V13="","",P13*O13)</f>
        <v/>
      </c>
      <c r="R13" s="7">
        <f>IF($V13="","",Q13+N13)</f>
        <v/>
      </c>
      <c r="S13" s="7">
        <f>IF($V13="","",T13-R13)</f>
        <v/>
      </c>
      <c r="T13" s="7">
        <f>IF($V13="","",M13+P13)</f>
        <v/>
      </c>
      <c r="U13" s="7">
        <f>IF($V13="","",T13-R13-H13)</f>
        <v/>
      </c>
      <c r="V13" s="13">
        <f>IF(ROWS($V$2:$V13)&lt;=MAX('Per Line'!$X$2:$X$501),MATCH(ROWS($V$2:$V13),'Per Line'!$X$2:$X$501,0),"")</f>
        <v/>
      </c>
    </row>
    <row r="14">
      <c r="A14" s="12" t="n"/>
      <c r="B14">
        <f>IF($V14="","",INDEX('Per Line'!$B$2:$B$501,$V14)&amp;"")</f>
        <v/>
      </c>
      <c r="C14" s="12" t="n"/>
      <c r="D14">
        <f>IF($V14="","",INDEX('Per Line'!$C$2:$C$501,$V14)&amp;"")</f>
        <v/>
      </c>
      <c r="E14">
        <f>IF($V14="","",INDEX('Per Line'!$D$2:$D$501,$V14)&amp;"")</f>
        <v/>
      </c>
      <c r="F14">
        <f>IF($V14="","",INDEX('Per Line'!$E$2:$E$501,$V14)&amp;"")</f>
        <v/>
      </c>
      <c r="G14">
        <f>IF($V14="","",INDEX('Per Line'!$F$2:$F$501,$V14))</f>
        <v/>
      </c>
      <c r="H14" s="7">
        <f>IF($V14="","",G14*T14/100)</f>
        <v/>
      </c>
      <c r="I14">
        <f>IF($V14="","",INDEX('Per Line'!$M$2:$M$501,$V14)&amp;"")</f>
        <v/>
      </c>
      <c r="J14">
        <f>IF($V14="","",INDEX('Per Line'!$O$2:$O$501,$V14)&amp;"")</f>
        <v/>
      </c>
      <c r="K14">
        <f>IF($V14="","",INDEX('Per Line'!$Q$2:$Q$501,$V14)&amp;"")</f>
        <v/>
      </c>
      <c r="L14">
        <f>IF($V14="","",Settings!$C$7)</f>
        <v/>
      </c>
      <c r="M14" s="7">
        <f>IF($V14="","",SUMIFS('Per Line'!$L$2:$L$501,'Per Line'!$B$2:$B$501,$B14,'Per Line'!$Y$2:$Y$501,0))</f>
        <v/>
      </c>
      <c r="N14" s="7">
        <f>IF($V14="","",M14*L14)</f>
        <v/>
      </c>
      <c r="O14">
        <f>IF($V14="","",Settings!$C$6)</f>
        <v/>
      </c>
      <c r="P14" s="7">
        <f>IF($V14="","",SUMIFS('Per Line'!$L$2:$L$501,'Per Line'!$B$2:$B$501,$B14,'Per Line'!$Y$2:$Y$501,1))</f>
        <v/>
      </c>
      <c r="Q14" s="7">
        <f>IF($V14="","",P14*O14)</f>
        <v/>
      </c>
      <c r="R14" s="7">
        <f>IF($V14="","",Q14+N14)</f>
        <v/>
      </c>
      <c r="S14" s="7">
        <f>IF($V14="","",T14-R14)</f>
        <v/>
      </c>
      <c r="T14" s="7">
        <f>IF($V14="","",M14+P14)</f>
        <v/>
      </c>
      <c r="U14" s="7">
        <f>IF($V14="","",T14-R14-H14)</f>
        <v/>
      </c>
      <c r="V14" s="13">
        <f>IF(ROWS($V$2:$V14)&lt;=MAX('Per Line'!$X$2:$X$501),MATCH(ROWS($V$2:$V14),'Per Line'!$X$2:$X$501,0),"")</f>
        <v/>
      </c>
    </row>
    <row r="15">
      <c r="A15" s="12" t="n"/>
      <c r="B15">
        <f>IF($V15="","",INDEX('Per Line'!$B$2:$B$501,$V15)&amp;"")</f>
        <v/>
      </c>
      <c r="C15" s="12" t="n"/>
      <c r="D15">
        <f>IF($V15="","",INDEX('Per Line'!$C$2:$C$501,$V15)&amp;"")</f>
        <v/>
      </c>
      <c r="E15">
        <f>IF($V15="","",INDEX('Per Line'!$D$2:$D$501,$V15)&amp;"")</f>
        <v/>
      </c>
      <c r="F15">
        <f>IF($V15="","",INDEX('Per Line'!$E$2:$E$501,$V15)&amp;"")</f>
        <v/>
      </c>
      <c r="G15">
        <f>IF($V15="","",INDEX('Per Line'!$F$2:$F$501,$V15))</f>
        <v/>
      </c>
      <c r="H15" s="7">
        <f>IF($V15="","",G15*T15/100)</f>
        <v/>
      </c>
      <c r="I15">
        <f>IF($V15="","",INDEX('Per Line'!$M$2:$M$501,$V15)&amp;"")</f>
        <v/>
      </c>
      <c r="J15">
        <f>IF($V15="","",INDEX('Per Line'!$O$2:$O$501,$V15)&amp;"")</f>
        <v/>
      </c>
      <c r="K15">
        <f>IF($V15="","",INDEX('Per Line'!$Q$2:$Q$501,$V15)&amp;"")</f>
        <v/>
      </c>
      <c r="L15">
        <f>IF($V15="","",Settings!$C$7)</f>
        <v/>
      </c>
      <c r="M15" s="7">
        <f>IF($V15="","",SUMIFS('Per Line'!$L$2:$L$501,'Per Line'!$B$2:$B$501,$B15,'Per Line'!$Y$2:$Y$501,0))</f>
        <v/>
      </c>
      <c r="N15" s="7">
        <f>IF($V15="","",M15*L15)</f>
        <v/>
      </c>
      <c r="O15">
        <f>IF($V15="","",Settings!$C$6)</f>
        <v/>
      </c>
      <c r="P15" s="7">
        <f>IF($V15="","",SUMIFS('Per Line'!$L$2:$L$501,'Per Line'!$B$2:$B$501,$B15,'Per Line'!$Y$2:$Y$501,1))</f>
        <v/>
      </c>
      <c r="Q15" s="7">
        <f>IF($V15="","",P15*O15)</f>
        <v/>
      </c>
      <c r="R15" s="7">
        <f>IF($V15="","",Q15+N15)</f>
        <v/>
      </c>
      <c r="S15" s="7">
        <f>IF($V15="","",T15-R15)</f>
        <v/>
      </c>
      <c r="T15" s="7">
        <f>IF($V15="","",M15+P15)</f>
        <v/>
      </c>
      <c r="U15" s="7">
        <f>IF($V15="","",T15-R15-H15)</f>
        <v/>
      </c>
      <c r="V15" s="13">
        <f>IF(ROWS($V$2:$V15)&lt;=MAX('Per Line'!$X$2:$X$501),MATCH(ROWS($V$2:$V15),'Per Line'!$X$2:$X$501,0),"")</f>
        <v/>
      </c>
    </row>
    <row r="16">
      <c r="A16" s="12" t="n"/>
      <c r="B16">
        <f>IF($V16="","",INDEX('Per Line'!$B$2:$B$501,$V16)&amp;"")</f>
        <v/>
      </c>
      <c r="C16" s="12" t="n"/>
      <c r="D16">
        <f>IF($V16="","",INDEX('Per Line'!$C$2:$C$501,$V16)&amp;"")</f>
        <v/>
      </c>
      <c r="E16">
        <f>IF($V16="","",INDEX('Per Line'!$D$2:$D$501,$V16)&amp;"")</f>
        <v/>
      </c>
      <c r="F16">
        <f>IF($V16="","",INDEX('Per Line'!$E$2:$E$501,$V16)&amp;"")</f>
        <v/>
      </c>
      <c r="G16">
        <f>IF($V16="","",INDEX('Per Line'!$F$2:$F$501,$V16))</f>
        <v/>
      </c>
      <c r="H16" s="7">
        <f>IF($V16="","",G16*T16/100)</f>
        <v/>
      </c>
      <c r="I16">
        <f>IF($V16="","",INDEX('Per Line'!$M$2:$M$501,$V16)&amp;"")</f>
        <v/>
      </c>
      <c r="J16">
        <f>IF($V16="","",INDEX('Per Line'!$O$2:$O$501,$V16)&amp;"")</f>
        <v/>
      </c>
      <c r="K16">
        <f>IF($V16="","",INDEX('Per Line'!$Q$2:$Q$501,$V16)&amp;"")</f>
        <v/>
      </c>
      <c r="L16">
        <f>IF($V16="","",Settings!$C$7)</f>
        <v/>
      </c>
      <c r="M16" s="7">
        <f>IF($V16="","",SUMIFS('Per Line'!$L$2:$L$501,'Per Line'!$B$2:$B$501,$B16,'Per Line'!$Y$2:$Y$501,0))</f>
        <v/>
      </c>
      <c r="N16" s="7">
        <f>IF($V16="","",M16*L16)</f>
        <v/>
      </c>
      <c r="O16">
        <f>IF($V16="","",Settings!$C$6)</f>
        <v/>
      </c>
      <c r="P16" s="7">
        <f>IF($V16="","",SUMIFS('Per Line'!$L$2:$L$501,'Per Line'!$B$2:$B$501,$B16,'Per Line'!$Y$2:$Y$501,1))</f>
        <v/>
      </c>
      <c r="Q16" s="7">
        <f>IF($V16="","",P16*O16)</f>
        <v/>
      </c>
      <c r="R16" s="7">
        <f>IF($V16="","",Q16+N16)</f>
        <v/>
      </c>
      <c r="S16" s="7">
        <f>IF($V16="","",T16-R16)</f>
        <v/>
      </c>
      <c r="T16" s="7">
        <f>IF($V16="","",M16+P16)</f>
        <v/>
      </c>
      <c r="U16" s="7">
        <f>IF($V16="","",T16-R16-H16)</f>
        <v/>
      </c>
      <c r="V16" s="13">
        <f>IF(ROWS($V$2:$V16)&lt;=MAX('Per Line'!$X$2:$X$501),MATCH(ROWS($V$2:$V16),'Per Line'!$X$2:$X$501,0),"")</f>
        <v/>
      </c>
    </row>
    <row r="17">
      <c r="A17" s="12" t="n"/>
      <c r="B17">
        <f>IF($V17="","",INDEX('Per Line'!$B$2:$B$501,$V17)&amp;"")</f>
        <v/>
      </c>
      <c r="C17" s="12" t="n"/>
      <c r="D17">
        <f>IF($V17="","",INDEX('Per Line'!$C$2:$C$501,$V17)&amp;"")</f>
        <v/>
      </c>
      <c r="E17">
        <f>IF($V17="","",INDEX('Per Line'!$D$2:$D$501,$V17)&amp;"")</f>
        <v/>
      </c>
      <c r="F17">
        <f>IF($V17="","",INDEX('Per Line'!$E$2:$E$501,$V17)&amp;"")</f>
        <v/>
      </c>
      <c r="G17">
        <f>IF($V17="","",INDEX('Per Line'!$F$2:$F$501,$V17))</f>
        <v/>
      </c>
      <c r="H17" s="7">
        <f>IF($V17="","",G17*T17/100)</f>
        <v/>
      </c>
      <c r="I17">
        <f>IF($V17="","",INDEX('Per Line'!$M$2:$M$501,$V17)&amp;"")</f>
        <v/>
      </c>
      <c r="J17">
        <f>IF($V17="","",INDEX('Per Line'!$O$2:$O$501,$V17)&amp;"")</f>
        <v/>
      </c>
      <c r="K17">
        <f>IF($V17="","",INDEX('Per Line'!$Q$2:$Q$501,$V17)&amp;"")</f>
        <v/>
      </c>
      <c r="L17">
        <f>IF($V17="","",Settings!$C$7)</f>
        <v/>
      </c>
      <c r="M17" s="7">
        <f>IF($V17="","",SUMIFS('Per Line'!$L$2:$L$501,'Per Line'!$B$2:$B$501,$B17,'Per Line'!$Y$2:$Y$501,0))</f>
        <v/>
      </c>
      <c r="N17" s="7">
        <f>IF($V17="","",M17*L17)</f>
        <v/>
      </c>
      <c r="O17">
        <f>IF($V17="","",Settings!$C$6)</f>
        <v/>
      </c>
      <c r="P17" s="7">
        <f>IF($V17="","",SUMIFS('Per Line'!$L$2:$L$501,'Per Line'!$B$2:$B$501,$B17,'Per Line'!$Y$2:$Y$501,1))</f>
        <v/>
      </c>
      <c r="Q17" s="7">
        <f>IF($V17="","",P17*O17)</f>
        <v/>
      </c>
      <c r="R17" s="7">
        <f>IF($V17="","",Q17+N17)</f>
        <v/>
      </c>
      <c r="S17" s="7">
        <f>IF($V17="","",T17-R17)</f>
        <v/>
      </c>
      <c r="T17" s="7">
        <f>IF($V17="","",M17+P17)</f>
        <v/>
      </c>
      <c r="U17" s="7">
        <f>IF($V17="","",T17-R17-H17)</f>
        <v/>
      </c>
      <c r="V17" s="13">
        <f>IF(ROWS($V$2:$V17)&lt;=MAX('Per Line'!$X$2:$X$501),MATCH(ROWS($V$2:$V17),'Per Line'!$X$2:$X$501,0),"")</f>
        <v/>
      </c>
    </row>
    <row r="18">
      <c r="A18" s="12" t="n"/>
      <c r="B18">
        <f>IF($V18="","",INDEX('Per Line'!$B$2:$B$501,$V18)&amp;"")</f>
        <v/>
      </c>
      <c r="C18" s="12" t="n"/>
      <c r="D18">
        <f>IF($V18="","",INDEX('Per Line'!$C$2:$C$501,$V18)&amp;"")</f>
        <v/>
      </c>
      <c r="E18">
        <f>IF($V18="","",INDEX('Per Line'!$D$2:$D$501,$V18)&amp;"")</f>
        <v/>
      </c>
      <c r="F18">
        <f>IF($V18="","",INDEX('Per Line'!$E$2:$E$501,$V18)&amp;"")</f>
        <v/>
      </c>
      <c r="G18">
        <f>IF($V18="","",INDEX('Per Line'!$F$2:$F$501,$V18))</f>
        <v/>
      </c>
      <c r="H18" s="7">
        <f>IF($V18="","",G18*T18/100)</f>
        <v/>
      </c>
      <c r="I18">
        <f>IF($V18="","",INDEX('Per Line'!$M$2:$M$501,$V18)&amp;"")</f>
        <v/>
      </c>
      <c r="J18">
        <f>IF($V18="","",INDEX('Per Line'!$O$2:$O$501,$V18)&amp;"")</f>
        <v/>
      </c>
      <c r="K18">
        <f>IF($V18="","",INDEX('Per Line'!$Q$2:$Q$501,$V18)&amp;"")</f>
        <v/>
      </c>
      <c r="L18">
        <f>IF($V18="","",Settings!$C$7)</f>
        <v/>
      </c>
      <c r="M18" s="7">
        <f>IF($V18="","",SUMIFS('Per Line'!$L$2:$L$501,'Per Line'!$B$2:$B$501,$B18,'Per Line'!$Y$2:$Y$501,0))</f>
        <v/>
      </c>
      <c r="N18" s="7">
        <f>IF($V18="","",M18*L18)</f>
        <v/>
      </c>
      <c r="O18">
        <f>IF($V18="","",Settings!$C$6)</f>
        <v/>
      </c>
      <c r="P18" s="7">
        <f>IF($V18="","",SUMIFS('Per Line'!$L$2:$L$501,'Per Line'!$B$2:$B$501,$B18,'Per Line'!$Y$2:$Y$501,1))</f>
        <v/>
      </c>
      <c r="Q18" s="7">
        <f>IF($V18="","",P18*O18)</f>
        <v/>
      </c>
      <c r="R18" s="7">
        <f>IF($V18="","",Q18+N18)</f>
        <v/>
      </c>
      <c r="S18" s="7">
        <f>IF($V18="","",T18-R18)</f>
        <v/>
      </c>
      <c r="T18" s="7">
        <f>IF($V18="","",M18+P18)</f>
        <v/>
      </c>
      <c r="U18" s="7">
        <f>IF($V18="","",T18-R18-H18)</f>
        <v/>
      </c>
      <c r="V18" s="13">
        <f>IF(ROWS($V$2:$V18)&lt;=MAX('Per Line'!$X$2:$X$501),MATCH(ROWS($V$2:$V18),'Per Line'!$X$2:$X$501,0),"")</f>
        <v/>
      </c>
    </row>
    <row r="19">
      <c r="A19" s="12" t="n"/>
      <c r="B19">
        <f>IF($V19="","",INDEX('Per Line'!$B$2:$B$501,$V19)&amp;"")</f>
        <v/>
      </c>
      <c r="C19" s="12" t="n"/>
      <c r="D19">
        <f>IF($V19="","",INDEX('Per Line'!$C$2:$C$501,$V19)&amp;"")</f>
        <v/>
      </c>
      <c r="E19">
        <f>IF($V19="","",INDEX('Per Line'!$D$2:$D$501,$V19)&amp;"")</f>
        <v/>
      </c>
      <c r="F19">
        <f>IF($V19="","",INDEX('Per Line'!$E$2:$E$501,$V19)&amp;"")</f>
        <v/>
      </c>
      <c r="G19">
        <f>IF($V19="","",INDEX('Per Line'!$F$2:$F$501,$V19))</f>
        <v/>
      </c>
      <c r="H19" s="7">
        <f>IF($V19="","",G19*T19/100)</f>
        <v/>
      </c>
      <c r="I19">
        <f>IF($V19="","",INDEX('Per Line'!$M$2:$M$501,$V19)&amp;"")</f>
        <v/>
      </c>
      <c r="J19">
        <f>IF($V19="","",INDEX('Per Line'!$O$2:$O$501,$V19)&amp;"")</f>
        <v/>
      </c>
      <c r="K19">
        <f>IF($V19="","",INDEX('Per Line'!$Q$2:$Q$501,$V19)&amp;"")</f>
        <v/>
      </c>
      <c r="L19">
        <f>IF($V19="","",Settings!$C$7)</f>
        <v/>
      </c>
      <c r="M19" s="7">
        <f>IF($V19="","",SUMIFS('Per Line'!$L$2:$L$501,'Per Line'!$B$2:$B$501,$B19,'Per Line'!$Y$2:$Y$501,0))</f>
        <v/>
      </c>
      <c r="N19" s="7">
        <f>IF($V19="","",M19*L19)</f>
        <v/>
      </c>
      <c r="O19">
        <f>IF($V19="","",Settings!$C$6)</f>
        <v/>
      </c>
      <c r="P19" s="7">
        <f>IF($V19="","",SUMIFS('Per Line'!$L$2:$L$501,'Per Line'!$B$2:$B$501,$B19,'Per Line'!$Y$2:$Y$501,1))</f>
        <v/>
      </c>
      <c r="Q19" s="7">
        <f>IF($V19="","",P19*O19)</f>
        <v/>
      </c>
      <c r="R19" s="7">
        <f>IF($V19="","",Q19+N19)</f>
        <v/>
      </c>
      <c r="S19" s="7">
        <f>IF($V19="","",T19-R19)</f>
        <v/>
      </c>
      <c r="T19" s="7">
        <f>IF($V19="","",M19+P19)</f>
        <v/>
      </c>
      <c r="U19" s="7">
        <f>IF($V19="","",T19-R19-H19)</f>
        <v/>
      </c>
      <c r="V19" s="13">
        <f>IF(ROWS($V$2:$V19)&lt;=MAX('Per Line'!$X$2:$X$501),MATCH(ROWS($V$2:$V19),'Per Line'!$X$2:$X$501,0),"")</f>
        <v/>
      </c>
    </row>
    <row r="20">
      <c r="A20" s="12" t="n"/>
      <c r="B20">
        <f>IF($V20="","",INDEX('Per Line'!$B$2:$B$501,$V20)&amp;"")</f>
        <v/>
      </c>
      <c r="C20" s="12" t="n"/>
      <c r="D20">
        <f>IF($V20="","",INDEX('Per Line'!$C$2:$C$501,$V20)&amp;"")</f>
        <v/>
      </c>
      <c r="E20">
        <f>IF($V20="","",INDEX('Per Line'!$D$2:$D$501,$V20)&amp;"")</f>
        <v/>
      </c>
      <c r="F20">
        <f>IF($V20="","",INDEX('Per Line'!$E$2:$E$501,$V20)&amp;"")</f>
        <v/>
      </c>
      <c r="G20">
        <f>IF($V20="","",INDEX('Per Line'!$F$2:$F$501,$V20))</f>
        <v/>
      </c>
      <c r="H20" s="7">
        <f>IF($V20="","",G20*T20/100)</f>
        <v/>
      </c>
      <c r="I20">
        <f>IF($V20="","",INDEX('Per Line'!$M$2:$M$501,$V20)&amp;"")</f>
        <v/>
      </c>
      <c r="J20">
        <f>IF($V20="","",INDEX('Per Line'!$O$2:$O$501,$V20)&amp;"")</f>
        <v/>
      </c>
      <c r="K20">
        <f>IF($V20="","",INDEX('Per Line'!$Q$2:$Q$501,$V20)&amp;"")</f>
        <v/>
      </c>
      <c r="L20">
        <f>IF($V20="","",Settings!$C$7)</f>
        <v/>
      </c>
      <c r="M20" s="7">
        <f>IF($V20="","",SUMIFS('Per Line'!$L$2:$L$501,'Per Line'!$B$2:$B$501,$B20,'Per Line'!$Y$2:$Y$501,0))</f>
        <v/>
      </c>
      <c r="N20" s="7">
        <f>IF($V20="","",M20*L20)</f>
        <v/>
      </c>
      <c r="O20">
        <f>IF($V20="","",Settings!$C$6)</f>
        <v/>
      </c>
      <c r="P20" s="7">
        <f>IF($V20="","",SUMIFS('Per Line'!$L$2:$L$501,'Per Line'!$B$2:$B$501,$B20,'Per Line'!$Y$2:$Y$501,1))</f>
        <v/>
      </c>
      <c r="Q20" s="7">
        <f>IF($V20="","",P20*O20)</f>
        <v/>
      </c>
      <c r="R20" s="7">
        <f>IF($V20="","",Q20+N20)</f>
        <v/>
      </c>
      <c r="S20" s="7">
        <f>IF($V20="","",T20-R20)</f>
        <v/>
      </c>
      <c r="T20" s="7">
        <f>IF($V20="","",M20+P20)</f>
        <v/>
      </c>
      <c r="U20" s="7">
        <f>IF($V20="","",T20-R20-H20)</f>
        <v/>
      </c>
      <c r="V20" s="13">
        <f>IF(ROWS($V$2:$V20)&lt;=MAX('Per Line'!$X$2:$X$501),MATCH(ROWS($V$2:$V20),'Per Line'!$X$2:$X$501,0),"")</f>
        <v/>
      </c>
    </row>
    <row r="21">
      <c r="A21" s="12" t="n"/>
      <c r="B21">
        <f>IF($V21="","",INDEX('Per Line'!$B$2:$B$501,$V21)&amp;"")</f>
        <v/>
      </c>
      <c r="C21" s="12" t="n"/>
      <c r="D21">
        <f>IF($V21="","",INDEX('Per Line'!$C$2:$C$501,$V21)&amp;"")</f>
        <v/>
      </c>
      <c r="E21">
        <f>IF($V21="","",INDEX('Per Line'!$D$2:$D$501,$V21)&amp;"")</f>
        <v/>
      </c>
      <c r="F21">
        <f>IF($V21="","",INDEX('Per Line'!$E$2:$E$501,$V21)&amp;"")</f>
        <v/>
      </c>
      <c r="G21">
        <f>IF($V21="","",INDEX('Per Line'!$F$2:$F$501,$V21))</f>
        <v/>
      </c>
      <c r="H21" s="7">
        <f>IF($V21="","",G21*T21/100)</f>
        <v/>
      </c>
      <c r="I21">
        <f>IF($V21="","",INDEX('Per Line'!$M$2:$M$501,$V21)&amp;"")</f>
        <v/>
      </c>
      <c r="J21">
        <f>IF($V21="","",INDEX('Per Line'!$O$2:$O$501,$V21)&amp;"")</f>
        <v/>
      </c>
      <c r="K21">
        <f>IF($V21="","",INDEX('Per Line'!$Q$2:$Q$501,$V21)&amp;"")</f>
        <v/>
      </c>
      <c r="L21">
        <f>IF($V21="","",Settings!$C$7)</f>
        <v/>
      </c>
      <c r="M21" s="7">
        <f>IF($V21="","",SUMIFS('Per Line'!$L$2:$L$501,'Per Line'!$B$2:$B$501,$B21,'Per Line'!$Y$2:$Y$501,0))</f>
        <v/>
      </c>
      <c r="N21" s="7">
        <f>IF($V21="","",M21*L21)</f>
        <v/>
      </c>
      <c r="O21">
        <f>IF($V21="","",Settings!$C$6)</f>
        <v/>
      </c>
      <c r="P21" s="7">
        <f>IF($V21="","",SUMIFS('Per Line'!$L$2:$L$501,'Per Line'!$B$2:$B$501,$B21,'Per Line'!$Y$2:$Y$501,1))</f>
        <v/>
      </c>
      <c r="Q21" s="7">
        <f>IF($V21="","",P21*O21)</f>
        <v/>
      </c>
      <c r="R21" s="7">
        <f>IF($V21="","",Q21+N21)</f>
        <v/>
      </c>
      <c r="S21" s="7">
        <f>IF($V21="","",T21-R21)</f>
        <v/>
      </c>
      <c r="T21" s="7">
        <f>IF($V21="","",M21+P21)</f>
        <v/>
      </c>
      <c r="U21" s="7">
        <f>IF($V21="","",T21-R21-H21)</f>
        <v/>
      </c>
      <c r="V21" s="13">
        <f>IF(ROWS($V$2:$V21)&lt;=MAX('Per Line'!$X$2:$X$501),MATCH(ROWS($V$2:$V21),'Per Line'!$X$2:$X$501,0),"")</f>
        <v/>
      </c>
    </row>
    <row r="22">
      <c r="A22" s="12" t="n"/>
      <c r="B22">
        <f>IF($V22="","",INDEX('Per Line'!$B$2:$B$501,$V22)&amp;"")</f>
        <v/>
      </c>
      <c r="C22" s="12" t="n"/>
      <c r="D22">
        <f>IF($V22="","",INDEX('Per Line'!$C$2:$C$501,$V22)&amp;"")</f>
        <v/>
      </c>
      <c r="E22">
        <f>IF($V22="","",INDEX('Per Line'!$D$2:$D$501,$V22)&amp;"")</f>
        <v/>
      </c>
      <c r="F22">
        <f>IF($V22="","",INDEX('Per Line'!$E$2:$E$501,$V22)&amp;"")</f>
        <v/>
      </c>
      <c r="G22">
        <f>IF($V22="","",INDEX('Per Line'!$F$2:$F$501,$V22))</f>
        <v/>
      </c>
      <c r="H22" s="7">
        <f>IF($V22="","",G22*T22/100)</f>
        <v/>
      </c>
      <c r="I22">
        <f>IF($V22="","",INDEX('Per Line'!$M$2:$M$501,$V22)&amp;"")</f>
        <v/>
      </c>
      <c r="J22">
        <f>IF($V22="","",INDEX('Per Line'!$O$2:$O$501,$V22)&amp;"")</f>
        <v/>
      </c>
      <c r="K22">
        <f>IF($V22="","",INDEX('Per Line'!$Q$2:$Q$501,$V22)&amp;"")</f>
        <v/>
      </c>
      <c r="L22">
        <f>IF($V22="","",Settings!$C$7)</f>
        <v/>
      </c>
      <c r="M22" s="7">
        <f>IF($V22="","",SUMIFS('Per Line'!$L$2:$L$501,'Per Line'!$B$2:$B$501,$B22,'Per Line'!$Y$2:$Y$501,0))</f>
        <v/>
      </c>
      <c r="N22" s="7">
        <f>IF($V22="","",M22*L22)</f>
        <v/>
      </c>
      <c r="O22">
        <f>IF($V22="","",Settings!$C$6)</f>
        <v/>
      </c>
      <c r="P22" s="7">
        <f>IF($V22="","",SUMIFS('Per Line'!$L$2:$L$501,'Per Line'!$B$2:$B$501,$B22,'Per Line'!$Y$2:$Y$501,1))</f>
        <v/>
      </c>
      <c r="Q22" s="7">
        <f>IF($V22="","",P22*O22)</f>
        <v/>
      </c>
      <c r="R22" s="7">
        <f>IF($V22="","",Q22+N22)</f>
        <v/>
      </c>
      <c r="S22" s="7">
        <f>IF($V22="","",T22-R22)</f>
        <v/>
      </c>
      <c r="T22" s="7">
        <f>IF($V22="","",M22+P22)</f>
        <v/>
      </c>
      <c r="U22" s="7">
        <f>IF($V22="","",T22-R22-H22)</f>
        <v/>
      </c>
      <c r="V22" s="13">
        <f>IF(ROWS($V$2:$V22)&lt;=MAX('Per Line'!$X$2:$X$501),MATCH(ROWS($V$2:$V22),'Per Line'!$X$2:$X$501,0),"")</f>
        <v/>
      </c>
    </row>
    <row r="23">
      <c r="A23" s="12" t="n"/>
      <c r="B23">
        <f>IF($V23="","",INDEX('Per Line'!$B$2:$B$501,$V23)&amp;"")</f>
        <v/>
      </c>
      <c r="C23" s="12" t="n"/>
      <c r="D23">
        <f>IF($V23="","",INDEX('Per Line'!$C$2:$C$501,$V23)&amp;"")</f>
        <v/>
      </c>
      <c r="E23">
        <f>IF($V23="","",INDEX('Per Line'!$D$2:$D$501,$V23)&amp;"")</f>
        <v/>
      </c>
      <c r="F23">
        <f>IF($V23="","",INDEX('Per Line'!$E$2:$E$501,$V23)&amp;"")</f>
        <v/>
      </c>
      <c r="G23">
        <f>IF($V23="","",INDEX('Per Line'!$F$2:$F$501,$V23))</f>
        <v/>
      </c>
      <c r="H23" s="7">
        <f>IF($V23="","",G23*T23/100)</f>
        <v/>
      </c>
      <c r="I23">
        <f>IF($V23="","",INDEX('Per Line'!$M$2:$M$501,$V23)&amp;"")</f>
        <v/>
      </c>
      <c r="J23">
        <f>IF($V23="","",INDEX('Per Line'!$O$2:$O$501,$V23)&amp;"")</f>
        <v/>
      </c>
      <c r="K23">
        <f>IF($V23="","",INDEX('Per Line'!$Q$2:$Q$501,$V23)&amp;"")</f>
        <v/>
      </c>
      <c r="L23">
        <f>IF($V23="","",Settings!$C$7)</f>
        <v/>
      </c>
      <c r="M23" s="7">
        <f>IF($V23="","",SUMIFS('Per Line'!$L$2:$L$501,'Per Line'!$B$2:$B$501,$B23,'Per Line'!$Y$2:$Y$501,0))</f>
        <v/>
      </c>
      <c r="N23" s="7">
        <f>IF($V23="","",M23*L23)</f>
        <v/>
      </c>
      <c r="O23">
        <f>IF($V23="","",Settings!$C$6)</f>
        <v/>
      </c>
      <c r="P23" s="7">
        <f>IF($V23="","",SUMIFS('Per Line'!$L$2:$L$501,'Per Line'!$B$2:$B$501,$B23,'Per Line'!$Y$2:$Y$501,1))</f>
        <v/>
      </c>
      <c r="Q23" s="7">
        <f>IF($V23="","",P23*O23)</f>
        <v/>
      </c>
      <c r="R23" s="7">
        <f>IF($V23="","",Q23+N23)</f>
        <v/>
      </c>
      <c r="S23" s="7">
        <f>IF($V23="","",T23-R23)</f>
        <v/>
      </c>
      <c r="T23" s="7">
        <f>IF($V23="","",M23+P23)</f>
        <v/>
      </c>
      <c r="U23" s="7">
        <f>IF($V23="","",T23-R23-H23)</f>
        <v/>
      </c>
      <c r="V23" s="13">
        <f>IF(ROWS($V$2:$V23)&lt;=MAX('Per Line'!$X$2:$X$501),MATCH(ROWS($V$2:$V23),'Per Line'!$X$2:$X$501,0),"")</f>
        <v/>
      </c>
    </row>
    <row r="24">
      <c r="A24" s="12" t="n"/>
      <c r="B24">
        <f>IF($V24="","",INDEX('Per Line'!$B$2:$B$501,$V24)&amp;"")</f>
        <v/>
      </c>
      <c r="C24" s="12" t="n"/>
      <c r="D24">
        <f>IF($V24="","",INDEX('Per Line'!$C$2:$C$501,$V24)&amp;"")</f>
        <v/>
      </c>
      <c r="E24">
        <f>IF($V24="","",INDEX('Per Line'!$D$2:$D$501,$V24)&amp;"")</f>
        <v/>
      </c>
      <c r="F24">
        <f>IF($V24="","",INDEX('Per Line'!$E$2:$E$501,$V24)&amp;"")</f>
        <v/>
      </c>
      <c r="G24">
        <f>IF($V24="","",INDEX('Per Line'!$F$2:$F$501,$V24))</f>
        <v/>
      </c>
      <c r="H24" s="7">
        <f>IF($V24="","",G24*T24/100)</f>
        <v/>
      </c>
      <c r="I24">
        <f>IF($V24="","",INDEX('Per Line'!$M$2:$M$501,$V24)&amp;"")</f>
        <v/>
      </c>
      <c r="J24">
        <f>IF($V24="","",INDEX('Per Line'!$O$2:$O$501,$V24)&amp;"")</f>
        <v/>
      </c>
      <c r="K24">
        <f>IF($V24="","",INDEX('Per Line'!$Q$2:$Q$501,$V24)&amp;"")</f>
        <v/>
      </c>
      <c r="L24">
        <f>IF($V24="","",Settings!$C$7)</f>
        <v/>
      </c>
      <c r="M24" s="7">
        <f>IF($V24="","",SUMIFS('Per Line'!$L$2:$L$501,'Per Line'!$B$2:$B$501,$B24,'Per Line'!$Y$2:$Y$501,0))</f>
        <v/>
      </c>
      <c r="N24" s="7">
        <f>IF($V24="","",M24*L24)</f>
        <v/>
      </c>
      <c r="O24">
        <f>IF($V24="","",Settings!$C$6)</f>
        <v/>
      </c>
      <c r="P24" s="7">
        <f>IF($V24="","",SUMIFS('Per Line'!$L$2:$L$501,'Per Line'!$B$2:$B$501,$B24,'Per Line'!$Y$2:$Y$501,1))</f>
        <v/>
      </c>
      <c r="Q24" s="7">
        <f>IF($V24="","",P24*O24)</f>
        <v/>
      </c>
      <c r="R24" s="7">
        <f>IF($V24="","",Q24+N24)</f>
        <v/>
      </c>
      <c r="S24" s="7">
        <f>IF($V24="","",T24-R24)</f>
        <v/>
      </c>
      <c r="T24" s="7">
        <f>IF($V24="","",M24+P24)</f>
        <v/>
      </c>
      <c r="U24" s="7">
        <f>IF($V24="","",T24-R24-H24)</f>
        <v/>
      </c>
      <c r="V24" s="13">
        <f>IF(ROWS($V$2:$V24)&lt;=MAX('Per Line'!$X$2:$X$501),MATCH(ROWS($V$2:$V24),'Per Line'!$X$2:$X$501,0),"")</f>
        <v/>
      </c>
    </row>
    <row r="25">
      <c r="A25" s="12" t="n"/>
      <c r="B25">
        <f>IF($V25="","",INDEX('Per Line'!$B$2:$B$501,$V25)&amp;"")</f>
        <v/>
      </c>
      <c r="C25" s="12" t="n"/>
      <c r="D25">
        <f>IF($V25="","",INDEX('Per Line'!$C$2:$C$501,$V25)&amp;"")</f>
        <v/>
      </c>
      <c r="E25">
        <f>IF($V25="","",INDEX('Per Line'!$D$2:$D$501,$V25)&amp;"")</f>
        <v/>
      </c>
      <c r="F25">
        <f>IF($V25="","",INDEX('Per Line'!$E$2:$E$501,$V25)&amp;"")</f>
        <v/>
      </c>
      <c r="G25">
        <f>IF($V25="","",INDEX('Per Line'!$F$2:$F$501,$V25))</f>
        <v/>
      </c>
      <c r="H25" s="7">
        <f>IF($V25="","",G25*T25/100)</f>
        <v/>
      </c>
      <c r="I25">
        <f>IF($V25="","",INDEX('Per Line'!$M$2:$M$501,$V25)&amp;"")</f>
        <v/>
      </c>
      <c r="J25">
        <f>IF($V25="","",INDEX('Per Line'!$O$2:$O$501,$V25)&amp;"")</f>
        <v/>
      </c>
      <c r="K25">
        <f>IF($V25="","",INDEX('Per Line'!$Q$2:$Q$501,$V25)&amp;"")</f>
        <v/>
      </c>
      <c r="L25">
        <f>IF($V25="","",Settings!$C$7)</f>
        <v/>
      </c>
      <c r="M25" s="7">
        <f>IF($V25="","",SUMIFS('Per Line'!$L$2:$L$501,'Per Line'!$B$2:$B$501,$B25,'Per Line'!$Y$2:$Y$501,0))</f>
        <v/>
      </c>
      <c r="N25" s="7">
        <f>IF($V25="","",M25*L25)</f>
        <v/>
      </c>
      <c r="O25">
        <f>IF($V25="","",Settings!$C$6)</f>
        <v/>
      </c>
      <c r="P25" s="7">
        <f>IF($V25="","",SUMIFS('Per Line'!$L$2:$L$501,'Per Line'!$B$2:$B$501,$B25,'Per Line'!$Y$2:$Y$501,1))</f>
        <v/>
      </c>
      <c r="Q25" s="7">
        <f>IF($V25="","",P25*O25)</f>
        <v/>
      </c>
      <c r="R25" s="7">
        <f>IF($V25="","",Q25+N25)</f>
        <v/>
      </c>
      <c r="S25" s="7">
        <f>IF($V25="","",T25-R25)</f>
        <v/>
      </c>
      <c r="T25" s="7">
        <f>IF($V25="","",M25+P25)</f>
        <v/>
      </c>
      <c r="U25" s="7">
        <f>IF($V25="","",T25-R25-H25)</f>
        <v/>
      </c>
      <c r="V25" s="13">
        <f>IF(ROWS($V$2:$V25)&lt;=MAX('Per Line'!$X$2:$X$501),MATCH(ROWS($V$2:$V25),'Per Line'!$X$2:$X$501,0),"")</f>
        <v/>
      </c>
    </row>
    <row r="26">
      <c r="A26" s="12" t="n"/>
      <c r="B26">
        <f>IF($V26="","",INDEX('Per Line'!$B$2:$B$501,$V26)&amp;"")</f>
        <v/>
      </c>
      <c r="C26" s="12" t="n"/>
      <c r="D26">
        <f>IF($V26="","",INDEX('Per Line'!$C$2:$C$501,$V26)&amp;"")</f>
        <v/>
      </c>
      <c r="E26">
        <f>IF($V26="","",INDEX('Per Line'!$D$2:$D$501,$V26)&amp;"")</f>
        <v/>
      </c>
      <c r="F26">
        <f>IF($V26="","",INDEX('Per Line'!$E$2:$E$501,$V26)&amp;"")</f>
        <v/>
      </c>
      <c r="G26">
        <f>IF($V26="","",INDEX('Per Line'!$F$2:$F$501,$V26))</f>
        <v/>
      </c>
      <c r="H26" s="7">
        <f>IF($V26="","",G26*T26/100)</f>
        <v/>
      </c>
      <c r="I26">
        <f>IF($V26="","",INDEX('Per Line'!$M$2:$M$501,$V26)&amp;"")</f>
        <v/>
      </c>
      <c r="J26">
        <f>IF($V26="","",INDEX('Per Line'!$O$2:$O$501,$V26)&amp;"")</f>
        <v/>
      </c>
      <c r="K26">
        <f>IF($V26="","",INDEX('Per Line'!$Q$2:$Q$501,$V26)&amp;"")</f>
        <v/>
      </c>
      <c r="L26">
        <f>IF($V26="","",Settings!$C$7)</f>
        <v/>
      </c>
      <c r="M26" s="7">
        <f>IF($V26="","",SUMIFS('Per Line'!$L$2:$L$501,'Per Line'!$B$2:$B$501,$B26,'Per Line'!$Y$2:$Y$501,0))</f>
        <v/>
      </c>
      <c r="N26" s="7">
        <f>IF($V26="","",M26*L26)</f>
        <v/>
      </c>
      <c r="O26">
        <f>IF($V26="","",Settings!$C$6)</f>
        <v/>
      </c>
      <c r="P26" s="7">
        <f>IF($V26="","",SUMIFS('Per Line'!$L$2:$L$501,'Per Line'!$B$2:$B$501,$B26,'Per Line'!$Y$2:$Y$501,1))</f>
        <v/>
      </c>
      <c r="Q26" s="7">
        <f>IF($V26="","",P26*O26)</f>
        <v/>
      </c>
      <c r="R26" s="7">
        <f>IF($V26="","",Q26+N26)</f>
        <v/>
      </c>
      <c r="S26" s="7">
        <f>IF($V26="","",T26-R26)</f>
        <v/>
      </c>
      <c r="T26" s="7">
        <f>IF($V26="","",M26+P26)</f>
        <v/>
      </c>
      <c r="U26" s="7">
        <f>IF($V26="","",T26-R26-H26)</f>
        <v/>
      </c>
      <c r="V26" s="13">
        <f>IF(ROWS($V$2:$V26)&lt;=MAX('Per Line'!$X$2:$X$501),MATCH(ROWS($V$2:$V26),'Per Line'!$X$2:$X$501,0),"")</f>
        <v/>
      </c>
    </row>
    <row r="27">
      <c r="A27" s="12" t="n"/>
      <c r="B27">
        <f>IF($V27="","",INDEX('Per Line'!$B$2:$B$501,$V27)&amp;"")</f>
        <v/>
      </c>
      <c r="C27" s="12" t="n"/>
      <c r="D27">
        <f>IF($V27="","",INDEX('Per Line'!$C$2:$C$501,$V27)&amp;"")</f>
        <v/>
      </c>
      <c r="E27">
        <f>IF($V27="","",INDEX('Per Line'!$D$2:$D$501,$V27)&amp;"")</f>
        <v/>
      </c>
      <c r="F27">
        <f>IF($V27="","",INDEX('Per Line'!$E$2:$E$501,$V27)&amp;"")</f>
        <v/>
      </c>
      <c r="G27">
        <f>IF($V27="","",INDEX('Per Line'!$F$2:$F$501,$V27))</f>
        <v/>
      </c>
      <c r="H27" s="7">
        <f>IF($V27="","",G27*T27/100)</f>
        <v/>
      </c>
      <c r="I27">
        <f>IF($V27="","",INDEX('Per Line'!$M$2:$M$501,$V27)&amp;"")</f>
        <v/>
      </c>
      <c r="J27">
        <f>IF($V27="","",INDEX('Per Line'!$O$2:$O$501,$V27)&amp;"")</f>
        <v/>
      </c>
      <c r="K27">
        <f>IF($V27="","",INDEX('Per Line'!$Q$2:$Q$501,$V27)&amp;"")</f>
        <v/>
      </c>
      <c r="L27">
        <f>IF($V27="","",Settings!$C$7)</f>
        <v/>
      </c>
      <c r="M27" s="7">
        <f>IF($V27="","",SUMIFS('Per Line'!$L$2:$L$501,'Per Line'!$B$2:$B$501,$B27,'Per Line'!$Y$2:$Y$501,0))</f>
        <v/>
      </c>
      <c r="N27" s="7">
        <f>IF($V27="","",M27*L27)</f>
        <v/>
      </c>
      <c r="O27">
        <f>IF($V27="","",Settings!$C$6)</f>
        <v/>
      </c>
      <c r="P27" s="7">
        <f>IF($V27="","",SUMIFS('Per Line'!$L$2:$L$501,'Per Line'!$B$2:$B$501,$B27,'Per Line'!$Y$2:$Y$501,1))</f>
        <v/>
      </c>
      <c r="Q27" s="7">
        <f>IF($V27="","",P27*O27)</f>
        <v/>
      </c>
      <c r="R27" s="7">
        <f>IF($V27="","",Q27+N27)</f>
        <v/>
      </c>
      <c r="S27" s="7">
        <f>IF($V27="","",T27-R27)</f>
        <v/>
      </c>
      <c r="T27" s="7">
        <f>IF($V27="","",M27+P27)</f>
        <v/>
      </c>
      <c r="U27" s="7">
        <f>IF($V27="","",T27-R27-H27)</f>
        <v/>
      </c>
      <c r="V27" s="13">
        <f>IF(ROWS($V$2:$V27)&lt;=MAX('Per Line'!$X$2:$X$501),MATCH(ROWS($V$2:$V27),'Per Line'!$X$2:$X$501,0),"")</f>
        <v/>
      </c>
    </row>
    <row r="28">
      <c r="A28" s="12" t="n"/>
      <c r="B28">
        <f>IF($V28="","",INDEX('Per Line'!$B$2:$B$501,$V28)&amp;"")</f>
        <v/>
      </c>
      <c r="C28" s="12" t="n"/>
      <c r="D28">
        <f>IF($V28="","",INDEX('Per Line'!$C$2:$C$501,$V28)&amp;"")</f>
        <v/>
      </c>
      <c r="E28">
        <f>IF($V28="","",INDEX('Per Line'!$D$2:$D$501,$V28)&amp;"")</f>
        <v/>
      </c>
      <c r="F28">
        <f>IF($V28="","",INDEX('Per Line'!$E$2:$E$501,$V28)&amp;"")</f>
        <v/>
      </c>
      <c r="G28">
        <f>IF($V28="","",INDEX('Per Line'!$F$2:$F$501,$V28))</f>
        <v/>
      </c>
      <c r="H28" s="7">
        <f>IF($V28="","",G28*T28/100)</f>
        <v/>
      </c>
      <c r="I28">
        <f>IF($V28="","",INDEX('Per Line'!$M$2:$M$501,$V28)&amp;"")</f>
        <v/>
      </c>
      <c r="J28">
        <f>IF($V28="","",INDEX('Per Line'!$O$2:$O$501,$V28)&amp;"")</f>
        <v/>
      </c>
      <c r="K28">
        <f>IF($V28="","",INDEX('Per Line'!$Q$2:$Q$501,$V28)&amp;"")</f>
        <v/>
      </c>
      <c r="L28">
        <f>IF($V28="","",Settings!$C$7)</f>
        <v/>
      </c>
      <c r="M28" s="7">
        <f>IF($V28="","",SUMIFS('Per Line'!$L$2:$L$501,'Per Line'!$B$2:$B$501,$B28,'Per Line'!$Y$2:$Y$501,0))</f>
        <v/>
      </c>
      <c r="N28" s="7">
        <f>IF($V28="","",M28*L28)</f>
        <v/>
      </c>
      <c r="O28">
        <f>IF($V28="","",Settings!$C$6)</f>
        <v/>
      </c>
      <c r="P28" s="7">
        <f>IF($V28="","",SUMIFS('Per Line'!$L$2:$L$501,'Per Line'!$B$2:$B$501,$B28,'Per Line'!$Y$2:$Y$501,1))</f>
        <v/>
      </c>
      <c r="Q28" s="7">
        <f>IF($V28="","",P28*O28)</f>
        <v/>
      </c>
      <c r="R28" s="7">
        <f>IF($V28="","",Q28+N28)</f>
        <v/>
      </c>
      <c r="S28" s="7">
        <f>IF($V28="","",T28-R28)</f>
        <v/>
      </c>
      <c r="T28" s="7">
        <f>IF($V28="","",M28+P28)</f>
        <v/>
      </c>
      <c r="U28" s="7">
        <f>IF($V28="","",T28-R28-H28)</f>
        <v/>
      </c>
      <c r="V28" s="13">
        <f>IF(ROWS($V$2:$V28)&lt;=MAX('Per Line'!$X$2:$X$501),MATCH(ROWS($V$2:$V28),'Per Line'!$X$2:$X$501,0),"")</f>
        <v/>
      </c>
    </row>
    <row r="29">
      <c r="A29" s="12" t="n"/>
      <c r="B29">
        <f>IF($V29="","",INDEX('Per Line'!$B$2:$B$501,$V29)&amp;"")</f>
        <v/>
      </c>
      <c r="C29" s="12" t="n"/>
      <c r="D29">
        <f>IF($V29="","",INDEX('Per Line'!$C$2:$C$501,$V29)&amp;"")</f>
        <v/>
      </c>
      <c r="E29">
        <f>IF($V29="","",INDEX('Per Line'!$D$2:$D$501,$V29)&amp;"")</f>
        <v/>
      </c>
      <c r="F29">
        <f>IF($V29="","",INDEX('Per Line'!$E$2:$E$501,$V29)&amp;"")</f>
        <v/>
      </c>
      <c r="G29">
        <f>IF($V29="","",INDEX('Per Line'!$F$2:$F$501,$V29))</f>
        <v/>
      </c>
      <c r="H29" s="7">
        <f>IF($V29="","",G29*T29/100)</f>
        <v/>
      </c>
      <c r="I29">
        <f>IF($V29="","",INDEX('Per Line'!$M$2:$M$501,$V29)&amp;"")</f>
        <v/>
      </c>
      <c r="J29">
        <f>IF($V29="","",INDEX('Per Line'!$O$2:$O$501,$V29)&amp;"")</f>
        <v/>
      </c>
      <c r="K29">
        <f>IF($V29="","",INDEX('Per Line'!$Q$2:$Q$501,$V29)&amp;"")</f>
        <v/>
      </c>
      <c r="L29">
        <f>IF($V29="","",Settings!$C$7)</f>
        <v/>
      </c>
      <c r="M29" s="7">
        <f>IF($V29="","",SUMIFS('Per Line'!$L$2:$L$501,'Per Line'!$B$2:$B$501,$B29,'Per Line'!$Y$2:$Y$501,0))</f>
        <v/>
      </c>
      <c r="N29" s="7">
        <f>IF($V29="","",M29*L29)</f>
        <v/>
      </c>
      <c r="O29">
        <f>IF($V29="","",Settings!$C$6)</f>
        <v/>
      </c>
      <c r="P29" s="7">
        <f>IF($V29="","",SUMIFS('Per Line'!$L$2:$L$501,'Per Line'!$B$2:$B$501,$B29,'Per Line'!$Y$2:$Y$501,1))</f>
        <v/>
      </c>
      <c r="Q29" s="7">
        <f>IF($V29="","",P29*O29)</f>
        <v/>
      </c>
      <c r="R29" s="7">
        <f>IF($V29="","",Q29+N29)</f>
        <v/>
      </c>
      <c r="S29" s="7">
        <f>IF($V29="","",T29-R29)</f>
        <v/>
      </c>
      <c r="T29" s="7">
        <f>IF($V29="","",M29+P29)</f>
        <v/>
      </c>
      <c r="U29" s="7">
        <f>IF($V29="","",T29-R29-H29)</f>
        <v/>
      </c>
      <c r="V29" s="13">
        <f>IF(ROWS($V$2:$V29)&lt;=MAX('Per Line'!$X$2:$X$501),MATCH(ROWS($V$2:$V29),'Per Line'!$X$2:$X$501,0),"")</f>
        <v/>
      </c>
    </row>
    <row r="30">
      <c r="A30" s="12" t="n"/>
      <c r="B30">
        <f>IF($V30="","",INDEX('Per Line'!$B$2:$B$501,$V30)&amp;"")</f>
        <v/>
      </c>
      <c r="C30" s="12" t="n"/>
      <c r="D30">
        <f>IF($V30="","",INDEX('Per Line'!$C$2:$C$501,$V30)&amp;"")</f>
        <v/>
      </c>
      <c r="E30">
        <f>IF($V30="","",INDEX('Per Line'!$D$2:$D$501,$V30)&amp;"")</f>
        <v/>
      </c>
      <c r="F30">
        <f>IF($V30="","",INDEX('Per Line'!$E$2:$E$501,$V30)&amp;"")</f>
        <v/>
      </c>
      <c r="G30">
        <f>IF($V30="","",INDEX('Per Line'!$F$2:$F$501,$V30))</f>
        <v/>
      </c>
      <c r="H30" s="7">
        <f>IF($V30="","",G30*T30/100)</f>
        <v/>
      </c>
      <c r="I30">
        <f>IF($V30="","",INDEX('Per Line'!$M$2:$M$501,$V30)&amp;"")</f>
        <v/>
      </c>
      <c r="J30">
        <f>IF($V30="","",INDEX('Per Line'!$O$2:$O$501,$V30)&amp;"")</f>
        <v/>
      </c>
      <c r="K30">
        <f>IF($V30="","",INDEX('Per Line'!$Q$2:$Q$501,$V30)&amp;"")</f>
        <v/>
      </c>
      <c r="L30">
        <f>IF($V30="","",Settings!$C$7)</f>
        <v/>
      </c>
      <c r="M30" s="7">
        <f>IF($V30="","",SUMIFS('Per Line'!$L$2:$L$501,'Per Line'!$B$2:$B$501,$B30,'Per Line'!$Y$2:$Y$501,0))</f>
        <v/>
      </c>
      <c r="N30" s="7">
        <f>IF($V30="","",M30*L30)</f>
        <v/>
      </c>
      <c r="O30">
        <f>IF($V30="","",Settings!$C$6)</f>
        <v/>
      </c>
      <c r="P30" s="7">
        <f>IF($V30="","",SUMIFS('Per Line'!$L$2:$L$501,'Per Line'!$B$2:$B$501,$B30,'Per Line'!$Y$2:$Y$501,1))</f>
        <v/>
      </c>
      <c r="Q30" s="7">
        <f>IF($V30="","",P30*O30)</f>
        <v/>
      </c>
      <c r="R30" s="7">
        <f>IF($V30="","",Q30+N30)</f>
        <v/>
      </c>
      <c r="S30" s="7">
        <f>IF($V30="","",T30-R30)</f>
        <v/>
      </c>
      <c r="T30" s="7">
        <f>IF($V30="","",M30+P30)</f>
        <v/>
      </c>
      <c r="U30" s="7">
        <f>IF($V30="","",T30-R30-H30)</f>
        <v/>
      </c>
      <c r="V30" s="13">
        <f>IF(ROWS($V$2:$V30)&lt;=MAX('Per Line'!$X$2:$X$501),MATCH(ROWS($V$2:$V30),'Per Line'!$X$2:$X$501,0),"")</f>
        <v/>
      </c>
    </row>
    <row r="31">
      <c r="A31" s="12" t="n"/>
      <c r="B31">
        <f>IF($V31="","",INDEX('Per Line'!$B$2:$B$501,$V31)&amp;"")</f>
        <v/>
      </c>
      <c r="C31" s="12" t="n"/>
      <c r="D31">
        <f>IF($V31="","",INDEX('Per Line'!$C$2:$C$501,$V31)&amp;"")</f>
        <v/>
      </c>
      <c r="E31">
        <f>IF($V31="","",INDEX('Per Line'!$D$2:$D$501,$V31)&amp;"")</f>
        <v/>
      </c>
      <c r="F31">
        <f>IF($V31="","",INDEX('Per Line'!$E$2:$E$501,$V31)&amp;"")</f>
        <v/>
      </c>
      <c r="G31">
        <f>IF($V31="","",INDEX('Per Line'!$F$2:$F$501,$V31))</f>
        <v/>
      </c>
      <c r="H31" s="7">
        <f>IF($V31="","",G31*T31/100)</f>
        <v/>
      </c>
      <c r="I31">
        <f>IF($V31="","",INDEX('Per Line'!$M$2:$M$501,$V31)&amp;"")</f>
        <v/>
      </c>
      <c r="J31">
        <f>IF($V31="","",INDEX('Per Line'!$O$2:$O$501,$V31)&amp;"")</f>
        <v/>
      </c>
      <c r="K31">
        <f>IF($V31="","",INDEX('Per Line'!$Q$2:$Q$501,$V31)&amp;"")</f>
        <v/>
      </c>
      <c r="L31">
        <f>IF($V31="","",Settings!$C$7)</f>
        <v/>
      </c>
      <c r="M31" s="7">
        <f>IF($V31="","",SUMIFS('Per Line'!$L$2:$L$501,'Per Line'!$B$2:$B$501,$B31,'Per Line'!$Y$2:$Y$501,0))</f>
        <v/>
      </c>
      <c r="N31" s="7">
        <f>IF($V31="","",M31*L31)</f>
        <v/>
      </c>
      <c r="O31">
        <f>IF($V31="","",Settings!$C$6)</f>
        <v/>
      </c>
      <c r="P31" s="7">
        <f>IF($V31="","",SUMIFS('Per Line'!$L$2:$L$501,'Per Line'!$B$2:$B$501,$B31,'Per Line'!$Y$2:$Y$501,1))</f>
        <v/>
      </c>
      <c r="Q31" s="7">
        <f>IF($V31="","",P31*O31)</f>
        <v/>
      </c>
      <c r="R31" s="7">
        <f>IF($V31="","",Q31+N31)</f>
        <v/>
      </c>
      <c r="S31" s="7">
        <f>IF($V31="","",T31-R31)</f>
        <v/>
      </c>
      <c r="T31" s="7">
        <f>IF($V31="","",M31+P31)</f>
        <v/>
      </c>
      <c r="U31" s="7">
        <f>IF($V31="","",T31-R31-H31)</f>
        <v/>
      </c>
      <c r="V31" s="13">
        <f>IF(ROWS($V$2:$V31)&lt;=MAX('Per Line'!$X$2:$X$501),MATCH(ROWS($V$2:$V31),'Per Line'!$X$2:$X$501,0),"")</f>
        <v/>
      </c>
    </row>
    <row r="32">
      <c r="A32" s="12" t="n"/>
      <c r="B32">
        <f>IF($V32="","",INDEX('Per Line'!$B$2:$B$501,$V32)&amp;"")</f>
        <v/>
      </c>
      <c r="C32" s="12" t="n"/>
      <c r="D32">
        <f>IF($V32="","",INDEX('Per Line'!$C$2:$C$501,$V32)&amp;"")</f>
        <v/>
      </c>
      <c r="E32">
        <f>IF($V32="","",INDEX('Per Line'!$D$2:$D$501,$V32)&amp;"")</f>
        <v/>
      </c>
      <c r="F32">
        <f>IF($V32="","",INDEX('Per Line'!$E$2:$E$501,$V32)&amp;"")</f>
        <v/>
      </c>
      <c r="G32">
        <f>IF($V32="","",INDEX('Per Line'!$F$2:$F$501,$V32))</f>
        <v/>
      </c>
      <c r="H32" s="7">
        <f>IF($V32="","",G32*T32/100)</f>
        <v/>
      </c>
      <c r="I32">
        <f>IF($V32="","",INDEX('Per Line'!$M$2:$M$501,$V32)&amp;"")</f>
        <v/>
      </c>
      <c r="J32">
        <f>IF($V32="","",INDEX('Per Line'!$O$2:$O$501,$V32)&amp;"")</f>
        <v/>
      </c>
      <c r="K32">
        <f>IF($V32="","",INDEX('Per Line'!$Q$2:$Q$501,$V32)&amp;"")</f>
        <v/>
      </c>
      <c r="L32">
        <f>IF($V32="","",Settings!$C$7)</f>
        <v/>
      </c>
      <c r="M32" s="7">
        <f>IF($V32="","",SUMIFS('Per Line'!$L$2:$L$501,'Per Line'!$B$2:$B$501,$B32,'Per Line'!$Y$2:$Y$501,0))</f>
        <v/>
      </c>
      <c r="N32" s="7">
        <f>IF($V32="","",M32*L32)</f>
        <v/>
      </c>
      <c r="O32">
        <f>IF($V32="","",Settings!$C$6)</f>
        <v/>
      </c>
      <c r="P32" s="7">
        <f>IF($V32="","",SUMIFS('Per Line'!$L$2:$L$501,'Per Line'!$B$2:$B$501,$B32,'Per Line'!$Y$2:$Y$501,1))</f>
        <v/>
      </c>
      <c r="Q32" s="7">
        <f>IF($V32="","",P32*O32)</f>
        <v/>
      </c>
      <c r="R32" s="7">
        <f>IF($V32="","",Q32+N32)</f>
        <v/>
      </c>
      <c r="S32" s="7">
        <f>IF($V32="","",T32-R32)</f>
        <v/>
      </c>
      <c r="T32" s="7">
        <f>IF($V32="","",M32+P32)</f>
        <v/>
      </c>
      <c r="U32" s="7">
        <f>IF($V32="","",T32-R32-H32)</f>
        <v/>
      </c>
      <c r="V32" s="13">
        <f>IF(ROWS($V$2:$V32)&lt;=MAX('Per Line'!$X$2:$X$501),MATCH(ROWS($V$2:$V32),'Per Line'!$X$2:$X$501,0),"")</f>
        <v/>
      </c>
    </row>
    <row r="33">
      <c r="A33" s="12" t="n"/>
      <c r="B33">
        <f>IF($V33="","",INDEX('Per Line'!$B$2:$B$501,$V33)&amp;"")</f>
        <v/>
      </c>
      <c r="C33" s="12" t="n"/>
      <c r="D33">
        <f>IF($V33="","",INDEX('Per Line'!$C$2:$C$501,$V33)&amp;"")</f>
        <v/>
      </c>
      <c r="E33">
        <f>IF($V33="","",INDEX('Per Line'!$D$2:$D$501,$V33)&amp;"")</f>
        <v/>
      </c>
      <c r="F33">
        <f>IF($V33="","",INDEX('Per Line'!$E$2:$E$501,$V33)&amp;"")</f>
        <v/>
      </c>
      <c r="G33">
        <f>IF($V33="","",INDEX('Per Line'!$F$2:$F$501,$V33))</f>
        <v/>
      </c>
      <c r="H33" s="7">
        <f>IF($V33="","",G33*T33/100)</f>
        <v/>
      </c>
      <c r="I33">
        <f>IF($V33="","",INDEX('Per Line'!$M$2:$M$501,$V33)&amp;"")</f>
        <v/>
      </c>
      <c r="J33">
        <f>IF($V33="","",INDEX('Per Line'!$O$2:$O$501,$V33)&amp;"")</f>
        <v/>
      </c>
      <c r="K33">
        <f>IF($V33="","",INDEX('Per Line'!$Q$2:$Q$501,$V33)&amp;"")</f>
        <v/>
      </c>
      <c r="L33">
        <f>IF($V33="","",Settings!$C$7)</f>
        <v/>
      </c>
      <c r="M33" s="7">
        <f>IF($V33="","",SUMIFS('Per Line'!$L$2:$L$501,'Per Line'!$B$2:$B$501,$B33,'Per Line'!$Y$2:$Y$501,0))</f>
        <v/>
      </c>
      <c r="N33" s="7">
        <f>IF($V33="","",M33*L33)</f>
        <v/>
      </c>
      <c r="O33">
        <f>IF($V33="","",Settings!$C$6)</f>
        <v/>
      </c>
      <c r="P33" s="7">
        <f>IF($V33="","",SUMIFS('Per Line'!$L$2:$L$501,'Per Line'!$B$2:$B$501,$B33,'Per Line'!$Y$2:$Y$501,1))</f>
        <v/>
      </c>
      <c r="Q33" s="7">
        <f>IF($V33="","",P33*O33)</f>
        <v/>
      </c>
      <c r="R33" s="7">
        <f>IF($V33="","",Q33+N33)</f>
        <v/>
      </c>
      <c r="S33" s="7">
        <f>IF($V33="","",T33-R33)</f>
        <v/>
      </c>
      <c r="T33" s="7">
        <f>IF($V33="","",M33+P33)</f>
        <v/>
      </c>
      <c r="U33" s="7">
        <f>IF($V33="","",T33-R33-H33)</f>
        <v/>
      </c>
      <c r="V33" s="13">
        <f>IF(ROWS($V$2:$V33)&lt;=MAX('Per Line'!$X$2:$X$501),MATCH(ROWS($V$2:$V33),'Per Line'!$X$2:$X$501,0),"")</f>
        <v/>
      </c>
    </row>
    <row r="34">
      <c r="A34" s="12" t="n"/>
      <c r="B34">
        <f>IF($V34="","",INDEX('Per Line'!$B$2:$B$501,$V34)&amp;"")</f>
        <v/>
      </c>
      <c r="C34" s="12" t="n"/>
      <c r="D34">
        <f>IF($V34="","",INDEX('Per Line'!$C$2:$C$501,$V34)&amp;"")</f>
        <v/>
      </c>
      <c r="E34">
        <f>IF($V34="","",INDEX('Per Line'!$D$2:$D$501,$V34)&amp;"")</f>
        <v/>
      </c>
      <c r="F34">
        <f>IF($V34="","",INDEX('Per Line'!$E$2:$E$501,$V34)&amp;"")</f>
        <v/>
      </c>
      <c r="G34">
        <f>IF($V34="","",INDEX('Per Line'!$F$2:$F$501,$V34))</f>
        <v/>
      </c>
      <c r="H34" s="7">
        <f>IF($V34="","",G34*T34/100)</f>
        <v/>
      </c>
      <c r="I34">
        <f>IF($V34="","",INDEX('Per Line'!$M$2:$M$501,$V34)&amp;"")</f>
        <v/>
      </c>
      <c r="J34">
        <f>IF($V34="","",INDEX('Per Line'!$O$2:$O$501,$V34)&amp;"")</f>
        <v/>
      </c>
      <c r="K34">
        <f>IF($V34="","",INDEX('Per Line'!$Q$2:$Q$501,$V34)&amp;"")</f>
        <v/>
      </c>
      <c r="L34">
        <f>IF($V34="","",Settings!$C$7)</f>
        <v/>
      </c>
      <c r="M34" s="7">
        <f>IF($V34="","",SUMIFS('Per Line'!$L$2:$L$501,'Per Line'!$B$2:$B$501,$B34,'Per Line'!$Y$2:$Y$501,0))</f>
        <v/>
      </c>
      <c r="N34" s="7">
        <f>IF($V34="","",M34*L34)</f>
        <v/>
      </c>
      <c r="O34">
        <f>IF($V34="","",Settings!$C$6)</f>
        <v/>
      </c>
      <c r="P34" s="7">
        <f>IF($V34="","",SUMIFS('Per Line'!$L$2:$L$501,'Per Line'!$B$2:$B$501,$B34,'Per Line'!$Y$2:$Y$501,1))</f>
        <v/>
      </c>
      <c r="Q34" s="7">
        <f>IF($V34="","",P34*O34)</f>
        <v/>
      </c>
      <c r="R34" s="7">
        <f>IF($V34="","",Q34+N34)</f>
        <v/>
      </c>
      <c r="S34" s="7">
        <f>IF($V34="","",T34-R34)</f>
        <v/>
      </c>
      <c r="T34" s="7">
        <f>IF($V34="","",M34+P34)</f>
        <v/>
      </c>
      <c r="U34" s="7">
        <f>IF($V34="","",T34-R34-H34)</f>
        <v/>
      </c>
      <c r="V34" s="13">
        <f>IF(ROWS($V$2:$V34)&lt;=MAX('Per Line'!$X$2:$X$501),MATCH(ROWS($V$2:$V34),'Per Line'!$X$2:$X$501,0),"")</f>
        <v/>
      </c>
    </row>
    <row r="35">
      <c r="A35" s="12" t="n"/>
      <c r="B35">
        <f>IF($V35="","",INDEX('Per Line'!$B$2:$B$501,$V35)&amp;"")</f>
        <v/>
      </c>
      <c r="C35" s="12" t="n"/>
      <c r="D35">
        <f>IF($V35="","",INDEX('Per Line'!$C$2:$C$501,$V35)&amp;"")</f>
        <v/>
      </c>
      <c r="E35">
        <f>IF($V35="","",INDEX('Per Line'!$D$2:$D$501,$V35)&amp;"")</f>
        <v/>
      </c>
      <c r="F35">
        <f>IF($V35="","",INDEX('Per Line'!$E$2:$E$501,$V35)&amp;"")</f>
        <v/>
      </c>
      <c r="G35">
        <f>IF($V35="","",INDEX('Per Line'!$F$2:$F$501,$V35))</f>
        <v/>
      </c>
      <c r="H35" s="7">
        <f>IF($V35="","",G35*T35/100)</f>
        <v/>
      </c>
      <c r="I35">
        <f>IF($V35="","",INDEX('Per Line'!$M$2:$M$501,$V35)&amp;"")</f>
        <v/>
      </c>
      <c r="J35">
        <f>IF($V35="","",INDEX('Per Line'!$O$2:$O$501,$V35)&amp;"")</f>
        <v/>
      </c>
      <c r="K35">
        <f>IF($V35="","",INDEX('Per Line'!$Q$2:$Q$501,$V35)&amp;"")</f>
        <v/>
      </c>
      <c r="L35">
        <f>IF($V35="","",Settings!$C$7)</f>
        <v/>
      </c>
      <c r="M35" s="7">
        <f>IF($V35="","",SUMIFS('Per Line'!$L$2:$L$501,'Per Line'!$B$2:$B$501,$B35,'Per Line'!$Y$2:$Y$501,0))</f>
        <v/>
      </c>
      <c r="N35" s="7">
        <f>IF($V35="","",M35*L35)</f>
        <v/>
      </c>
      <c r="O35">
        <f>IF($V35="","",Settings!$C$6)</f>
        <v/>
      </c>
      <c r="P35" s="7">
        <f>IF($V35="","",SUMIFS('Per Line'!$L$2:$L$501,'Per Line'!$B$2:$B$501,$B35,'Per Line'!$Y$2:$Y$501,1))</f>
        <v/>
      </c>
      <c r="Q35" s="7">
        <f>IF($V35="","",P35*O35)</f>
        <v/>
      </c>
      <c r="R35" s="7">
        <f>IF($V35="","",Q35+N35)</f>
        <v/>
      </c>
      <c r="S35" s="7">
        <f>IF($V35="","",T35-R35)</f>
        <v/>
      </c>
      <c r="T35" s="7">
        <f>IF($V35="","",M35+P35)</f>
        <v/>
      </c>
      <c r="U35" s="7">
        <f>IF($V35="","",T35-R35-H35)</f>
        <v/>
      </c>
      <c r="V35" s="13">
        <f>IF(ROWS($V$2:$V35)&lt;=MAX('Per Line'!$X$2:$X$501),MATCH(ROWS($V$2:$V35),'Per Line'!$X$2:$X$501,0),"")</f>
        <v/>
      </c>
    </row>
    <row r="36">
      <c r="A36" s="12" t="n"/>
      <c r="B36">
        <f>IF($V36="","",INDEX('Per Line'!$B$2:$B$501,$V36)&amp;"")</f>
        <v/>
      </c>
      <c r="C36" s="12" t="n"/>
      <c r="D36">
        <f>IF($V36="","",INDEX('Per Line'!$C$2:$C$501,$V36)&amp;"")</f>
        <v/>
      </c>
      <c r="E36">
        <f>IF($V36="","",INDEX('Per Line'!$D$2:$D$501,$V36)&amp;"")</f>
        <v/>
      </c>
      <c r="F36">
        <f>IF($V36="","",INDEX('Per Line'!$E$2:$E$501,$V36)&amp;"")</f>
        <v/>
      </c>
      <c r="G36">
        <f>IF($V36="","",INDEX('Per Line'!$F$2:$F$501,$V36))</f>
        <v/>
      </c>
      <c r="H36" s="7">
        <f>IF($V36="","",G36*T36/100)</f>
        <v/>
      </c>
      <c r="I36">
        <f>IF($V36="","",INDEX('Per Line'!$M$2:$M$501,$V36)&amp;"")</f>
        <v/>
      </c>
      <c r="J36">
        <f>IF($V36="","",INDEX('Per Line'!$O$2:$O$501,$V36)&amp;"")</f>
        <v/>
      </c>
      <c r="K36">
        <f>IF($V36="","",INDEX('Per Line'!$Q$2:$Q$501,$V36)&amp;"")</f>
        <v/>
      </c>
      <c r="L36">
        <f>IF($V36="","",Settings!$C$7)</f>
        <v/>
      </c>
      <c r="M36" s="7">
        <f>IF($V36="","",SUMIFS('Per Line'!$L$2:$L$501,'Per Line'!$B$2:$B$501,$B36,'Per Line'!$Y$2:$Y$501,0))</f>
        <v/>
      </c>
      <c r="N36" s="7">
        <f>IF($V36="","",M36*L36)</f>
        <v/>
      </c>
      <c r="O36">
        <f>IF($V36="","",Settings!$C$6)</f>
        <v/>
      </c>
      <c r="P36" s="7">
        <f>IF($V36="","",SUMIFS('Per Line'!$L$2:$L$501,'Per Line'!$B$2:$B$501,$B36,'Per Line'!$Y$2:$Y$501,1))</f>
        <v/>
      </c>
      <c r="Q36" s="7">
        <f>IF($V36="","",P36*O36)</f>
        <v/>
      </c>
      <c r="R36" s="7">
        <f>IF($V36="","",Q36+N36)</f>
        <v/>
      </c>
      <c r="S36" s="7">
        <f>IF($V36="","",T36-R36)</f>
        <v/>
      </c>
      <c r="T36" s="7">
        <f>IF($V36="","",M36+P36)</f>
        <v/>
      </c>
      <c r="U36" s="7">
        <f>IF($V36="","",T36-R36-H36)</f>
        <v/>
      </c>
      <c r="V36" s="13">
        <f>IF(ROWS($V$2:$V36)&lt;=MAX('Per Line'!$X$2:$X$501),MATCH(ROWS($V$2:$V36),'Per Line'!$X$2:$X$501,0),"")</f>
        <v/>
      </c>
    </row>
    <row r="37">
      <c r="A37" s="12" t="n"/>
      <c r="B37">
        <f>IF($V37="","",INDEX('Per Line'!$B$2:$B$501,$V37)&amp;"")</f>
        <v/>
      </c>
      <c r="C37" s="12" t="n"/>
      <c r="D37">
        <f>IF($V37="","",INDEX('Per Line'!$C$2:$C$501,$V37)&amp;"")</f>
        <v/>
      </c>
      <c r="E37">
        <f>IF($V37="","",INDEX('Per Line'!$D$2:$D$501,$V37)&amp;"")</f>
        <v/>
      </c>
      <c r="F37">
        <f>IF($V37="","",INDEX('Per Line'!$E$2:$E$501,$V37)&amp;"")</f>
        <v/>
      </c>
      <c r="G37">
        <f>IF($V37="","",INDEX('Per Line'!$F$2:$F$501,$V37))</f>
        <v/>
      </c>
      <c r="H37" s="7">
        <f>IF($V37="","",G37*T37/100)</f>
        <v/>
      </c>
      <c r="I37">
        <f>IF($V37="","",INDEX('Per Line'!$M$2:$M$501,$V37)&amp;"")</f>
        <v/>
      </c>
      <c r="J37">
        <f>IF($V37="","",INDEX('Per Line'!$O$2:$O$501,$V37)&amp;"")</f>
        <v/>
      </c>
      <c r="K37">
        <f>IF($V37="","",INDEX('Per Line'!$Q$2:$Q$501,$V37)&amp;"")</f>
        <v/>
      </c>
      <c r="L37">
        <f>IF($V37="","",Settings!$C$7)</f>
        <v/>
      </c>
      <c r="M37" s="7">
        <f>IF($V37="","",SUMIFS('Per Line'!$L$2:$L$501,'Per Line'!$B$2:$B$501,$B37,'Per Line'!$Y$2:$Y$501,0))</f>
        <v/>
      </c>
      <c r="N37" s="7">
        <f>IF($V37="","",M37*L37)</f>
        <v/>
      </c>
      <c r="O37">
        <f>IF($V37="","",Settings!$C$6)</f>
        <v/>
      </c>
      <c r="P37" s="7">
        <f>IF($V37="","",SUMIFS('Per Line'!$L$2:$L$501,'Per Line'!$B$2:$B$501,$B37,'Per Line'!$Y$2:$Y$501,1))</f>
        <v/>
      </c>
      <c r="Q37" s="7">
        <f>IF($V37="","",P37*O37)</f>
        <v/>
      </c>
      <c r="R37" s="7">
        <f>IF($V37="","",Q37+N37)</f>
        <v/>
      </c>
      <c r="S37" s="7">
        <f>IF($V37="","",T37-R37)</f>
        <v/>
      </c>
      <c r="T37" s="7">
        <f>IF($V37="","",M37+P37)</f>
        <v/>
      </c>
      <c r="U37" s="7">
        <f>IF($V37="","",T37-R37-H37)</f>
        <v/>
      </c>
      <c r="V37" s="13">
        <f>IF(ROWS($V$2:$V37)&lt;=MAX('Per Line'!$X$2:$X$501),MATCH(ROWS($V$2:$V37),'Per Line'!$X$2:$X$501,0),"")</f>
        <v/>
      </c>
    </row>
    <row r="38">
      <c r="A38" s="12" t="n"/>
      <c r="B38">
        <f>IF($V38="","",INDEX('Per Line'!$B$2:$B$501,$V38)&amp;"")</f>
        <v/>
      </c>
      <c r="C38" s="12" t="n"/>
      <c r="D38">
        <f>IF($V38="","",INDEX('Per Line'!$C$2:$C$501,$V38)&amp;"")</f>
        <v/>
      </c>
      <c r="E38">
        <f>IF($V38="","",INDEX('Per Line'!$D$2:$D$501,$V38)&amp;"")</f>
        <v/>
      </c>
      <c r="F38">
        <f>IF($V38="","",INDEX('Per Line'!$E$2:$E$501,$V38)&amp;"")</f>
        <v/>
      </c>
      <c r="G38">
        <f>IF($V38="","",INDEX('Per Line'!$F$2:$F$501,$V38))</f>
        <v/>
      </c>
      <c r="H38" s="7">
        <f>IF($V38="","",G38*T38/100)</f>
        <v/>
      </c>
      <c r="I38">
        <f>IF($V38="","",INDEX('Per Line'!$M$2:$M$501,$V38)&amp;"")</f>
        <v/>
      </c>
      <c r="J38">
        <f>IF($V38="","",INDEX('Per Line'!$O$2:$O$501,$V38)&amp;"")</f>
        <v/>
      </c>
      <c r="K38">
        <f>IF($V38="","",INDEX('Per Line'!$Q$2:$Q$501,$V38)&amp;"")</f>
        <v/>
      </c>
      <c r="L38">
        <f>IF($V38="","",Settings!$C$7)</f>
        <v/>
      </c>
      <c r="M38" s="7">
        <f>IF($V38="","",SUMIFS('Per Line'!$L$2:$L$501,'Per Line'!$B$2:$B$501,$B38,'Per Line'!$Y$2:$Y$501,0))</f>
        <v/>
      </c>
      <c r="N38" s="7">
        <f>IF($V38="","",M38*L38)</f>
        <v/>
      </c>
      <c r="O38">
        <f>IF($V38="","",Settings!$C$6)</f>
        <v/>
      </c>
      <c r="P38" s="7">
        <f>IF($V38="","",SUMIFS('Per Line'!$L$2:$L$501,'Per Line'!$B$2:$B$501,$B38,'Per Line'!$Y$2:$Y$501,1))</f>
        <v/>
      </c>
      <c r="Q38" s="7">
        <f>IF($V38="","",P38*O38)</f>
        <v/>
      </c>
      <c r="R38" s="7">
        <f>IF($V38="","",Q38+N38)</f>
        <v/>
      </c>
      <c r="S38" s="7">
        <f>IF($V38="","",T38-R38)</f>
        <v/>
      </c>
      <c r="T38" s="7">
        <f>IF($V38="","",M38+P38)</f>
        <v/>
      </c>
      <c r="U38" s="7">
        <f>IF($V38="","",T38-R38-H38)</f>
        <v/>
      </c>
      <c r="V38" s="13">
        <f>IF(ROWS($V$2:$V38)&lt;=MAX('Per Line'!$X$2:$X$501),MATCH(ROWS($V$2:$V38),'Per Line'!$X$2:$X$501,0),"")</f>
        <v/>
      </c>
    </row>
    <row r="39">
      <c r="A39" s="12" t="n"/>
      <c r="B39">
        <f>IF($V39="","",INDEX('Per Line'!$B$2:$B$501,$V39)&amp;"")</f>
        <v/>
      </c>
      <c r="C39" s="12" t="n"/>
      <c r="D39">
        <f>IF($V39="","",INDEX('Per Line'!$C$2:$C$501,$V39)&amp;"")</f>
        <v/>
      </c>
      <c r="E39">
        <f>IF($V39="","",INDEX('Per Line'!$D$2:$D$501,$V39)&amp;"")</f>
        <v/>
      </c>
      <c r="F39">
        <f>IF($V39="","",INDEX('Per Line'!$E$2:$E$501,$V39)&amp;"")</f>
        <v/>
      </c>
      <c r="G39">
        <f>IF($V39="","",INDEX('Per Line'!$F$2:$F$501,$V39))</f>
        <v/>
      </c>
      <c r="H39" s="7">
        <f>IF($V39="","",G39*T39/100)</f>
        <v/>
      </c>
      <c r="I39">
        <f>IF($V39="","",INDEX('Per Line'!$M$2:$M$501,$V39)&amp;"")</f>
        <v/>
      </c>
      <c r="J39">
        <f>IF($V39="","",INDEX('Per Line'!$O$2:$O$501,$V39)&amp;"")</f>
        <v/>
      </c>
      <c r="K39">
        <f>IF($V39="","",INDEX('Per Line'!$Q$2:$Q$501,$V39)&amp;"")</f>
        <v/>
      </c>
      <c r="L39">
        <f>IF($V39="","",Settings!$C$7)</f>
        <v/>
      </c>
      <c r="M39" s="7">
        <f>IF($V39="","",SUMIFS('Per Line'!$L$2:$L$501,'Per Line'!$B$2:$B$501,$B39,'Per Line'!$Y$2:$Y$501,0))</f>
        <v/>
      </c>
      <c r="N39" s="7">
        <f>IF($V39="","",M39*L39)</f>
        <v/>
      </c>
      <c r="O39">
        <f>IF($V39="","",Settings!$C$6)</f>
        <v/>
      </c>
      <c r="P39" s="7">
        <f>IF($V39="","",SUMIFS('Per Line'!$L$2:$L$501,'Per Line'!$B$2:$B$501,$B39,'Per Line'!$Y$2:$Y$501,1))</f>
        <v/>
      </c>
      <c r="Q39" s="7">
        <f>IF($V39="","",P39*O39)</f>
        <v/>
      </c>
      <c r="R39" s="7">
        <f>IF($V39="","",Q39+N39)</f>
        <v/>
      </c>
      <c r="S39" s="7">
        <f>IF($V39="","",T39-R39)</f>
        <v/>
      </c>
      <c r="T39" s="7">
        <f>IF($V39="","",M39+P39)</f>
        <v/>
      </c>
      <c r="U39" s="7">
        <f>IF($V39="","",T39-R39-H39)</f>
        <v/>
      </c>
      <c r="V39" s="13">
        <f>IF(ROWS($V$2:$V39)&lt;=MAX('Per Line'!$X$2:$X$501),MATCH(ROWS($V$2:$V39),'Per Line'!$X$2:$X$501,0),"")</f>
        <v/>
      </c>
    </row>
    <row r="40">
      <c r="A40" s="12" t="n"/>
      <c r="B40">
        <f>IF($V40="","",INDEX('Per Line'!$B$2:$B$501,$V40)&amp;"")</f>
        <v/>
      </c>
      <c r="C40" s="12" t="n"/>
      <c r="D40">
        <f>IF($V40="","",INDEX('Per Line'!$C$2:$C$501,$V40)&amp;"")</f>
        <v/>
      </c>
      <c r="E40">
        <f>IF($V40="","",INDEX('Per Line'!$D$2:$D$501,$V40)&amp;"")</f>
        <v/>
      </c>
      <c r="F40">
        <f>IF($V40="","",INDEX('Per Line'!$E$2:$E$501,$V40)&amp;"")</f>
        <v/>
      </c>
      <c r="G40">
        <f>IF($V40="","",INDEX('Per Line'!$F$2:$F$501,$V40))</f>
        <v/>
      </c>
      <c r="H40" s="7">
        <f>IF($V40="","",G40*T40/100)</f>
        <v/>
      </c>
      <c r="I40">
        <f>IF($V40="","",INDEX('Per Line'!$M$2:$M$501,$V40)&amp;"")</f>
        <v/>
      </c>
      <c r="J40">
        <f>IF($V40="","",INDEX('Per Line'!$O$2:$O$501,$V40)&amp;"")</f>
        <v/>
      </c>
      <c r="K40">
        <f>IF($V40="","",INDEX('Per Line'!$Q$2:$Q$501,$V40)&amp;"")</f>
        <v/>
      </c>
      <c r="L40">
        <f>IF($V40="","",Settings!$C$7)</f>
        <v/>
      </c>
      <c r="M40" s="7">
        <f>IF($V40="","",SUMIFS('Per Line'!$L$2:$L$501,'Per Line'!$B$2:$B$501,$B40,'Per Line'!$Y$2:$Y$501,0))</f>
        <v/>
      </c>
      <c r="N40" s="7">
        <f>IF($V40="","",M40*L40)</f>
        <v/>
      </c>
      <c r="O40">
        <f>IF($V40="","",Settings!$C$6)</f>
        <v/>
      </c>
      <c r="P40" s="7">
        <f>IF($V40="","",SUMIFS('Per Line'!$L$2:$L$501,'Per Line'!$B$2:$B$501,$B40,'Per Line'!$Y$2:$Y$501,1))</f>
        <v/>
      </c>
      <c r="Q40" s="7">
        <f>IF($V40="","",P40*O40)</f>
        <v/>
      </c>
      <c r="R40" s="7">
        <f>IF($V40="","",Q40+N40)</f>
        <v/>
      </c>
      <c r="S40" s="7">
        <f>IF($V40="","",T40-R40)</f>
        <v/>
      </c>
      <c r="T40" s="7">
        <f>IF($V40="","",M40+P40)</f>
        <v/>
      </c>
      <c r="U40" s="7">
        <f>IF($V40="","",T40-R40-H40)</f>
        <v/>
      </c>
      <c r="V40" s="13">
        <f>IF(ROWS($V$2:$V40)&lt;=MAX('Per Line'!$X$2:$X$501),MATCH(ROWS($V$2:$V40),'Per Line'!$X$2:$X$501,0),"")</f>
        <v/>
      </c>
    </row>
    <row r="41">
      <c r="A41" s="12" t="n"/>
      <c r="B41">
        <f>IF($V41="","",INDEX('Per Line'!$B$2:$B$501,$V41)&amp;"")</f>
        <v/>
      </c>
      <c r="C41" s="12" t="n"/>
      <c r="D41">
        <f>IF($V41="","",INDEX('Per Line'!$C$2:$C$501,$V41)&amp;"")</f>
        <v/>
      </c>
      <c r="E41">
        <f>IF($V41="","",INDEX('Per Line'!$D$2:$D$501,$V41)&amp;"")</f>
        <v/>
      </c>
      <c r="F41">
        <f>IF($V41="","",INDEX('Per Line'!$E$2:$E$501,$V41)&amp;"")</f>
        <v/>
      </c>
      <c r="G41">
        <f>IF($V41="","",INDEX('Per Line'!$F$2:$F$501,$V41))</f>
        <v/>
      </c>
      <c r="H41" s="7">
        <f>IF($V41="","",G41*T41/100)</f>
        <v/>
      </c>
      <c r="I41">
        <f>IF($V41="","",INDEX('Per Line'!$M$2:$M$501,$V41)&amp;"")</f>
        <v/>
      </c>
      <c r="J41">
        <f>IF($V41="","",INDEX('Per Line'!$O$2:$O$501,$V41)&amp;"")</f>
        <v/>
      </c>
      <c r="K41">
        <f>IF($V41="","",INDEX('Per Line'!$Q$2:$Q$501,$V41)&amp;"")</f>
        <v/>
      </c>
      <c r="L41">
        <f>IF($V41="","",Settings!$C$7)</f>
        <v/>
      </c>
      <c r="M41" s="7">
        <f>IF($V41="","",SUMIFS('Per Line'!$L$2:$L$501,'Per Line'!$B$2:$B$501,$B41,'Per Line'!$Y$2:$Y$501,0))</f>
        <v/>
      </c>
      <c r="N41" s="7">
        <f>IF($V41="","",M41*L41)</f>
        <v/>
      </c>
      <c r="O41">
        <f>IF($V41="","",Settings!$C$6)</f>
        <v/>
      </c>
      <c r="P41" s="7">
        <f>IF($V41="","",SUMIFS('Per Line'!$L$2:$L$501,'Per Line'!$B$2:$B$501,$B41,'Per Line'!$Y$2:$Y$501,1))</f>
        <v/>
      </c>
      <c r="Q41" s="7">
        <f>IF($V41="","",P41*O41)</f>
        <v/>
      </c>
      <c r="R41" s="7">
        <f>IF($V41="","",Q41+N41)</f>
        <v/>
      </c>
      <c r="S41" s="7">
        <f>IF($V41="","",T41-R41)</f>
        <v/>
      </c>
      <c r="T41" s="7">
        <f>IF($V41="","",M41+P41)</f>
        <v/>
      </c>
      <c r="U41" s="7">
        <f>IF($V41="","",T41-R41-H41)</f>
        <v/>
      </c>
      <c r="V41" s="13">
        <f>IF(ROWS($V$2:$V41)&lt;=MAX('Per Line'!$X$2:$X$501),MATCH(ROWS($V$2:$V41),'Per Line'!$X$2:$X$501,0),"")</f>
        <v/>
      </c>
    </row>
    <row r="42">
      <c r="A42" s="12" t="n"/>
      <c r="B42">
        <f>IF($V42="","",INDEX('Per Line'!$B$2:$B$501,$V42)&amp;"")</f>
        <v/>
      </c>
      <c r="C42" s="12" t="n"/>
      <c r="D42">
        <f>IF($V42="","",INDEX('Per Line'!$C$2:$C$501,$V42)&amp;"")</f>
        <v/>
      </c>
      <c r="E42">
        <f>IF($V42="","",INDEX('Per Line'!$D$2:$D$501,$V42)&amp;"")</f>
        <v/>
      </c>
      <c r="F42">
        <f>IF($V42="","",INDEX('Per Line'!$E$2:$E$501,$V42)&amp;"")</f>
        <v/>
      </c>
      <c r="G42">
        <f>IF($V42="","",INDEX('Per Line'!$F$2:$F$501,$V42))</f>
        <v/>
      </c>
      <c r="H42" s="7">
        <f>IF($V42="","",G42*T42/100)</f>
        <v/>
      </c>
      <c r="I42">
        <f>IF($V42="","",INDEX('Per Line'!$M$2:$M$501,$V42)&amp;"")</f>
        <v/>
      </c>
      <c r="J42">
        <f>IF($V42="","",INDEX('Per Line'!$O$2:$O$501,$V42)&amp;"")</f>
        <v/>
      </c>
      <c r="K42">
        <f>IF($V42="","",INDEX('Per Line'!$Q$2:$Q$501,$V42)&amp;"")</f>
        <v/>
      </c>
      <c r="L42">
        <f>IF($V42="","",Settings!$C$7)</f>
        <v/>
      </c>
      <c r="M42" s="7">
        <f>IF($V42="","",SUMIFS('Per Line'!$L$2:$L$501,'Per Line'!$B$2:$B$501,$B42,'Per Line'!$Y$2:$Y$501,0))</f>
        <v/>
      </c>
      <c r="N42" s="7">
        <f>IF($V42="","",M42*L42)</f>
        <v/>
      </c>
      <c r="O42">
        <f>IF($V42="","",Settings!$C$6)</f>
        <v/>
      </c>
      <c r="P42" s="7">
        <f>IF($V42="","",SUMIFS('Per Line'!$L$2:$L$501,'Per Line'!$B$2:$B$501,$B42,'Per Line'!$Y$2:$Y$501,1))</f>
        <v/>
      </c>
      <c r="Q42" s="7">
        <f>IF($V42="","",P42*O42)</f>
        <v/>
      </c>
      <c r="R42" s="7">
        <f>IF($V42="","",Q42+N42)</f>
        <v/>
      </c>
      <c r="S42" s="7">
        <f>IF($V42="","",T42-R42)</f>
        <v/>
      </c>
      <c r="T42" s="7">
        <f>IF($V42="","",M42+P42)</f>
        <v/>
      </c>
      <c r="U42" s="7">
        <f>IF($V42="","",T42-R42-H42)</f>
        <v/>
      </c>
      <c r="V42" s="13">
        <f>IF(ROWS($V$2:$V42)&lt;=MAX('Per Line'!$X$2:$X$501),MATCH(ROWS($V$2:$V42),'Per Line'!$X$2:$X$501,0),"")</f>
        <v/>
      </c>
    </row>
    <row r="43">
      <c r="A43" s="12" t="n"/>
      <c r="B43">
        <f>IF($V43="","",INDEX('Per Line'!$B$2:$B$501,$V43)&amp;"")</f>
        <v/>
      </c>
      <c r="C43" s="12" t="n"/>
      <c r="D43">
        <f>IF($V43="","",INDEX('Per Line'!$C$2:$C$501,$V43)&amp;"")</f>
        <v/>
      </c>
      <c r="E43">
        <f>IF($V43="","",INDEX('Per Line'!$D$2:$D$501,$V43)&amp;"")</f>
        <v/>
      </c>
      <c r="F43">
        <f>IF($V43="","",INDEX('Per Line'!$E$2:$E$501,$V43)&amp;"")</f>
        <v/>
      </c>
      <c r="G43">
        <f>IF($V43="","",INDEX('Per Line'!$F$2:$F$501,$V43))</f>
        <v/>
      </c>
      <c r="H43" s="7">
        <f>IF($V43="","",G43*T43/100)</f>
        <v/>
      </c>
      <c r="I43">
        <f>IF($V43="","",INDEX('Per Line'!$M$2:$M$501,$V43)&amp;"")</f>
        <v/>
      </c>
      <c r="J43">
        <f>IF($V43="","",INDEX('Per Line'!$O$2:$O$501,$V43)&amp;"")</f>
        <v/>
      </c>
      <c r="K43">
        <f>IF($V43="","",INDEX('Per Line'!$Q$2:$Q$501,$V43)&amp;"")</f>
        <v/>
      </c>
      <c r="L43">
        <f>IF($V43="","",Settings!$C$7)</f>
        <v/>
      </c>
      <c r="M43" s="7">
        <f>IF($V43="","",SUMIFS('Per Line'!$L$2:$L$501,'Per Line'!$B$2:$B$501,$B43,'Per Line'!$Y$2:$Y$501,0))</f>
        <v/>
      </c>
      <c r="N43" s="7">
        <f>IF($V43="","",M43*L43)</f>
        <v/>
      </c>
      <c r="O43">
        <f>IF($V43="","",Settings!$C$6)</f>
        <v/>
      </c>
      <c r="P43" s="7">
        <f>IF($V43="","",SUMIFS('Per Line'!$L$2:$L$501,'Per Line'!$B$2:$B$501,$B43,'Per Line'!$Y$2:$Y$501,1))</f>
        <v/>
      </c>
      <c r="Q43" s="7">
        <f>IF($V43="","",P43*O43)</f>
        <v/>
      </c>
      <c r="R43" s="7">
        <f>IF($V43="","",Q43+N43)</f>
        <v/>
      </c>
      <c r="S43" s="7">
        <f>IF($V43="","",T43-R43)</f>
        <v/>
      </c>
      <c r="T43" s="7">
        <f>IF($V43="","",M43+P43)</f>
        <v/>
      </c>
      <c r="U43" s="7">
        <f>IF($V43="","",T43-R43-H43)</f>
        <v/>
      </c>
      <c r="V43" s="13">
        <f>IF(ROWS($V$2:$V43)&lt;=MAX('Per Line'!$X$2:$X$501),MATCH(ROWS($V$2:$V43),'Per Line'!$X$2:$X$501,0),"")</f>
        <v/>
      </c>
    </row>
    <row r="44">
      <c r="A44" s="12" t="n"/>
      <c r="B44">
        <f>IF($V44="","",INDEX('Per Line'!$B$2:$B$501,$V44)&amp;"")</f>
        <v/>
      </c>
      <c r="C44" s="12" t="n"/>
      <c r="D44">
        <f>IF($V44="","",INDEX('Per Line'!$C$2:$C$501,$V44)&amp;"")</f>
        <v/>
      </c>
      <c r="E44">
        <f>IF($V44="","",INDEX('Per Line'!$D$2:$D$501,$V44)&amp;"")</f>
        <v/>
      </c>
      <c r="F44">
        <f>IF($V44="","",INDEX('Per Line'!$E$2:$E$501,$V44)&amp;"")</f>
        <v/>
      </c>
      <c r="G44">
        <f>IF($V44="","",INDEX('Per Line'!$F$2:$F$501,$V44))</f>
        <v/>
      </c>
      <c r="H44" s="7">
        <f>IF($V44="","",G44*T44/100)</f>
        <v/>
      </c>
      <c r="I44">
        <f>IF($V44="","",INDEX('Per Line'!$M$2:$M$501,$V44)&amp;"")</f>
        <v/>
      </c>
      <c r="J44">
        <f>IF($V44="","",INDEX('Per Line'!$O$2:$O$501,$V44)&amp;"")</f>
        <v/>
      </c>
      <c r="K44">
        <f>IF($V44="","",INDEX('Per Line'!$Q$2:$Q$501,$V44)&amp;"")</f>
        <v/>
      </c>
      <c r="L44">
        <f>IF($V44="","",Settings!$C$7)</f>
        <v/>
      </c>
      <c r="M44" s="7">
        <f>IF($V44="","",SUMIFS('Per Line'!$L$2:$L$501,'Per Line'!$B$2:$B$501,$B44,'Per Line'!$Y$2:$Y$501,0))</f>
        <v/>
      </c>
      <c r="N44" s="7">
        <f>IF($V44="","",M44*L44)</f>
        <v/>
      </c>
      <c r="O44">
        <f>IF($V44="","",Settings!$C$6)</f>
        <v/>
      </c>
      <c r="P44" s="7">
        <f>IF($V44="","",SUMIFS('Per Line'!$L$2:$L$501,'Per Line'!$B$2:$B$501,$B44,'Per Line'!$Y$2:$Y$501,1))</f>
        <v/>
      </c>
      <c r="Q44" s="7">
        <f>IF($V44="","",P44*O44)</f>
        <v/>
      </c>
      <c r="R44" s="7">
        <f>IF($V44="","",Q44+N44)</f>
        <v/>
      </c>
      <c r="S44" s="7">
        <f>IF($V44="","",T44-R44)</f>
        <v/>
      </c>
      <c r="T44" s="7">
        <f>IF($V44="","",M44+P44)</f>
        <v/>
      </c>
      <c r="U44" s="7">
        <f>IF($V44="","",T44-R44-H44)</f>
        <v/>
      </c>
      <c r="V44" s="13">
        <f>IF(ROWS($V$2:$V44)&lt;=MAX('Per Line'!$X$2:$X$501),MATCH(ROWS($V$2:$V44),'Per Line'!$X$2:$X$501,0),"")</f>
        <v/>
      </c>
    </row>
    <row r="45">
      <c r="A45" s="12" t="n"/>
      <c r="B45">
        <f>IF($V45="","",INDEX('Per Line'!$B$2:$B$501,$V45)&amp;"")</f>
        <v/>
      </c>
      <c r="C45" s="12" t="n"/>
      <c r="D45">
        <f>IF($V45="","",INDEX('Per Line'!$C$2:$C$501,$V45)&amp;"")</f>
        <v/>
      </c>
      <c r="E45">
        <f>IF($V45="","",INDEX('Per Line'!$D$2:$D$501,$V45)&amp;"")</f>
        <v/>
      </c>
      <c r="F45">
        <f>IF($V45="","",INDEX('Per Line'!$E$2:$E$501,$V45)&amp;"")</f>
        <v/>
      </c>
      <c r="G45">
        <f>IF($V45="","",INDEX('Per Line'!$F$2:$F$501,$V45))</f>
        <v/>
      </c>
      <c r="H45" s="7">
        <f>IF($V45="","",G45*T45/100)</f>
        <v/>
      </c>
      <c r="I45">
        <f>IF($V45="","",INDEX('Per Line'!$M$2:$M$501,$V45)&amp;"")</f>
        <v/>
      </c>
      <c r="J45">
        <f>IF($V45="","",INDEX('Per Line'!$O$2:$O$501,$V45)&amp;"")</f>
        <v/>
      </c>
      <c r="K45">
        <f>IF($V45="","",INDEX('Per Line'!$Q$2:$Q$501,$V45)&amp;"")</f>
        <v/>
      </c>
      <c r="L45">
        <f>IF($V45="","",Settings!$C$7)</f>
        <v/>
      </c>
      <c r="M45" s="7">
        <f>IF($V45="","",SUMIFS('Per Line'!$L$2:$L$501,'Per Line'!$B$2:$B$501,$B45,'Per Line'!$Y$2:$Y$501,0))</f>
        <v/>
      </c>
      <c r="N45" s="7">
        <f>IF($V45="","",M45*L45)</f>
        <v/>
      </c>
      <c r="O45">
        <f>IF($V45="","",Settings!$C$6)</f>
        <v/>
      </c>
      <c r="P45" s="7">
        <f>IF($V45="","",SUMIFS('Per Line'!$L$2:$L$501,'Per Line'!$B$2:$B$501,$B45,'Per Line'!$Y$2:$Y$501,1))</f>
        <v/>
      </c>
      <c r="Q45" s="7">
        <f>IF($V45="","",P45*O45)</f>
        <v/>
      </c>
      <c r="R45" s="7">
        <f>IF($V45="","",Q45+N45)</f>
        <v/>
      </c>
      <c r="S45" s="7">
        <f>IF($V45="","",T45-R45)</f>
        <v/>
      </c>
      <c r="T45" s="7">
        <f>IF($V45="","",M45+P45)</f>
        <v/>
      </c>
      <c r="U45" s="7">
        <f>IF($V45="","",T45-R45-H45)</f>
        <v/>
      </c>
      <c r="V45" s="13">
        <f>IF(ROWS($V$2:$V45)&lt;=MAX('Per Line'!$X$2:$X$501),MATCH(ROWS($V$2:$V45),'Per Line'!$X$2:$X$501,0),"")</f>
        <v/>
      </c>
    </row>
    <row r="46">
      <c r="A46" s="12" t="n"/>
      <c r="B46">
        <f>IF($V46="","",INDEX('Per Line'!$B$2:$B$501,$V46)&amp;"")</f>
        <v/>
      </c>
      <c r="C46" s="12" t="n"/>
      <c r="D46">
        <f>IF($V46="","",INDEX('Per Line'!$C$2:$C$501,$V46)&amp;"")</f>
        <v/>
      </c>
      <c r="E46">
        <f>IF($V46="","",INDEX('Per Line'!$D$2:$D$501,$V46)&amp;"")</f>
        <v/>
      </c>
      <c r="F46">
        <f>IF($V46="","",INDEX('Per Line'!$E$2:$E$501,$V46)&amp;"")</f>
        <v/>
      </c>
      <c r="G46">
        <f>IF($V46="","",INDEX('Per Line'!$F$2:$F$501,$V46))</f>
        <v/>
      </c>
      <c r="H46" s="7">
        <f>IF($V46="","",G46*T46/100)</f>
        <v/>
      </c>
      <c r="I46">
        <f>IF($V46="","",INDEX('Per Line'!$M$2:$M$501,$V46)&amp;"")</f>
        <v/>
      </c>
      <c r="J46">
        <f>IF($V46="","",INDEX('Per Line'!$O$2:$O$501,$V46)&amp;"")</f>
        <v/>
      </c>
      <c r="K46">
        <f>IF($V46="","",INDEX('Per Line'!$Q$2:$Q$501,$V46)&amp;"")</f>
        <v/>
      </c>
      <c r="L46">
        <f>IF($V46="","",Settings!$C$7)</f>
        <v/>
      </c>
      <c r="M46" s="7">
        <f>IF($V46="","",SUMIFS('Per Line'!$L$2:$L$501,'Per Line'!$B$2:$B$501,$B46,'Per Line'!$Y$2:$Y$501,0))</f>
        <v/>
      </c>
      <c r="N46" s="7">
        <f>IF($V46="","",M46*L46)</f>
        <v/>
      </c>
      <c r="O46">
        <f>IF($V46="","",Settings!$C$6)</f>
        <v/>
      </c>
      <c r="P46" s="7">
        <f>IF($V46="","",SUMIFS('Per Line'!$L$2:$L$501,'Per Line'!$B$2:$B$501,$B46,'Per Line'!$Y$2:$Y$501,1))</f>
        <v/>
      </c>
      <c r="Q46" s="7">
        <f>IF($V46="","",P46*O46)</f>
        <v/>
      </c>
      <c r="R46" s="7">
        <f>IF($V46="","",Q46+N46)</f>
        <v/>
      </c>
      <c r="S46" s="7">
        <f>IF($V46="","",T46-R46)</f>
        <v/>
      </c>
      <c r="T46" s="7">
        <f>IF($V46="","",M46+P46)</f>
        <v/>
      </c>
      <c r="U46" s="7">
        <f>IF($V46="","",T46-R46-H46)</f>
        <v/>
      </c>
      <c r="V46" s="13">
        <f>IF(ROWS($V$2:$V46)&lt;=MAX('Per Line'!$X$2:$X$501),MATCH(ROWS($V$2:$V46),'Per Line'!$X$2:$X$501,0),"")</f>
        <v/>
      </c>
    </row>
    <row r="47">
      <c r="A47" s="12" t="n"/>
      <c r="B47">
        <f>IF($V47="","",INDEX('Per Line'!$B$2:$B$501,$V47)&amp;"")</f>
        <v/>
      </c>
      <c r="C47" s="12" t="n"/>
      <c r="D47">
        <f>IF($V47="","",INDEX('Per Line'!$C$2:$C$501,$V47)&amp;"")</f>
        <v/>
      </c>
      <c r="E47">
        <f>IF($V47="","",INDEX('Per Line'!$D$2:$D$501,$V47)&amp;"")</f>
        <v/>
      </c>
      <c r="F47">
        <f>IF($V47="","",INDEX('Per Line'!$E$2:$E$501,$V47)&amp;"")</f>
        <v/>
      </c>
      <c r="G47">
        <f>IF($V47="","",INDEX('Per Line'!$F$2:$F$501,$V47))</f>
        <v/>
      </c>
      <c r="H47" s="7">
        <f>IF($V47="","",G47*T47/100)</f>
        <v/>
      </c>
      <c r="I47">
        <f>IF($V47="","",INDEX('Per Line'!$M$2:$M$501,$V47)&amp;"")</f>
        <v/>
      </c>
      <c r="J47">
        <f>IF($V47="","",INDEX('Per Line'!$O$2:$O$501,$V47)&amp;"")</f>
        <v/>
      </c>
      <c r="K47">
        <f>IF($V47="","",INDEX('Per Line'!$Q$2:$Q$501,$V47)&amp;"")</f>
        <v/>
      </c>
      <c r="L47">
        <f>IF($V47="","",Settings!$C$7)</f>
        <v/>
      </c>
      <c r="M47" s="7">
        <f>IF($V47="","",SUMIFS('Per Line'!$L$2:$L$501,'Per Line'!$B$2:$B$501,$B47,'Per Line'!$Y$2:$Y$501,0))</f>
        <v/>
      </c>
      <c r="N47" s="7">
        <f>IF($V47="","",M47*L47)</f>
        <v/>
      </c>
      <c r="O47">
        <f>IF($V47="","",Settings!$C$6)</f>
        <v/>
      </c>
      <c r="P47" s="7">
        <f>IF($V47="","",SUMIFS('Per Line'!$L$2:$L$501,'Per Line'!$B$2:$B$501,$B47,'Per Line'!$Y$2:$Y$501,1))</f>
        <v/>
      </c>
      <c r="Q47" s="7">
        <f>IF($V47="","",P47*O47)</f>
        <v/>
      </c>
      <c r="R47" s="7">
        <f>IF($V47="","",Q47+N47)</f>
        <v/>
      </c>
      <c r="S47" s="7">
        <f>IF($V47="","",T47-R47)</f>
        <v/>
      </c>
      <c r="T47" s="7">
        <f>IF($V47="","",M47+P47)</f>
        <v/>
      </c>
      <c r="U47" s="7">
        <f>IF($V47="","",T47-R47-H47)</f>
        <v/>
      </c>
      <c r="V47" s="13">
        <f>IF(ROWS($V$2:$V47)&lt;=MAX('Per Line'!$X$2:$X$501),MATCH(ROWS($V$2:$V47),'Per Line'!$X$2:$X$501,0),"")</f>
        <v/>
      </c>
    </row>
    <row r="48">
      <c r="A48" s="12" t="n"/>
      <c r="B48">
        <f>IF($V48="","",INDEX('Per Line'!$B$2:$B$501,$V48)&amp;"")</f>
        <v/>
      </c>
      <c r="C48" s="12" t="n"/>
      <c r="D48">
        <f>IF($V48="","",INDEX('Per Line'!$C$2:$C$501,$V48)&amp;"")</f>
        <v/>
      </c>
      <c r="E48">
        <f>IF($V48="","",INDEX('Per Line'!$D$2:$D$501,$V48)&amp;"")</f>
        <v/>
      </c>
      <c r="F48">
        <f>IF($V48="","",INDEX('Per Line'!$E$2:$E$501,$V48)&amp;"")</f>
        <v/>
      </c>
      <c r="G48">
        <f>IF($V48="","",INDEX('Per Line'!$F$2:$F$501,$V48))</f>
        <v/>
      </c>
      <c r="H48" s="7">
        <f>IF($V48="","",G48*T48/100)</f>
        <v/>
      </c>
      <c r="I48">
        <f>IF($V48="","",INDEX('Per Line'!$M$2:$M$501,$V48)&amp;"")</f>
        <v/>
      </c>
      <c r="J48">
        <f>IF($V48="","",INDEX('Per Line'!$O$2:$O$501,$V48)&amp;"")</f>
        <v/>
      </c>
      <c r="K48">
        <f>IF($V48="","",INDEX('Per Line'!$Q$2:$Q$501,$V48)&amp;"")</f>
        <v/>
      </c>
      <c r="L48">
        <f>IF($V48="","",Settings!$C$7)</f>
        <v/>
      </c>
      <c r="M48" s="7">
        <f>IF($V48="","",SUMIFS('Per Line'!$L$2:$L$501,'Per Line'!$B$2:$B$501,$B48,'Per Line'!$Y$2:$Y$501,0))</f>
        <v/>
      </c>
      <c r="N48" s="7">
        <f>IF($V48="","",M48*L48)</f>
        <v/>
      </c>
      <c r="O48">
        <f>IF($V48="","",Settings!$C$6)</f>
        <v/>
      </c>
      <c r="P48" s="7">
        <f>IF($V48="","",SUMIFS('Per Line'!$L$2:$L$501,'Per Line'!$B$2:$B$501,$B48,'Per Line'!$Y$2:$Y$501,1))</f>
        <v/>
      </c>
      <c r="Q48" s="7">
        <f>IF($V48="","",P48*O48)</f>
        <v/>
      </c>
      <c r="R48" s="7">
        <f>IF($V48="","",Q48+N48)</f>
        <v/>
      </c>
      <c r="S48" s="7">
        <f>IF($V48="","",T48-R48)</f>
        <v/>
      </c>
      <c r="T48" s="7">
        <f>IF($V48="","",M48+P48)</f>
        <v/>
      </c>
      <c r="U48" s="7">
        <f>IF($V48="","",T48-R48-H48)</f>
        <v/>
      </c>
      <c r="V48" s="13">
        <f>IF(ROWS($V$2:$V48)&lt;=MAX('Per Line'!$X$2:$X$501),MATCH(ROWS($V$2:$V48),'Per Line'!$X$2:$X$501,0),"")</f>
        <v/>
      </c>
    </row>
    <row r="49">
      <c r="A49" s="12" t="n"/>
      <c r="B49">
        <f>IF($V49="","",INDEX('Per Line'!$B$2:$B$501,$V49)&amp;"")</f>
        <v/>
      </c>
      <c r="C49" s="12" t="n"/>
      <c r="D49">
        <f>IF($V49="","",INDEX('Per Line'!$C$2:$C$501,$V49)&amp;"")</f>
        <v/>
      </c>
      <c r="E49">
        <f>IF($V49="","",INDEX('Per Line'!$D$2:$D$501,$V49)&amp;"")</f>
        <v/>
      </c>
      <c r="F49">
        <f>IF($V49="","",INDEX('Per Line'!$E$2:$E$501,$V49)&amp;"")</f>
        <v/>
      </c>
      <c r="G49">
        <f>IF($V49="","",INDEX('Per Line'!$F$2:$F$501,$V49))</f>
        <v/>
      </c>
      <c r="H49" s="7">
        <f>IF($V49="","",G49*T49/100)</f>
        <v/>
      </c>
      <c r="I49">
        <f>IF($V49="","",INDEX('Per Line'!$M$2:$M$501,$V49)&amp;"")</f>
        <v/>
      </c>
      <c r="J49">
        <f>IF($V49="","",INDEX('Per Line'!$O$2:$O$501,$V49)&amp;"")</f>
        <v/>
      </c>
      <c r="K49">
        <f>IF($V49="","",INDEX('Per Line'!$Q$2:$Q$501,$V49)&amp;"")</f>
        <v/>
      </c>
      <c r="L49">
        <f>IF($V49="","",Settings!$C$7)</f>
        <v/>
      </c>
      <c r="M49" s="7">
        <f>IF($V49="","",SUMIFS('Per Line'!$L$2:$L$501,'Per Line'!$B$2:$B$501,$B49,'Per Line'!$Y$2:$Y$501,0))</f>
        <v/>
      </c>
      <c r="N49" s="7">
        <f>IF($V49="","",M49*L49)</f>
        <v/>
      </c>
      <c r="O49">
        <f>IF($V49="","",Settings!$C$6)</f>
        <v/>
      </c>
      <c r="P49" s="7">
        <f>IF($V49="","",SUMIFS('Per Line'!$L$2:$L$501,'Per Line'!$B$2:$B$501,$B49,'Per Line'!$Y$2:$Y$501,1))</f>
        <v/>
      </c>
      <c r="Q49" s="7">
        <f>IF($V49="","",P49*O49)</f>
        <v/>
      </c>
      <c r="R49" s="7">
        <f>IF($V49="","",Q49+N49)</f>
        <v/>
      </c>
      <c r="S49" s="7">
        <f>IF($V49="","",T49-R49)</f>
        <v/>
      </c>
      <c r="T49" s="7">
        <f>IF($V49="","",M49+P49)</f>
        <v/>
      </c>
      <c r="U49" s="7">
        <f>IF($V49="","",T49-R49-H49)</f>
        <v/>
      </c>
      <c r="V49" s="13">
        <f>IF(ROWS($V$2:$V49)&lt;=MAX('Per Line'!$X$2:$X$501),MATCH(ROWS($V$2:$V49),'Per Line'!$X$2:$X$501,0),"")</f>
        <v/>
      </c>
    </row>
    <row r="50">
      <c r="A50" s="12" t="n"/>
      <c r="B50">
        <f>IF($V50="","",INDEX('Per Line'!$B$2:$B$501,$V50)&amp;"")</f>
        <v/>
      </c>
      <c r="C50" s="12" t="n"/>
      <c r="D50">
        <f>IF($V50="","",INDEX('Per Line'!$C$2:$C$501,$V50)&amp;"")</f>
        <v/>
      </c>
      <c r="E50">
        <f>IF($V50="","",INDEX('Per Line'!$D$2:$D$501,$V50)&amp;"")</f>
        <v/>
      </c>
      <c r="F50">
        <f>IF($V50="","",INDEX('Per Line'!$E$2:$E$501,$V50)&amp;"")</f>
        <v/>
      </c>
      <c r="G50">
        <f>IF($V50="","",INDEX('Per Line'!$F$2:$F$501,$V50))</f>
        <v/>
      </c>
      <c r="H50" s="7">
        <f>IF($V50="","",G50*T50/100)</f>
        <v/>
      </c>
      <c r="I50">
        <f>IF($V50="","",INDEX('Per Line'!$M$2:$M$501,$V50)&amp;"")</f>
        <v/>
      </c>
      <c r="J50">
        <f>IF($V50="","",INDEX('Per Line'!$O$2:$O$501,$V50)&amp;"")</f>
        <v/>
      </c>
      <c r="K50">
        <f>IF($V50="","",INDEX('Per Line'!$Q$2:$Q$501,$V50)&amp;"")</f>
        <v/>
      </c>
      <c r="L50">
        <f>IF($V50="","",Settings!$C$7)</f>
        <v/>
      </c>
      <c r="M50" s="7">
        <f>IF($V50="","",SUMIFS('Per Line'!$L$2:$L$501,'Per Line'!$B$2:$B$501,$B50,'Per Line'!$Y$2:$Y$501,0))</f>
        <v/>
      </c>
      <c r="N50" s="7">
        <f>IF($V50="","",M50*L50)</f>
        <v/>
      </c>
      <c r="O50">
        <f>IF($V50="","",Settings!$C$6)</f>
        <v/>
      </c>
      <c r="P50" s="7">
        <f>IF($V50="","",SUMIFS('Per Line'!$L$2:$L$501,'Per Line'!$B$2:$B$501,$B50,'Per Line'!$Y$2:$Y$501,1))</f>
        <v/>
      </c>
      <c r="Q50" s="7">
        <f>IF($V50="","",P50*O50)</f>
        <v/>
      </c>
      <c r="R50" s="7">
        <f>IF($V50="","",Q50+N50)</f>
        <v/>
      </c>
      <c r="S50" s="7">
        <f>IF($V50="","",T50-R50)</f>
        <v/>
      </c>
      <c r="T50" s="7">
        <f>IF($V50="","",M50+P50)</f>
        <v/>
      </c>
      <c r="U50" s="7">
        <f>IF($V50="","",T50-R50-H50)</f>
        <v/>
      </c>
      <c r="V50" s="13">
        <f>IF(ROWS($V$2:$V50)&lt;=MAX('Per Line'!$X$2:$X$501),MATCH(ROWS($V$2:$V50),'Per Line'!$X$2:$X$501,0),"")</f>
        <v/>
      </c>
    </row>
    <row r="51">
      <c r="A51" s="12" t="n"/>
      <c r="B51">
        <f>IF($V51="","",INDEX('Per Line'!$B$2:$B$501,$V51)&amp;"")</f>
        <v/>
      </c>
      <c r="C51" s="12" t="n"/>
      <c r="D51">
        <f>IF($V51="","",INDEX('Per Line'!$C$2:$C$501,$V51)&amp;"")</f>
        <v/>
      </c>
      <c r="E51">
        <f>IF($V51="","",INDEX('Per Line'!$D$2:$D$501,$V51)&amp;"")</f>
        <v/>
      </c>
      <c r="F51">
        <f>IF($V51="","",INDEX('Per Line'!$E$2:$E$501,$V51)&amp;"")</f>
        <v/>
      </c>
      <c r="G51">
        <f>IF($V51="","",INDEX('Per Line'!$F$2:$F$501,$V51))</f>
        <v/>
      </c>
      <c r="H51" s="7">
        <f>IF($V51="","",G51*T51/100)</f>
        <v/>
      </c>
      <c r="I51">
        <f>IF($V51="","",INDEX('Per Line'!$M$2:$M$501,$V51)&amp;"")</f>
        <v/>
      </c>
      <c r="J51">
        <f>IF($V51="","",INDEX('Per Line'!$O$2:$O$501,$V51)&amp;"")</f>
        <v/>
      </c>
      <c r="K51">
        <f>IF($V51="","",INDEX('Per Line'!$Q$2:$Q$501,$V51)&amp;"")</f>
        <v/>
      </c>
      <c r="L51">
        <f>IF($V51="","",Settings!$C$7)</f>
        <v/>
      </c>
      <c r="M51" s="7">
        <f>IF($V51="","",SUMIFS('Per Line'!$L$2:$L$501,'Per Line'!$B$2:$B$501,$B51,'Per Line'!$Y$2:$Y$501,0))</f>
        <v/>
      </c>
      <c r="N51" s="7">
        <f>IF($V51="","",M51*L51)</f>
        <v/>
      </c>
      <c r="O51">
        <f>IF($V51="","",Settings!$C$6)</f>
        <v/>
      </c>
      <c r="P51" s="7">
        <f>IF($V51="","",SUMIFS('Per Line'!$L$2:$L$501,'Per Line'!$B$2:$B$501,$B51,'Per Line'!$Y$2:$Y$501,1))</f>
        <v/>
      </c>
      <c r="Q51" s="7">
        <f>IF($V51="","",P51*O51)</f>
        <v/>
      </c>
      <c r="R51" s="7">
        <f>IF($V51="","",Q51+N51)</f>
        <v/>
      </c>
      <c r="S51" s="7">
        <f>IF($V51="","",T51-R51)</f>
        <v/>
      </c>
      <c r="T51" s="7">
        <f>IF($V51="","",M51+P51)</f>
        <v/>
      </c>
      <c r="U51" s="7">
        <f>IF($V51="","",T51-R51-H51)</f>
        <v/>
      </c>
      <c r="V51" s="13">
        <f>IF(ROWS($V$2:$V51)&lt;=MAX('Per Line'!$X$2:$X$501),MATCH(ROWS($V$2:$V51),'Per Line'!$X$2:$X$501,0),"")</f>
        <v/>
      </c>
    </row>
    <row r="52">
      <c r="A52" s="12" t="n"/>
      <c r="B52">
        <f>IF($V52="","",INDEX('Per Line'!$B$2:$B$501,$V52)&amp;"")</f>
        <v/>
      </c>
      <c r="C52" s="12" t="n"/>
      <c r="D52">
        <f>IF($V52="","",INDEX('Per Line'!$C$2:$C$501,$V52)&amp;"")</f>
        <v/>
      </c>
      <c r="E52">
        <f>IF($V52="","",INDEX('Per Line'!$D$2:$D$501,$V52)&amp;"")</f>
        <v/>
      </c>
      <c r="F52">
        <f>IF($V52="","",INDEX('Per Line'!$E$2:$E$501,$V52)&amp;"")</f>
        <v/>
      </c>
      <c r="G52">
        <f>IF($V52="","",INDEX('Per Line'!$F$2:$F$501,$V52))</f>
        <v/>
      </c>
      <c r="H52" s="7">
        <f>IF($V52="","",G52*T52/100)</f>
        <v/>
      </c>
      <c r="I52">
        <f>IF($V52="","",INDEX('Per Line'!$M$2:$M$501,$V52)&amp;"")</f>
        <v/>
      </c>
      <c r="J52">
        <f>IF($V52="","",INDEX('Per Line'!$O$2:$O$501,$V52)&amp;"")</f>
        <v/>
      </c>
      <c r="K52">
        <f>IF($V52="","",INDEX('Per Line'!$Q$2:$Q$501,$V52)&amp;"")</f>
        <v/>
      </c>
      <c r="L52">
        <f>IF($V52="","",Settings!$C$7)</f>
        <v/>
      </c>
      <c r="M52" s="7">
        <f>IF($V52="","",SUMIFS('Per Line'!$L$2:$L$501,'Per Line'!$B$2:$B$501,$B52,'Per Line'!$Y$2:$Y$501,0))</f>
        <v/>
      </c>
      <c r="N52" s="7">
        <f>IF($V52="","",M52*L52)</f>
        <v/>
      </c>
      <c r="O52">
        <f>IF($V52="","",Settings!$C$6)</f>
        <v/>
      </c>
      <c r="P52" s="7">
        <f>IF($V52="","",SUMIFS('Per Line'!$L$2:$L$501,'Per Line'!$B$2:$B$501,$B52,'Per Line'!$Y$2:$Y$501,1))</f>
        <v/>
      </c>
      <c r="Q52" s="7">
        <f>IF($V52="","",P52*O52)</f>
        <v/>
      </c>
      <c r="R52" s="7">
        <f>IF($V52="","",Q52+N52)</f>
        <v/>
      </c>
      <c r="S52" s="7">
        <f>IF($V52="","",T52-R52)</f>
        <v/>
      </c>
      <c r="T52" s="7">
        <f>IF($V52="","",M52+P52)</f>
        <v/>
      </c>
      <c r="U52" s="7">
        <f>IF($V52="","",T52-R52-H52)</f>
        <v/>
      </c>
      <c r="V52" s="13">
        <f>IF(ROWS($V$2:$V52)&lt;=MAX('Per Line'!$X$2:$X$501),MATCH(ROWS($V$2:$V52),'Per Line'!$X$2:$X$501,0),"")</f>
        <v/>
      </c>
    </row>
    <row r="53">
      <c r="A53" s="12" t="n"/>
      <c r="B53">
        <f>IF($V53="","",INDEX('Per Line'!$B$2:$B$501,$V53)&amp;"")</f>
        <v/>
      </c>
      <c r="C53" s="12" t="n"/>
      <c r="D53">
        <f>IF($V53="","",INDEX('Per Line'!$C$2:$C$501,$V53)&amp;"")</f>
        <v/>
      </c>
      <c r="E53">
        <f>IF($V53="","",INDEX('Per Line'!$D$2:$D$501,$V53)&amp;"")</f>
        <v/>
      </c>
      <c r="F53">
        <f>IF($V53="","",INDEX('Per Line'!$E$2:$E$501,$V53)&amp;"")</f>
        <v/>
      </c>
      <c r="G53">
        <f>IF($V53="","",INDEX('Per Line'!$F$2:$F$501,$V53))</f>
        <v/>
      </c>
      <c r="H53" s="7">
        <f>IF($V53="","",G53*T53/100)</f>
        <v/>
      </c>
      <c r="I53">
        <f>IF($V53="","",INDEX('Per Line'!$M$2:$M$501,$V53)&amp;"")</f>
        <v/>
      </c>
      <c r="J53">
        <f>IF($V53="","",INDEX('Per Line'!$O$2:$O$501,$V53)&amp;"")</f>
        <v/>
      </c>
      <c r="K53">
        <f>IF($V53="","",INDEX('Per Line'!$Q$2:$Q$501,$V53)&amp;"")</f>
        <v/>
      </c>
      <c r="L53">
        <f>IF($V53="","",Settings!$C$7)</f>
        <v/>
      </c>
      <c r="M53" s="7">
        <f>IF($V53="","",SUMIFS('Per Line'!$L$2:$L$501,'Per Line'!$B$2:$B$501,$B53,'Per Line'!$Y$2:$Y$501,0))</f>
        <v/>
      </c>
      <c r="N53" s="7">
        <f>IF($V53="","",M53*L53)</f>
        <v/>
      </c>
      <c r="O53">
        <f>IF($V53="","",Settings!$C$6)</f>
        <v/>
      </c>
      <c r="P53" s="7">
        <f>IF($V53="","",SUMIFS('Per Line'!$L$2:$L$501,'Per Line'!$B$2:$B$501,$B53,'Per Line'!$Y$2:$Y$501,1))</f>
        <v/>
      </c>
      <c r="Q53" s="7">
        <f>IF($V53="","",P53*O53)</f>
        <v/>
      </c>
      <c r="R53" s="7">
        <f>IF($V53="","",Q53+N53)</f>
        <v/>
      </c>
      <c r="S53" s="7">
        <f>IF($V53="","",T53-R53)</f>
        <v/>
      </c>
      <c r="T53" s="7">
        <f>IF($V53="","",M53+P53)</f>
        <v/>
      </c>
      <c r="U53" s="7">
        <f>IF($V53="","",T53-R53-H53)</f>
        <v/>
      </c>
      <c r="V53" s="13">
        <f>IF(ROWS($V$2:$V53)&lt;=MAX('Per Line'!$X$2:$X$501),MATCH(ROWS($V$2:$V53),'Per Line'!$X$2:$X$501,0),"")</f>
        <v/>
      </c>
    </row>
    <row r="54">
      <c r="A54" s="12" t="n"/>
      <c r="B54">
        <f>IF($V54="","",INDEX('Per Line'!$B$2:$B$501,$V54)&amp;"")</f>
        <v/>
      </c>
      <c r="C54" s="12" t="n"/>
      <c r="D54">
        <f>IF($V54="","",INDEX('Per Line'!$C$2:$C$501,$V54)&amp;"")</f>
        <v/>
      </c>
      <c r="E54">
        <f>IF($V54="","",INDEX('Per Line'!$D$2:$D$501,$V54)&amp;"")</f>
        <v/>
      </c>
      <c r="F54">
        <f>IF($V54="","",INDEX('Per Line'!$E$2:$E$501,$V54)&amp;"")</f>
        <v/>
      </c>
      <c r="G54">
        <f>IF($V54="","",INDEX('Per Line'!$F$2:$F$501,$V54))</f>
        <v/>
      </c>
      <c r="H54" s="7">
        <f>IF($V54="","",G54*T54/100)</f>
        <v/>
      </c>
      <c r="I54">
        <f>IF($V54="","",INDEX('Per Line'!$M$2:$M$501,$V54)&amp;"")</f>
        <v/>
      </c>
      <c r="J54">
        <f>IF($V54="","",INDEX('Per Line'!$O$2:$O$501,$V54)&amp;"")</f>
        <v/>
      </c>
      <c r="K54">
        <f>IF($V54="","",INDEX('Per Line'!$Q$2:$Q$501,$V54)&amp;"")</f>
        <v/>
      </c>
      <c r="L54">
        <f>IF($V54="","",Settings!$C$7)</f>
        <v/>
      </c>
      <c r="M54" s="7">
        <f>IF($V54="","",SUMIFS('Per Line'!$L$2:$L$501,'Per Line'!$B$2:$B$501,$B54,'Per Line'!$Y$2:$Y$501,0))</f>
        <v/>
      </c>
      <c r="N54" s="7">
        <f>IF($V54="","",M54*L54)</f>
        <v/>
      </c>
      <c r="O54">
        <f>IF($V54="","",Settings!$C$6)</f>
        <v/>
      </c>
      <c r="P54" s="7">
        <f>IF($V54="","",SUMIFS('Per Line'!$L$2:$L$501,'Per Line'!$B$2:$B$501,$B54,'Per Line'!$Y$2:$Y$501,1))</f>
        <v/>
      </c>
      <c r="Q54" s="7">
        <f>IF($V54="","",P54*O54)</f>
        <v/>
      </c>
      <c r="R54" s="7">
        <f>IF($V54="","",Q54+N54)</f>
        <v/>
      </c>
      <c r="S54" s="7">
        <f>IF($V54="","",T54-R54)</f>
        <v/>
      </c>
      <c r="T54" s="7">
        <f>IF($V54="","",M54+P54)</f>
        <v/>
      </c>
      <c r="U54" s="7">
        <f>IF($V54="","",T54-R54-H54)</f>
        <v/>
      </c>
      <c r="V54" s="13">
        <f>IF(ROWS($V$2:$V54)&lt;=MAX('Per Line'!$X$2:$X$501),MATCH(ROWS($V$2:$V54),'Per Line'!$X$2:$X$501,0),"")</f>
        <v/>
      </c>
    </row>
    <row r="55">
      <c r="A55" s="12" t="n"/>
      <c r="B55">
        <f>IF($V55="","",INDEX('Per Line'!$B$2:$B$501,$V55)&amp;"")</f>
        <v/>
      </c>
      <c r="C55" s="12" t="n"/>
      <c r="D55">
        <f>IF($V55="","",INDEX('Per Line'!$C$2:$C$501,$V55)&amp;"")</f>
        <v/>
      </c>
      <c r="E55">
        <f>IF($V55="","",INDEX('Per Line'!$D$2:$D$501,$V55)&amp;"")</f>
        <v/>
      </c>
      <c r="F55">
        <f>IF($V55="","",INDEX('Per Line'!$E$2:$E$501,$V55)&amp;"")</f>
        <v/>
      </c>
      <c r="G55">
        <f>IF($V55="","",INDEX('Per Line'!$F$2:$F$501,$V55))</f>
        <v/>
      </c>
      <c r="H55" s="7">
        <f>IF($V55="","",G55*T55/100)</f>
        <v/>
      </c>
      <c r="I55">
        <f>IF($V55="","",INDEX('Per Line'!$M$2:$M$501,$V55)&amp;"")</f>
        <v/>
      </c>
      <c r="J55">
        <f>IF($V55="","",INDEX('Per Line'!$O$2:$O$501,$V55)&amp;"")</f>
        <v/>
      </c>
      <c r="K55">
        <f>IF($V55="","",INDEX('Per Line'!$Q$2:$Q$501,$V55)&amp;"")</f>
        <v/>
      </c>
      <c r="L55">
        <f>IF($V55="","",Settings!$C$7)</f>
        <v/>
      </c>
      <c r="M55" s="7">
        <f>IF($V55="","",SUMIFS('Per Line'!$L$2:$L$501,'Per Line'!$B$2:$B$501,$B55,'Per Line'!$Y$2:$Y$501,0))</f>
        <v/>
      </c>
      <c r="N55" s="7">
        <f>IF($V55="","",M55*L55)</f>
        <v/>
      </c>
      <c r="O55">
        <f>IF($V55="","",Settings!$C$6)</f>
        <v/>
      </c>
      <c r="P55" s="7">
        <f>IF($V55="","",SUMIFS('Per Line'!$L$2:$L$501,'Per Line'!$B$2:$B$501,$B55,'Per Line'!$Y$2:$Y$501,1))</f>
        <v/>
      </c>
      <c r="Q55" s="7">
        <f>IF($V55="","",P55*O55)</f>
        <v/>
      </c>
      <c r="R55" s="7">
        <f>IF($V55="","",Q55+N55)</f>
        <v/>
      </c>
      <c r="S55" s="7">
        <f>IF($V55="","",T55-R55)</f>
        <v/>
      </c>
      <c r="T55" s="7">
        <f>IF($V55="","",M55+P55)</f>
        <v/>
      </c>
      <c r="U55" s="7">
        <f>IF($V55="","",T55-R55-H55)</f>
        <v/>
      </c>
      <c r="V55" s="13">
        <f>IF(ROWS($V$2:$V55)&lt;=MAX('Per Line'!$X$2:$X$501),MATCH(ROWS($V$2:$V55),'Per Line'!$X$2:$X$501,0),"")</f>
        <v/>
      </c>
    </row>
    <row r="56">
      <c r="A56" s="12" t="n"/>
      <c r="B56">
        <f>IF($V56="","",INDEX('Per Line'!$B$2:$B$501,$V56)&amp;"")</f>
        <v/>
      </c>
      <c r="C56" s="12" t="n"/>
      <c r="D56">
        <f>IF($V56="","",INDEX('Per Line'!$C$2:$C$501,$V56)&amp;"")</f>
        <v/>
      </c>
      <c r="E56">
        <f>IF($V56="","",INDEX('Per Line'!$D$2:$D$501,$V56)&amp;"")</f>
        <v/>
      </c>
      <c r="F56">
        <f>IF($V56="","",INDEX('Per Line'!$E$2:$E$501,$V56)&amp;"")</f>
        <v/>
      </c>
      <c r="G56">
        <f>IF($V56="","",INDEX('Per Line'!$F$2:$F$501,$V56))</f>
        <v/>
      </c>
      <c r="H56" s="7">
        <f>IF($V56="","",G56*T56/100)</f>
        <v/>
      </c>
      <c r="I56">
        <f>IF($V56="","",INDEX('Per Line'!$M$2:$M$501,$V56)&amp;"")</f>
        <v/>
      </c>
      <c r="J56">
        <f>IF($V56="","",INDEX('Per Line'!$O$2:$O$501,$V56)&amp;"")</f>
        <v/>
      </c>
      <c r="K56">
        <f>IF($V56="","",INDEX('Per Line'!$Q$2:$Q$501,$V56)&amp;"")</f>
        <v/>
      </c>
      <c r="L56">
        <f>IF($V56="","",Settings!$C$7)</f>
        <v/>
      </c>
      <c r="M56" s="7">
        <f>IF($V56="","",SUMIFS('Per Line'!$L$2:$L$501,'Per Line'!$B$2:$B$501,$B56,'Per Line'!$Y$2:$Y$501,0))</f>
        <v/>
      </c>
      <c r="N56" s="7">
        <f>IF($V56="","",M56*L56)</f>
        <v/>
      </c>
      <c r="O56">
        <f>IF($V56="","",Settings!$C$6)</f>
        <v/>
      </c>
      <c r="P56" s="7">
        <f>IF($V56="","",SUMIFS('Per Line'!$L$2:$L$501,'Per Line'!$B$2:$B$501,$B56,'Per Line'!$Y$2:$Y$501,1))</f>
        <v/>
      </c>
      <c r="Q56" s="7">
        <f>IF($V56="","",P56*O56)</f>
        <v/>
      </c>
      <c r="R56" s="7">
        <f>IF($V56="","",Q56+N56)</f>
        <v/>
      </c>
      <c r="S56" s="7">
        <f>IF($V56="","",T56-R56)</f>
        <v/>
      </c>
      <c r="T56" s="7">
        <f>IF($V56="","",M56+P56)</f>
        <v/>
      </c>
      <c r="U56" s="7">
        <f>IF($V56="","",T56-R56-H56)</f>
        <v/>
      </c>
      <c r="V56" s="13">
        <f>IF(ROWS($V$2:$V56)&lt;=MAX('Per Line'!$X$2:$X$501),MATCH(ROWS($V$2:$V56),'Per Line'!$X$2:$X$501,0),"")</f>
        <v/>
      </c>
    </row>
    <row r="57">
      <c r="A57" s="12" t="n"/>
      <c r="B57">
        <f>IF($V57="","",INDEX('Per Line'!$B$2:$B$501,$V57)&amp;"")</f>
        <v/>
      </c>
      <c r="C57" s="12" t="n"/>
      <c r="D57">
        <f>IF($V57="","",INDEX('Per Line'!$C$2:$C$501,$V57)&amp;"")</f>
        <v/>
      </c>
      <c r="E57">
        <f>IF($V57="","",INDEX('Per Line'!$D$2:$D$501,$V57)&amp;"")</f>
        <v/>
      </c>
      <c r="F57">
        <f>IF($V57="","",INDEX('Per Line'!$E$2:$E$501,$V57)&amp;"")</f>
        <v/>
      </c>
      <c r="G57">
        <f>IF($V57="","",INDEX('Per Line'!$F$2:$F$501,$V57))</f>
        <v/>
      </c>
      <c r="H57" s="7">
        <f>IF($V57="","",G57*T57/100)</f>
        <v/>
      </c>
      <c r="I57">
        <f>IF($V57="","",INDEX('Per Line'!$M$2:$M$501,$V57)&amp;"")</f>
        <v/>
      </c>
      <c r="J57">
        <f>IF($V57="","",INDEX('Per Line'!$O$2:$O$501,$V57)&amp;"")</f>
        <v/>
      </c>
      <c r="K57">
        <f>IF($V57="","",INDEX('Per Line'!$Q$2:$Q$501,$V57)&amp;"")</f>
        <v/>
      </c>
      <c r="L57">
        <f>IF($V57="","",Settings!$C$7)</f>
        <v/>
      </c>
      <c r="M57" s="7">
        <f>IF($V57="","",SUMIFS('Per Line'!$L$2:$L$501,'Per Line'!$B$2:$B$501,$B57,'Per Line'!$Y$2:$Y$501,0))</f>
        <v/>
      </c>
      <c r="N57" s="7">
        <f>IF($V57="","",M57*L57)</f>
        <v/>
      </c>
      <c r="O57">
        <f>IF($V57="","",Settings!$C$6)</f>
        <v/>
      </c>
      <c r="P57" s="7">
        <f>IF($V57="","",SUMIFS('Per Line'!$L$2:$L$501,'Per Line'!$B$2:$B$501,$B57,'Per Line'!$Y$2:$Y$501,1))</f>
        <v/>
      </c>
      <c r="Q57" s="7">
        <f>IF($V57="","",P57*O57)</f>
        <v/>
      </c>
      <c r="R57" s="7">
        <f>IF($V57="","",Q57+N57)</f>
        <v/>
      </c>
      <c r="S57" s="7">
        <f>IF($V57="","",T57-R57)</f>
        <v/>
      </c>
      <c r="T57" s="7">
        <f>IF($V57="","",M57+P57)</f>
        <v/>
      </c>
      <c r="U57" s="7">
        <f>IF($V57="","",T57-R57-H57)</f>
        <v/>
      </c>
      <c r="V57" s="13">
        <f>IF(ROWS($V$2:$V57)&lt;=MAX('Per Line'!$X$2:$X$501),MATCH(ROWS($V$2:$V57),'Per Line'!$X$2:$X$501,0),"")</f>
        <v/>
      </c>
    </row>
    <row r="58">
      <c r="A58" s="12" t="n"/>
      <c r="B58">
        <f>IF($V58="","",INDEX('Per Line'!$B$2:$B$501,$V58)&amp;"")</f>
        <v/>
      </c>
      <c r="C58" s="12" t="n"/>
      <c r="D58">
        <f>IF($V58="","",INDEX('Per Line'!$C$2:$C$501,$V58)&amp;"")</f>
        <v/>
      </c>
      <c r="E58">
        <f>IF($V58="","",INDEX('Per Line'!$D$2:$D$501,$V58)&amp;"")</f>
        <v/>
      </c>
      <c r="F58">
        <f>IF($V58="","",INDEX('Per Line'!$E$2:$E$501,$V58)&amp;"")</f>
        <v/>
      </c>
      <c r="G58">
        <f>IF($V58="","",INDEX('Per Line'!$F$2:$F$501,$V58))</f>
        <v/>
      </c>
      <c r="H58" s="7">
        <f>IF($V58="","",G58*T58/100)</f>
        <v/>
      </c>
      <c r="I58">
        <f>IF($V58="","",INDEX('Per Line'!$M$2:$M$501,$V58)&amp;"")</f>
        <v/>
      </c>
      <c r="J58">
        <f>IF($V58="","",INDEX('Per Line'!$O$2:$O$501,$V58)&amp;"")</f>
        <v/>
      </c>
      <c r="K58">
        <f>IF($V58="","",INDEX('Per Line'!$Q$2:$Q$501,$V58)&amp;"")</f>
        <v/>
      </c>
      <c r="L58">
        <f>IF($V58="","",Settings!$C$7)</f>
        <v/>
      </c>
      <c r="M58" s="7">
        <f>IF($V58="","",SUMIFS('Per Line'!$L$2:$L$501,'Per Line'!$B$2:$B$501,$B58,'Per Line'!$Y$2:$Y$501,0))</f>
        <v/>
      </c>
      <c r="N58" s="7">
        <f>IF($V58="","",M58*L58)</f>
        <v/>
      </c>
      <c r="O58">
        <f>IF($V58="","",Settings!$C$6)</f>
        <v/>
      </c>
      <c r="P58" s="7">
        <f>IF($V58="","",SUMIFS('Per Line'!$L$2:$L$501,'Per Line'!$B$2:$B$501,$B58,'Per Line'!$Y$2:$Y$501,1))</f>
        <v/>
      </c>
      <c r="Q58" s="7">
        <f>IF($V58="","",P58*O58)</f>
        <v/>
      </c>
      <c r="R58" s="7">
        <f>IF($V58="","",Q58+N58)</f>
        <v/>
      </c>
      <c r="S58" s="7">
        <f>IF($V58="","",T58-R58)</f>
        <v/>
      </c>
      <c r="T58" s="7">
        <f>IF($V58="","",M58+P58)</f>
        <v/>
      </c>
      <c r="U58" s="7">
        <f>IF($V58="","",T58-R58-H58)</f>
        <v/>
      </c>
      <c r="V58" s="13">
        <f>IF(ROWS($V$2:$V58)&lt;=MAX('Per Line'!$X$2:$X$501),MATCH(ROWS($V$2:$V58),'Per Line'!$X$2:$X$501,0),"")</f>
        <v/>
      </c>
    </row>
    <row r="59">
      <c r="A59" s="12" t="n"/>
      <c r="B59">
        <f>IF($V59="","",INDEX('Per Line'!$B$2:$B$501,$V59)&amp;"")</f>
        <v/>
      </c>
      <c r="C59" s="12" t="n"/>
      <c r="D59">
        <f>IF($V59="","",INDEX('Per Line'!$C$2:$C$501,$V59)&amp;"")</f>
        <v/>
      </c>
      <c r="E59">
        <f>IF($V59="","",INDEX('Per Line'!$D$2:$D$501,$V59)&amp;"")</f>
        <v/>
      </c>
      <c r="F59">
        <f>IF($V59="","",INDEX('Per Line'!$E$2:$E$501,$V59)&amp;"")</f>
        <v/>
      </c>
      <c r="G59">
        <f>IF($V59="","",INDEX('Per Line'!$F$2:$F$501,$V59))</f>
        <v/>
      </c>
      <c r="H59" s="7">
        <f>IF($V59="","",G59*T59/100)</f>
        <v/>
      </c>
      <c r="I59">
        <f>IF($V59="","",INDEX('Per Line'!$M$2:$M$501,$V59)&amp;"")</f>
        <v/>
      </c>
      <c r="J59">
        <f>IF($V59="","",INDEX('Per Line'!$O$2:$O$501,$V59)&amp;"")</f>
        <v/>
      </c>
      <c r="K59">
        <f>IF($V59="","",INDEX('Per Line'!$Q$2:$Q$501,$V59)&amp;"")</f>
        <v/>
      </c>
      <c r="L59">
        <f>IF($V59="","",Settings!$C$7)</f>
        <v/>
      </c>
      <c r="M59" s="7">
        <f>IF($V59="","",SUMIFS('Per Line'!$L$2:$L$501,'Per Line'!$B$2:$B$501,$B59,'Per Line'!$Y$2:$Y$501,0))</f>
        <v/>
      </c>
      <c r="N59" s="7">
        <f>IF($V59="","",M59*L59)</f>
        <v/>
      </c>
      <c r="O59">
        <f>IF($V59="","",Settings!$C$6)</f>
        <v/>
      </c>
      <c r="P59" s="7">
        <f>IF($V59="","",SUMIFS('Per Line'!$L$2:$L$501,'Per Line'!$B$2:$B$501,$B59,'Per Line'!$Y$2:$Y$501,1))</f>
        <v/>
      </c>
      <c r="Q59" s="7">
        <f>IF($V59="","",P59*O59)</f>
        <v/>
      </c>
      <c r="R59" s="7">
        <f>IF($V59="","",Q59+N59)</f>
        <v/>
      </c>
      <c r="S59" s="7">
        <f>IF($V59="","",T59-R59)</f>
        <v/>
      </c>
      <c r="T59" s="7">
        <f>IF($V59="","",M59+P59)</f>
        <v/>
      </c>
      <c r="U59" s="7">
        <f>IF($V59="","",T59-R59-H59)</f>
        <v/>
      </c>
      <c r="V59" s="13">
        <f>IF(ROWS($V$2:$V59)&lt;=MAX('Per Line'!$X$2:$X$501),MATCH(ROWS($V$2:$V59),'Per Line'!$X$2:$X$501,0),"")</f>
        <v/>
      </c>
    </row>
    <row r="60">
      <c r="A60" s="12" t="n"/>
      <c r="B60">
        <f>IF($V60="","",INDEX('Per Line'!$B$2:$B$501,$V60)&amp;"")</f>
        <v/>
      </c>
      <c r="C60" s="12" t="n"/>
      <c r="D60">
        <f>IF($V60="","",INDEX('Per Line'!$C$2:$C$501,$V60)&amp;"")</f>
        <v/>
      </c>
      <c r="E60">
        <f>IF($V60="","",INDEX('Per Line'!$D$2:$D$501,$V60)&amp;"")</f>
        <v/>
      </c>
      <c r="F60">
        <f>IF($V60="","",INDEX('Per Line'!$E$2:$E$501,$V60)&amp;"")</f>
        <v/>
      </c>
      <c r="G60">
        <f>IF($V60="","",INDEX('Per Line'!$F$2:$F$501,$V60))</f>
        <v/>
      </c>
      <c r="H60" s="7">
        <f>IF($V60="","",G60*T60/100)</f>
        <v/>
      </c>
      <c r="I60">
        <f>IF($V60="","",INDEX('Per Line'!$M$2:$M$501,$V60)&amp;"")</f>
        <v/>
      </c>
      <c r="J60">
        <f>IF($V60="","",INDEX('Per Line'!$O$2:$O$501,$V60)&amp;"")</f>
        <v/>
      </c>
      <c r="K60">
        <f>IF($V60="","",INDEX('Per Line'!$Q$2:$Q$501,$V60)&amp;"")</f>
        <v/>
      </c>
      <c r="L60">
        <f>IF($V60="","",Settings!$C$7)</f>
        <v/>
      </c>
      <c r="M60" s="7">
        <f>IF($V60="","",SUMIFS('Per Line'!$L$2:$L$501,'Per Line'!$B$2:$B$501,$B60,'Per Line'!$Y$2:$Y$501,0))</f>
        <v/>
      </c>
      <c r="N60" s="7">
        <f>IF($V60="","",M60*L60)</f>
        <v/>
      </c>
      <c r="O60">
        <f>IF($V60="","",Settings!$C$6)</f>
        <v/>
      </c>
      <c r="P60" s="7">
        <f>IF($V60="","",SUMIFS('Per Line'!$L$2:$L$501,'Per Line'!$B$2:$B$501,$B60,'Per Line'!$Y$2:$Y$501,1))</f>
        <v/>
      </c>
      <c r="Q60" s="7">
        <f>IF($V60="","",P60*O60)</f>
        <v/>
      </c>
      <c r="R60" s="7">
        <f>IF($V60="","",Q60+N60)</f>
        <v/>
      </c>
      <c r="S60" s="7">
        <f>IF($V60="","",T60-R60)</f>
        <v/>
      </c>
      <c r="T60" s="7">
        <f>IF($V60="","",M60+P60)</f>
        <v/>
      </c>
      <c r="U60" s="7">
        <f>IF($V60="","",T60-R60-H60)</f>
        <v/>
      </c>
      <c r="V60" s="13">
        <f>IF(ROWS($V$2:$V60)&lt;=MAX('Per Line'!$X$2:$X$501),MATCH(ROWS($V$2:$V60),'Per Line'!$X$2:$X$501,0),"")</f>
        <v/>
      </c>
    </row>
    <row r="61">
      <c r="A61" s="12" t="n"/>
      <c r="B61">
        <f>IF($V61="","",INDEX('Per Line'!$B$2:$B$501,$V61)&amp;"")</f>
        <v/>
      </c>
      <c r="C61" s="12" t="n"/>
      <c r="D61">
        <f>IF($V61="","",INDEX('Per Line'!$C$2:$C$501,$V61)&amp;"")</f>
        <v/>
      </c>
      <c r="E61">
        <f>IF($V61="","",INDEX('Per Line'!$D$2:$D$501,$V61)&amp;"")</f>
        <v/>
      </c>
      <c r="F61">
        <f>IF($V61="","",INDEX('Per Line'!$E$2:$E$501,$V61)&amp;"")</f>
        <v/>
      </c>
      <c r="G61">
        <f>IF($V61="","",INDEX('Per Line'!$F$2:$F$501,$V61))</f>
        <v/>
      </c>
      <c r="H61" s="7">
        <f>IF($V61="","",G61*T61/100)</f>
        <v/>
      </c>
      <c r="I61">
        <f>IF($V61="","",INDEX('Per Line'!$M$2:$M$501,$V61)&amp;"")</f>
        <v/>
      </c>
      <c r="J61">
        <f>IF($V61="","",INDEX('Per Line'!$O$2:$O$501,$V61)&amp;"")</f>
        <v/>
      </c>
      <c r="K61">
        <f>IF($V61="","",INDEX('Per Line'!$Q$2:$Q$501,$V61)&amp;"")</f>
        <v/>
      </c>
      <c r="L61">
        <f>IF($V61="","",Settings!$C$7)</f>
        <v/>
      </c>
      <c r="M61" s="7">
        <f>IF($V61="","",SUMIFS('Per Line'!$L$2:$L$501,'Per Line'!$B$2:$B$501,$B61,'Per Line'!$Y$2:$Y$501,0))</f>
        <v/>
      </c>
      <c r="N61" s="7">
        <f>IF($V61="","",M61*L61)</f>
        <v/>
      </c>
      <c r="O61">
        <f>IF($V61="","",Settings!$C$6)</f>
        <v/>
      </c>
      <c r="P61" s="7">
        <f>IF($V61="","",SUMIFS('Per Line'!$L$2:$L$501,'Per Line'!$B$2:$B$501,$B61,'Per Line'!$Y$2:$Y$501,1))</f>
        <v/>
      </c>
      <c r="Q61" s="7">
        <f>IF($V61="","",P61*O61)</f>
        <v/>
      </c>
      <c r="R61" s="7">
        <f>IF($V61="","",Q61+N61)</f>
        <v/>
      </c>
      <c r="S61" s="7">
        <f>IF($V61="","",T61-R61)</f>
        <v/>
      </c>
      <c r="T61" s="7">
        <f>IF($V61="","",M61+P61)</f>
        <v/>
      </c>
      <c r="U61" s="7">
        <f>IF($V61="","",T61-R61-H61)</f>
        <v/>
      </c>
      <c r="V61" s="13">
        <f>IF(ROWS($V$2:$V61)&lt;=MAX('Per Line'!$X$2:$X$501),MATCH(ROWS($V$2:$V61),'Per Line'!$X$2:$X$501,0),"")</f>
        <v/>
      </c>
    </row>
    <row r="62">
      <c r="A62" s="12" t="n"/>
      <c r="B62">
        <f>IF($V62="","",INDEX('Per Line'!$B$2:$B$501,$V62)&amp;"")</f>
        <v/>
      </c>
      <c r="C62" s="12" t="n"/>
      <c r="D62">
        <f>IF($V62="","",INDEX('Per Line'!$C$2:$C$501,$V62)&amp;"")</f>
        <v/>
      </c>
      <c r="E62">
        <f>IF($V62="","",INDEX('Per Line'!$D$2:$D$501,$V62)&amp;"")</f>
        <v/>
      </c>
      <c r="F62">
        <f>IF($V62="","",INDEX('Per Line'!$E$2:$E$501,$V62)&amp;"")</f>
        <v/>
      </c>
      <c r="G62">
        <f>IF($V62="","",INDEX('Per Line'!$F$2:$F$501,$V62))</f>
        <v/>
      </c>
      <c r="H62" s="7">
        <f>IF($V62="","",G62*T62/100)</f>
        <v/>
      </c>
      <c r="I62">
        <f>IF($V62="","",INDEX('Per Line'!$M$2:$M$501,$V62)&amp;"")</f>
        <v/>
      </c>
      <c r="J62">
        <f>IF($V62="","",INDEX('Per Line'!$O$2:$O$501,$V62)&amp;"")</f>
        <v/>
      </c>
      <c r="K62">
        <f>IF($V62="","",INDEX('Per Line'!$Q$2:$Q$501,$V62)&amp;"")</f>
        <v/>
      </c>
      <c r="L62">
        <f>IF($V62="","",Settings!$C$7)</f>
        <v/>
      </c>
      <c r="M62" s="7">
        <f>IF($V62="","",SUMIFS('Per Line'!$L$2:$L$501,'Per Line'!$B$2:$B$501,$B62,'Per Line'!$Y$2:$Y$501,0))</f>
        <v/>
      </c>
      <c r="N62" s="7">
        <f>IF($V62="","",M62*L62)</f>
        <v/>
      </c>
      <c r="O62">
        <f>IF($V62="","",Settings!$C$6)</f>
        <v/>
      </c>
      <c r="P62" s="7">
        <f>IF($V62="","",SUMIFS('Per Line'!$L$2:$L$501,'Per Line'!$B$2:$B$501,$B62,'Per Line'!$Y$2:$Y$501,1))</f>
        <v/>
      </c>
      <c r="Q62" s="7">
        <f>IF($V62="","",P62*O62)</f>
        <v/>
      </c>
      <c r="R62" s="7">
        <f>IF($V62="","",Q62+N62)</f>
        <v/>
      </c>
      <c r="S62" s="7">
        <f>IF($V62="","",T62-R62)</f>
        <v/>
      </c>
      <c r="T62" s="7">
        <f>IF($V62="","",M62+P62)</f>
        <v/>
      </c>
      <c r="U62" s="7">
        <f>IF($V62="","",T62-R62-H62)</f>
        <v/>
      </c>
      <c r="V62" s="13">
        <f>IF(ROWS($V$2:$V62)&lt;=MAX('Per Line'!$X$2:$X$501),MATCH(ROWS($V$2:$V62),'Per Line'!$X$2:$X$501,0),"")</f>
        <v/>
      </c>
    </row>
    <row r="63">
      <c r="A63" s="12" t="n"/>
      <c r="B63">
        <f>IF($V63="","",INDEX('Per Line'!$B$2:$B$501,$V63)&amp;"")</f>
        <v/>
      </c>
      <c r="C63" s="12" t="n"/>
      <c r="D63">
        <f>IF($V63="","",INDEX('Per Line'!$C$2:$C$501,$V63)&amp;"")</f>
        <v/>
      </c>
      <c r="E63">
        <f>IF($V63="","",INDEX('Per Line'!$D$2:$D$501,$V63)&amp;"")</f>
        <v/>
      </c>
      <c r="F63">
        <f>IF($V63="","",INDEX('Per Line'!$E$2:$E$501,$V63)&amp;"")</f>
        <v/>
      </c>
      <c r="G63">
        <f>IF($V63="","",INDEX('Per Line'!$F$2:$F$501,$V63))</f>
        <v/>
      </c>
      <c r="H63" s="7">
        <f>IF($V63="","",G63*T63/100)</f>
        <v/>
      </c>
      <c r="I63">
        <f>IF($V63="","",INDEX('Per Line'!$M$2:$M$501,$V63)&amp;"")</f>
        <v/>
      </c>
      <c r="J63">
        <f>IF($V63="","",INDEX('Per Line'!$O$2:$O$501,$V63)&amp;"")</f>
        <v/>
      </c>
      <c r="K63">
        <f>IF($V63="","",INDEX('Per Line'!$Q$2:$Q$501,$V63)&amp;"")</f>
        <v/>
      </c>
      <c r="L63">
        <f>IF($V63="","",Settings!$C$7)</f>
        <v/>
      </c>
      <c r="M63" s="7">
        <f>IF($V63="","",SUMIFS('Per Line'!$L$2:$L$501,'Per Line'!$B$2:$B$501,$B63,'Per Line'!$Y$2:$Y$501,0))</f>
        <v/>
      </c>
      <c r="N63" s="7">
        <f>IF($V63="","",M63*L63)</f>
        <v/>
      </c>
      <c r="O63">
        <f>IF($V63="","",Settings!$C$6)</f>
        <v/>
      </c>
      <c r="P63" s="7">
        <f>IF($V63="","",SUMIFS('Per Line'!$L$2:$L$501,'Per Line'!$B$2:$B$501,$B63,'Per Line'!$Y$2:$Y$501,1))</f>
        <v/>
      </c>
      <c r="Q63" s="7">
        <f>IF($V63="","",P63*O63)</f>
        <v/>
      </c>
      <c r="R63" s="7">
        <f>IF($V63="","",Q63+N63)</f>
        <v/>
      </c>
      <c r="S63" s="7">
        <f>IF($V63="","",T63-R63)</f>
        <v/>
      </c>
      <c r="T63" s="7">
        <f>IF($V63="","",M63+P63)</f>
        <v/>
      </c>
      <c r="U63" s="7">
        <f>IF($V63="","",T63-R63-H63)</f>
        <v/>
      </c>
      <c r="V63" s="13">
        <f>IF(ROWS($V$2:$V63)&lt;=MAX('Per Line'!$X$2:$X$501),MATCH(ROWS($V$2:$V63),'Per Line'!$X$2:$X$501,0),"")</f>
        <v/>
      </c>
    </row>
    <row r="64">
      <c r="A64" s="12" t="n"/>
      <c r="B64">
        <f>IF($V64="","",INDEX('Per Line'!$B$2:$B$501,$V64)&amp;"")</f>
        <v/>
      </c>
      <c r="C64" s="12" t="n"/>
      <c r="D64">
        <f>IF($V64="","",INDEX('Per Line'!$C$2:$C$501,$V64)&amp;"")</f>
        <v/>
      </c>
      <c r="E64">
        <f>IF($V64="","",INDEX('Per Line'!$D$2:$D$501,$V64)&amp;"")</f>
        <v/>
      </c>
      <c r="F64">
        <f>IF($V64="","",INDEX('Per Line'!$E$2:$E$501,$V64)&amp;"")</f>
        <v/>
      </c>
      <c r="G64">
        <f>IF($V64="","",INDEX('Per Line'!$F$2:$F$501,$V64))</f>
        <v/>
      </c>
      <c r="H64" s="7">
        <f>IF($V64="","",G64*T64/100)</f>
        <v/>
      </c>
      <c r="I64">
        <f>IF($V64="","",INDEX('Per Line'!$M$2:$M$501,$V64)&amp;"")</f>
        <v/>
      </c>
      <c r="J64">
        <f>IF($V64="","",INDEX('Per Line'!$O$2:$O$501,$V64)&amp;"")</f>
        <v/>
      </c>
      <c r="K64">
        <f>IF($V64="","",INDEX('Per Line'!$Q$2:$Q$501,$V64)&amp;"")</f>
        <v/>
      </c>
      <c r="L64">
        <f>IF($V64="","",Settings!$C$7)</f>
        <v/>
      </c>
      <c r="M64" s="7">
        <f>IF($V64="","",SUMIFS('Per Line'!$L$2:$L$501,'Per Line'!$B$2:$B$501,$B64,'Per Line'!$Y$2:$Y$501,0))</f>
        <v/>
      </c>
      <c r="N64" s="7">
        <f>IF($V64="","",M64*L64)</f>
        <v/>
      </c>
      <c r="O64">
        <f>IF($V64="","",Settings!$C$6)</f>
        <v/>
      </c>
      <c r="P64" s="7">
        <f>IF($V64="","",SUMIFS('Per Line'!$L$2:$L$501,'Per Line'!$B$2:$B$501,$B64,'Per Line'!$Y$2:$Y$501,1))</f>
        <v/>
      </c>
      <c r="Q64" s="7">
        <f>IF($V64="","",P64*O64)</f>
        <v/>
      </c>
      <c r="R64" s="7">
        <f>IF($V64="","",Q64+N64)</f>
        <v/>
      </c>
      <c r="S64" s="7">
        <f>IF($V64="","",T64-R64)</f>
        <v/>
      </c>
      <c r="T64" s="7">
        <f>IF($V64="","",M64+P64)</f>
        <v/>
      </c>
      <c r="U64" s="7">
        <f>IF($V64="","",T64-R64-H64)</f>
        <v/>
      </c>
      <c r="V64" s="13">
        <f>IF(ROWS($V$2:$V64)&lt;=MAX('Per Line'!$X$2:$X$501),MATCH(ROWS($V$2:$V64),'Per Line'!$X$2:$X$501,0),"")</f>
        <v/>
      </c>
    </row>
    <row r="65">
      <c r="A65" s="12" t="n"/>
      <c r="B65">
        <f>IF($V65="","",INDEX('Per Line'!$B$2:$B$501,$V65)&amp;"")</f>
        <v/>
      </c>
      <c r="C65" s="12" t="n"/>
      <c r="D65">
        <f>IF($V65="","",INDEX('Per Line'!$C$2:$C$501,$V65)&amp;"")</f>
        <v/>
      </c>
      <c r="E65">
        <f>IF($V65="","",INDEX('Per Line'!$D$2:$D$501,$V65)&amp;"")</f>
        <v/>
      </c>
      <c r="F65">
        <f>IF($V65="","",INDEX('Per Line'!$E$2:$E$501,$V65)&amp;"")</f>
        <v/>
      </c>
      <c r="G65">
        <f>IF($V65="","",INDEX('Per Line'!$F$2:$F$501,$V65))</f>
        <v/>
      </c>
      <c r="H65" s="7">
        <f>IF($V65="","",G65*T65/100)</f>
        <v/>
      </c>
      <c r="I65">
        <f>IF($V65="","",INDEX('Per Line'!$M$2:$M$501,$V65)&amp;"")</f>
        <v/>
      </c>
      <c r="J65">
        <f>IF($V65="","",INDEX('Per Line'!$O$2:$O$501,$V65)&amp;"")</f>
        <v/>
      </c>
      <c r="K65">
        <f>IF($V65="","",INDEX('Per Line'!$Q$2:$Q$501,$V65)&amp;"")</f>
        <v/>
      </c>
      <c r="L65">
        <f>IF($V65="","",Settings!$C$7)</f>
        <v/>
      </c>
      <c r="M65" s="7">
        <f>IF($V65="","",SUMIFS('Per Line'!$L$2:$L$501,'Per Line'!$B$2:$B$501,$B65,'Per Line'!$Y$2:$Y$501,0))</f>
        <v/>
      </c>
      <c r="N65" s="7">
        <f>IF($V65="","",M65*L65)</f>
        <v/>
      </c>
      <c r="O65">
        <f>IF($V65="","",Settings!$C$6)</f>
        <v/>
      </c>
      <c r="P65" s="7">
        <f>IF($V65="","",SUMIFS('Per Line'!$L$2:$L$501,'Per Line'!$B$2:$B$501,$B65,'Per Line'!$Y$2:$Y$501,1))</f>
        <v/>
      </c>
      <c r="Q65" s="7">
        <f>IF($V65="","",P65*O65)</f>
        <v/>
      </c>
      <c r="R65" s="7">
        <f>IF($V65="","",Q65+N65)</f>
        <v/>
      </c>
      <c r="S65" s="7">
        <f>IF($V65="","",T65-R65)</f>
        <v/>
      </c>
      <c r="T65" s="7">
        <f>IF($V65="","",M65+P65)</f>
        <v/>
      </c>
      <c r="U65" s="7">
        <f>IF($V65="","",T65-R65-H65)</f>
        <v/>
      </c>
      <c r="V65" s="13">
        <f>IF(ROWS($V$2:$V65)&lt;=MAX('Per Line'!$X$2:$X$501),MATCH(ROWS($V$2:$V65),'Per Line'!$X$2:$X$501,0),"")</f>
        <v/>
      </c>
    </row>
    <row r="66">
      <c r="A66" s="12" t="n"/>
      <c r="B66">
        <f>IF($V66="","",INDEX('Per Line'!$B$2:$B$501,$V66)&amp;"")</f>
        <v/>
      </c>
      <c r="C66" s="12" t="n"/>
      <c r="D66">
        <f>IF($V66="","",INDEX('Per Line'!$C$2:$C$501,$V66)&amp;"")</f>
        <v/>
      </c>
      <c r="E66">
        <f>IF($V66="","",INDEX('Per Line'!$D$2:$D$501,$V66)&amp;"")</f>
        <v/>
      </c>
      <c r="F66">
        <f>IF($V66="","",INDEX('Per Line'!$E$2:$E$501,$V66)&amp;"")</f>
        <v/>
      </c>
      <c r="G66">
        <f>IF($V66="","",INDEX('Per Line'!$F$2:$F$501,$V66))</f>
        <v/>
      </c>
      <c r="H66" s="7">
        <f>IF($V66="","",G66*T66/100)</f>
        <v/>
      </c>
      <c r="I66">
        <f>IF($V66="","",INDEX('Per Line'!$M$2:$M$501,$V66)&amp;"")</f>
        <v/>
      </c>
      <c r="J66">
        <f>IF($V66="","",INDEX('Per Line'!$O$2:$O$501,$V66)&amp;"")</f>
        <v/>
      </c>
      <c r="K66">
        <f>IF($V66="","",INDEX('Per Line'!$Q$2:$Q$501,$V66)&amp;"")</f>
        <v/>
      </c>
      <c r="L66">
        <f>IF($V66="","",Settings!$C$7)</f>
        <v/>
      </c>
      <c r="M66" s="7">
        <f>IF($V66="","",SUMIFS('Per Line'!$L$2:$L$501,'Per Line'!$B$2:$B$501,$B66,'Per Line'!$Y$2:$Y$501,0))</f>
        <v/>
      </c>
      <c r="N66" s="7">
        <f>IF($V66="","",M66*L66)</f>
        <v/>
      </c>
      <c r="O66">
        <f>IF($V66="","",Settings!$C$6)</f>
        <v/>
      </c>
      <c r="P66" s="7">
        <f>IF($V66="","",SUMIFS('Per Line'!$L$2:$L$501,'Per Line'!$B$2:$B$501,$B66,'Per Line'!$Y$2:$Y$501,1))</f>
        <v/>
      </c>
      <c r="Q66" s="7">
        <f>IF($V66="","",P66*O66)</f>
        <v/>
      </c>
      <c r="R66" s="7">
        <f>IF($V66="","",Q66+N66)</f>
        <v/>
      </c>
      <c r="S66" s="7">
        <f>IF($V66="","",T66-R66)</f>
        <v/>
      </c>
      <c r="T66" s="7">
        <f>IF($V66="","",M66+P66)</f>
        <v/>
      </c>
      <c r="U66" s="7">
        <f>IF($V66="","",T66-R66-H66)</f>
        <v/>
      </c>
      <c r="V66" s="13">
        <f>IF(ROWS($V$2:$V66)&lt;=MAX('Per Line'!$X$2:$X$501),MATCH(ROWS($V$2:$V66),'Per Line'!$X$2:$X$501,0),"")</f>
        <v/>
      </c>
    </row>
    <row r="67">
      <c r="A67" s="12" t="n"/>
      <c r="B67">
        <f>IF($V67="","",INDEX('Per Line'!$B$2:$B$501,$V67)&amp;"")</f>
        <v/>
      </c>
      <c r="C67" s="12" t="n"/>
      <c r="D67">
        <f>IF($V67="","",INDEX('Per Line'!$C$2:$C$501,$V67)&amp;"")</f>
        <v/>
      </c>
      <c r="E67">
        <f>IF($V67="","",INDEX('Per Line'!$D$2:$D$501,$V67)&amp;"")</f>
        <v/>
      </c>
      <c r="F67">
        <f>IF($V67="","",INDEX('Per Line'!$E$2:$E$501,$V67)&amp;"")</f>
        <v/>
      </c>
      <c r="G67">
        <f>IF($V67="","",INDEX('Per Line'!$F$2:$F$501,$V67))</f>
        <v/>
      </c>
      <c r="H67" s="7">
        <f>IF($V67="","",G67*T67/100)</f>
        <v/>
      </c>
      <c r="I67">
        <f>IF($V67="","",INDEX('Per Line'!$M$2:$M$501,$V67)&amp;"")</f>
        <v/>
      </c>
      <c r="J67">
        <f>IF($V67="","",INDEX('Per Line'!$O$2:$O$501,$V67)&amp;"")</f>
        <v/>
      </c>
      <c r="K67">
        <f>IF($V67="","",INDEX('Per Line'!$Q$2:$Q$501,$V67)&amp;"")</f>
        <v/>
      </c>
      <c r="L67">
        <f>IF($V67="","",Settings!$C$7)</f>
        <v/>
      </c>
      <c r="M67" s="7">
        <f>IF($V67="","",SUMIFS('Per Line'!$L$2:$L$501,'Per Line'!$B$2:$B$501,$B67,'Per Line'!$Y$2:$Y$501,0))</f>
        <v/>
      </c>
      <c r="N67" s="7">
        <f>IF($V67="","",M67*L67)</f>
        <v/>
      </c>
      <c r="O67">
        <f>IF($V67="","",Settings!$C$6)</f>
        <v/>
      </c>
      <c r="P67" s="7">
        <f>IF($V67="","",SUMIFS('Per Line'!$L$2:$L$501,'Per Line'!$B$2:$B$501,$B67,'Per Line'!$Y$2:$Y$501,1))</f>
        <v/>
      </c>
      <c r="Q67" s="7">
        <f>IF($V67="","",P67*O67)</f>
        <v/>
      </c>
      <c r="R67" s="7">
        <f>IF($V67="","",Q67+N67)</f>
        <v/>
      </c>
      <c r="S67" s="7">
        <f>IF($V67="","",T67-R67)</f>
        <v/>
      </c>
      <c r="T67" s="7">
        <f>IF($V67="","",M67+P67)</f>
        <v/>
      </c>
      <c r="U67" s="7">
        <f>IF($V67="","",T67-R67-H67)</f>
        <v/>
      </c>
      <c r="V67" s="13">
        <f>IF(ROWS($V$2:$V67)&lt;=MAX('Per Line'!$X$2:$X$501),MATCH(ROWS($V$2:$V67),'Per Line'!$X$2:$X$501,0),"")</f>
        <v/>
      </c>
    </row>
    <row r="68">
      <c r="A68" s="12" t="n"/>
      <c r="B68">
        <f>IF($V68="","",INDEX('Per Line'!$B$2:$B$501,$V68)&amp;"")</f>
        <v/>
      </c>
      <c r="C68" s="12" t="n"/>
      <c r="D68">
        <f>IF($V68="","",INDEX('Per Line'!$C$2:$C$501,$V68)&amp;"")</f>
        <v/>
      </c>
      <c r="E68">
        <f>IF($V68="","",INDEX('Per Line'!$D$2:$D$501,$V68)&amp;"")</f>
        <v/>
      </c>
      <c r="F68">
        <f>IF($V68="","",INDEX('Per Line'!$E$2:$E$501,$V68)&amp;"")</f>
        <v/>
      </c>
      <c r="G68">
        <f>IF($V68="","",INDEX('Per Line'!$F$2:$F$501,$V68))</f>
        <v/>
      </c>
      <c r="H68" s="7">
        <f>IF($V68="","",G68*T68/100)</f>
        <v/>
      </c>
      <c r="I68">
        <f>IF($V68="","",INDEX('Per Line'!$M$2:$M$501,$V68)&amp;"")</f>
        <v/>
      </c>
      <c r="J68">
        <f>IF($V68="","",INDEX('Per Line'!$O$2:$O$501,$V68)&amp;"")</f>
        <v/>
      </c>
      <c r="K68">
        <f>IF($V68="","",INDEX('Per Line'!$Q$2:$Q$501,$V68)&amp;"")</f>
        <v/>
      </c>
      <c r="L68">
        <f>IF($V68="","",Settings!$C$7)</f>
        <v/>
      </c>
      <c r="M68" s="7">
        <f>IF($V68="","",SUMIFS('Per Line'!$L$2:$L$501,'Per Line'!$B$2:$B$501,$B68,'Per Line'!$Y$2:$Y$501,0))</f>
        <v/>
      </c>
      <c r="N68" s="7">
        <f>IF($V68="","",M68*L68)</f>
        <v/>
      </c>
      <c r="O68">
        <f>IF($V68="","",Settings!$C$6)</f>
        <v/>
      </c>
      <c r="P68" s="7">
        <f>IF($V68="","",SUMIFS('Per Line'!$L$2:$L$501,'Per Line'!$B$2:$B$501,$B68,'Per Line'!$Y$2:$Y$501,1))</f>
        <v/>
      </c>
      <c r="Q68" s="7">
        <f>IF($V68="","",P68*O68)</f>
        <v/>
      </c>
      <c r="R68" s="7">
        <f>IF($V68="","",Q68+N68)</f>
        <v/>
      </c>
      <c r="S68" s="7">
        <f>IF($V68="","",T68-R68)</f>
        <v/>
      </c>
      <c r="T68" s="7">
        <f>IF($V68="","",M68+P68)</f>
        <v/>
      </c>
      <c r="U68" s="7">
        <f>IF($V68="","",T68-R68-H68)</f>
        <v/>
      </c>
      <c r="V68" s="13">
        <f>IF(ROWS($V$2:$V68)&lt;=MAX('Per Line'!$X$2:$X$501),MATCH(ROWS($V$2:$V68),'Per Line'!$X$2:$X$501,0),"")</f>
        <v/>
      </c>
    </row>
    <row r="69">
      <c r="A69" s="12" t="n"/>
      <c r="B69">
        <f>IF($V69="","",INDEX('Per Line'!$B$2:$B$501,$V69)&amp;"")</f>
        <v/>
      </c>
      <c r="C69" s="12" t="n"/>
      <c r="D69">
        <f>IF($V69="","",INDEX('Per Line'!$C$2:$C$501,$V69)&amp;"")</f>
        <v/>
      </c>
      <c r="E69">
        <f>IF($V69="","",INDEX('Per Line'!$D$2:$D$501,$V69)&amp;"")</f>
        <v/>
      </c>
      <c r="F69">
        <f>IF($V69="","",INDEX('Per Line'!$E$2:$E$501,$V69)&amp;"")</f>
        <v/>
      </c>
      <c r="G69">
        <f>IF($V69="","",INDEX('Per Line'!$F$2:$F$501,$V69))</f>
        <v/>
      </c>
      <c r="H69" s="7">
        <f>IF($V69="","",G69*T69/100)</f>
        <v/>
      </c>
      <c r="I69">
        <f>IF($V69="","",INDEX('Per Line'!$M$2:$M$501,$V69)&amp;"")</f>
        <v/>
      </c>
      <c r="J69">
        <f>IF($V69="","",INDEX('Per Line'!$O$2:$O$501,$V69)&amp;"")</f>
        <v/>
      </c>
      <c r="K69">
        <f>IF($V69="","",INDEX('Per Line'!$Q$2:$Q$501,$V69)&amp;"")</f>
        <v/>
      </c>
      <c r="L69">
        <f>IF($V69="","",Settings!$C$7)</f>
        <v/>
      </c>
      <c r="M69" s="7">
        <f>IF($V69="","",SUMIFS('Per Line'!$L$2:$L$501,'Per Line'!$B$2:$B$501,$B69,'Per Line'!$Y$2:$Y$501,0))</f>
        <v/>
      </c>
      <c r="N69" s="7">
        <f>IF($V69="","",M69*L69)</f>
        <v/>
      </c>
      <c r="O69">
        <f>IF($V69="","",Settings!$C$6)</f>
        <v/>
      </c>
      <c r="P69" s="7">
        <f>IF($V69="","",SUMIFS('Per Line'!$L$2:$L$501,'Per Line'!$B$2:$B$501,$B69,'Per Line'!$Y$2:$Y$501,1))</f>
        <v/>
      </c>
      <c r="Q69" s="7">
        <f>IF($V69="","",P69*O69)</f>
        <v/>
      </c>
      <c r="R69" s="7">
        <f>IF($V69="","",Q69+N69)</f>
        <v/>
      </c>
      <c r="S69" s="7">
        <f>IF($V69="","",T69-R69)</f>
        <v/>
      </c>
      <c r="T69" s="7">
        <f>IF($V69="","",M69+P69)</f>
        <v/>
      </c>
      <c r="U69" s="7">
        <f>IF($V69="","",T69-R69-H69)</f>
        <v/>
      </c>
      <c r="V69" s="13">
        <f>IF(ROWS($V$2:$V69)&lt;=MAX('Per Line'!$X$2:$X$501),MATCH(ROWS($V$2:$V69),'Per Line'!$X$2:$X$501,0),"")</f>
        <v/>
      </c>
    </row>
    <row r="70">
      <c r="A70" s="12" t="n"/>
      <c r="B70">
        <f>IF($V70="","",INDEX('Per Line'!$B$2:$B$501,$V70)&amp;"")</f>
        <v/>
      </c>
      <c r="C70" s="12" t="n"/>
      <c r="D70">
        <f>IF($V70="","",INDEX('Per Line'!$C$2:$C$501,$V70)&amp;"")</f>
        <v/>
      </c>
      <c r="E70">
        <f>IF($V70="","",INDEX('Per Line'!$D$2:$D$501,$V70)&amp;"")</f>
        <v/>
      </c>
      <c r="F70">
        <f>IF($V70="","",INDEX('Per Line'!$E$2:$E$501,$V70)&amp;"")</f>
        <v/>
      </c>
      <c r="G70">
        <f>IF($V70="","",INDEX('Per Line'!$F$2:$F$501,$V70))</f>
        <v/>
      </c>
      <c r="H70" s="7">
        <f>IF($V70="","",G70*T70/100)</f>
        <v/>
      </c>
      <c r="I70">
        <f>IF($V70="","",INDEX('Per Line'!$M$2:$M$501,$V70)&amp;"")</f>
        <v/>
      </c>
      <c r="J70">
        <f>IF($V70="","",INDEX('Per Line'!$O$2:$O$501,$V70)&amp;"")</f>
        <v/>
      </c>
      <c r="K70">
        <f>IF($V70="","",INDEX('Per Line'!$Q$2:$Q$501,$V70)&amp;"")</f>
        <v/>
      </c>
      <c r="L70">
        <f>IF($V70="","",Settings!$C$7)</f>
        <v/>
      </c>
      <c r="M70" s="7">
        <f>IF($V70="","",SUMIFS('Per Line'!$L$2:$L$501,'Per Line'!$B$2:$B$501,$B70,'Per Line'!$Y$2:$Y$501,0))</f>
        <v/>
      </c>
      <c r="N70" s="7">
        <f>IF($V70="","",M70*L70)</f>
        <v/>
      </c>
      <c r="O70">
        <f>IF($V70="","",Settings!$C$6)</f>
        <v/>
      </c>
      <c r="P70" s="7">
        <f>IF($V70="","",SUMIFS('Per Line'!$L$2:$L$501,'Per Line'!$B$2:$B$501,$B70,'Per Line'!$Y$2:$Y$501,1))</f>
        <v/>
      </c>
      <c r="Q70" s="7">
        <f>IF($V70="","",P70*O70)</f>
        <v/>
      </c>
      <c r="R70" s="7">
        <f>IF($V70="","",Q70+N70)</f>
        <v/>
      </c>
      <c r="S70" s="7">
        <f>IF($V70="","",T70-R70)</f>
        <v/>
      </c>
      <c r="T70" s="7">
        <f>IF($V70="","",M70+P70)</f>
        <v/>
      </c>
      <c r="U70" s="7">
        <f>IF($V70="","",T70-R70-H70)</f>
        <v/>
      </c>
      <c r="V70" s="13">
        <f>IF(ROWS($V$2:$V70)&lt;=MAX('Per Line'!$X$2:$X$501),MATCH(ROWS($V$2:$V70),'Per Line'!$X$2:$X$501,0),"")</f>
        <v/>
      </c>
    </row>
    <row r="71">
      <c r="A71" s="12" t="n"/>
      <c r="B71">
        <f>IF($V71="","",INDEX('Per Line'!$B$2:$B$501,$V71)&amp;"")</f>
        <v/>
      </c>
      <c r="C71" s="12" t="n"/>
      <c r="D71">
        <f>IF($V71="","",INDEX('Per Line'!$C$2:$C$501,$V71)&amp;"")</f>
        <v/>
      </c>
      <c r="E71">
        <f>IF($V71="","",INDEX('Per Line'!$D$2:$D$501,$V71)&amp;"")</f>
        <v/>
      </c>
      <c r="F71">
        <f>IF($V71="","",INDEX('Per Line'!$E$2:$E$501,$V71)&amp;"")</f>
        <v/>
      </c>
      <c r="G71">
        <f>IF($V71="","",INDEX('Per Line'!$F$2:$F$501,$V71))</f>
        <v/>
      </c>
      <c r="H71" s="7">
        <f>IF($V71="","",G71*T71/100)</f>
        <v/>
      </c>
      <c r="I71">
        <f>IF($V71="","",INDEX('Per Line'!$M$2:$M$501,$V71)&amp;"")</f>
        <v/>
      </c>
      <c r="J71">
        <f>IF($V71="","",INDEX('Per Line'!$O$2:$O$501,$V71)&amp;"")</f>
        <v/>
      </c>
      <c r="K71">
        <f>IF($V71="","",INDEX('Per Line'!$Q$2:$Q$501,$V71)&amp;"")</f>
        <v/>
      </c>
      <c r="L71">
        <f>IF($V71="","",Settings!$C$7)</f>
        <v/>
      </c>
      <c r="M71" s="7">
        <f>IF($V71="","",SUMIFS('Per Line'!$L$2:$L$501,'Per Line'!$B$2:$B$501,$B71,'Per Line'!$Y$2:$Y$501,0))</f>
        <v/>
      </c>
      <c r="N71" s="7">
        <f>IF($V71="","",M71*L71)</f>
        <v/>
      </c>
      <c r="O71">
        <f>IF($V71="","",Settings!$C$6)</f>
        <v/>
      </c>
      <c r="P71" s="7">
        <f>IF($V71="","",SUMIFS('Per Line'!$L$2:$L$501,'Per Line'!$B$2:$B$501,$B71,'Per Line'!$Y$2:$Y$501,1))</f>
        <v/>
      </c>
      <c r="Q71" s="7">
        <f>IF($V71="","",P71*O71)</f>
        <v/>
      </c>
      <c r="R71" s="7">
        <f>IF($V71="","",Q71+N71)</f>
        <v/>
      </c>
      <c r="S71" s="7">
        <f>IF($V71="","",T71-R71)</f>
        <v/>
      </c>
      <c r="T71" s="7">
        <f>IF($V71="","",M71+P71)</f>
        <v/>
      </c>
      <c r="U71" s="7">
        <f>IF($V71="","",T71-R71-H71)</f>
        <v/>
      </c>
      <c r="V71" s="13">
        <f>IF(ROWS($V$2:$V71)&lt;=MAX('Per Line'!$X$2:$X$501),MATCH(ROWS($V$2:$V71),'Per Line'!$X$2:$X$501,0),"")</f>
        <v/>
      </c>
    </row>
    <row r="72">
      <c r="A72" s="12" t="n"/>
      <c r="B72">
        <f>IF($V72="","",INDEX('Per Line'!$B$2:$B$501,$V72)&amp;"")</f>
        <v/>
      </c>
      <c r="C72" s="12" t="n"/>
      <c r="D72">
        <f>IF($V72="","",INDEX('Per Line'!$C$2:$C$501,$V72)&amp;"")</f>
        <v/>
      </c>
      <c r="E72">
        <f>IF($V72="","",INDEX('Per Line'!$D$2:$D$501,$V72)&amp;"")</f>
        <v/>
      </c>
      <c r="F72">
        <f>IF($V72="","",INDEX('Per Line'!$E$2:$E$501,$V72)&amp;"")</f>
        <v/>
      </c>
      <c r="G72">
        <f>IF($V72="","",INDEX('Per Line'!$F$2:$F$501,$V72))</f>
        <v/>
      </c>
      <c r="H72" s="7">
        <f>IF($V72="","",G72*T72/100)</f>
        <v/>
      </c>
      <c r="I72">
        <f>IF($V72="","",INDEX('Per Line'!$M$2:$M$501,$V72)&amp;"")</f>
        <v/>
      </c>
      <c r="J72">
        <f>IF($V72="","",INDEX('Per Line'!$O$2:$O$501,$V72)&amp;"")</f>
        <v/>
      </c>
      <c r="K72">
        <f>IF($V72="","",INDEX('Per Line'!$Q$2:$Q$501,$V72)&amp;"")</f>
        <v/>
      </c>
      <c r="L72">
        <f>IF($V72="","",Settings!$C$7)</f>
        <v/>
      </c>
      <c r="M72" s="7">
        <f>IF($V72="","",SUMIFS('Per Line'!$L$2:$L$501,'Per Line'!$B$2:$B$501,$B72,'Per Line'!$Y$2:$Y$501,0))</f>
        <v/>
      </c>
      <c r="N72" s="7">
        <f>IF($V72="","",M72*L72)</f>
        <v/>
      </c>
      <c r="O72">
        <f>IF($V72="","",Settings!$C$6)</f>
        <v/>
      </c>
      <c r="P72" s="7">
        <f>IF($V72="","",SUMIFS('Per Line'!$L$2:$L$501,'Per Line'!$B$2:$B$501,$B72,'Per Line'!$Y$2:$Y$501,1))</f>
        <v/>
      </c>
      <c r="Q72" s="7">
        <f>IF($V72="","",P72*O72)</f>
        <v/>
      </c>
      <c r="R72" s="7">
        <f>IF($V72="","",Q72+N72)</f>
        <v/>
      </c>
      <c r="S72" s="7">
        <f>IF($V72="","",T72-R72)</f>
        <v/>
      </c>
      <c r="T72" s="7">
        <f>IF($V72="","",M72+P72)</f>
        <v/>
      </c>
      <c r="U72" s="7">
        <f>IF($V72="","",T72-R72-H72)</f>
        <v/>
      </c>
      <c r="V72" s="13">
        <f>IF(ROWS($V$2:$V72)&lt;=MAX('Per Line'!$X$2:$X$501),MATCH(ROWS($V$2:$V72),'Per Line'!$X$2:$X$501,0),"")</f>
        <v/>
      </c>
    </row>
    <row r="73">
      <c r="A73" s="12" t="n"/>
      <c r="B73">
        <f>IF($V73="","",INDEX('Per Line'!$B$2:$B$501,$V73)&amp;"")</f>
        <v/>
      </c>
      <c r="C73" s="12" t="n"/>
      <c r="D73">
        <f>IF($V73="","",INDEX('Per Line'!$C$2:$C$501,$V73)&amp;"")</f>
        <v/>
      </c>
      <c r="E73">
        <f>IF($V73="","",INDEX('Per Line'!$D$2:$D$501,$V73)&amp;"")</f>
        <v/>
      </c>
      <c r="F73">
        <f>IF($V73="","",INDEX('Per Line'!$E$2:$E$501,$V73)&amp;"")</f>
        <v/>
      </c>
      <c r="G73">
        <f>IF($V73="","",INDEX('Per Line'!$F$2:$F$501,$V73))</f>
        <v/>
      </c>
      <c r="H73" s="7">
        <f>IF($V73="","",G73*T73/100)</f>
        <v/>
      </c>
      <c r="I73">
        <f>IF($V73="","",INDEX('Per Line'!$M$2:$M$501,$V73)&amp;"")</f>
        <v/>
      </c>
      <c r="J73">
        <f>IF($V73="","",INDEX('Per Line'!$O$2:$O$501,$V73)&amp;"")</f>
        <v/>
      </c>
      <c r="K73">
        <f>IF($V73="","",INDEX('Per Line'!$Q$2:$Q$501,$V73)&amp;"")</f>
        <v/>
      </c>
      <c r="L73">
        <f>IF($V73="","",Settings!$C$7)</f>
        <v/>
      </c>
      <c r="M73" s="7">
        <f>IF($V73="","",SUMIFS('Per Line'!$L$2:$L$501,'Per Line'!$B$2:$B$501,$B73,'Per Line'!$Y$2:$Y$501,0))</f>
        <v/>
      </c>
      <c r="N73" s="7">
        <f>IF($V73="","",M73*L73)</f>
        <v/>
      </c>
      <c r="O73">
        <f>IF($V73="","",Settings!$C$6)</f>
        <v/>
      </c>
      <c r="P73" s="7">
        <f>IF($V73="","",SUMIFS('Per Line'!$L$2:$L$501,'Per Line'!$B$2:$B$501,$B73,'Per Line'!$Y$2:$Y$501,1))</f>
        <v/>
      </c>
      <c r="Q73" s="7">
        <f>IF($V73="","",P73*O73)</f>
        <v/>
      </c>
      <c r="R73" s="7">
        <f>IF($V73="","",Q73+N73)</f>
        <v/>
      </c>
      <c r="S73" s="7">
        <f>IF($V73="","",T73-R73)</f>
        <v/>
      </c>
      <c r="T73" s="7">
        <f>IF($V73="","",M73+P73)</f>
        <v/>
      </c>
      <c r="U73" s="7">
        <f>IF($V73="","",T73-R73-H73)</f>
        <v/>
      </c>
      <c r="V73" s="13">
        <f>IF(ROWS($V$2:$V73)&lt;=MAX('Per Line'!$X$2:$X$501),MATCH(ROWS($V$2:$V73),'Per Line'!$X$2:$X$501,0),"")</f>
        <v/>
      </c>
    </row>
    <row r="74">
      <c r="A74" s="12" t="n"/>
      <c r="B74">
        <f>IF($V74="","",INDEX('Per Line'!$B$2:$B$501,$V74)&amp;"")</f>
        <v/>
      </c>
      <c r="C74" s="12" t="n"/>
      <c r="D74">
        <f>IF($V74="","",INDEX('Per Line'!$C$2:$C$501,$V74)&amp;"")</f>
        <v/>
      </c>
      <c r="E74">
        <f>IF($V74="","",INDEX('Per Line'!$D$2:$D$501,$V74)&amp;"")</f>
        <v/>
      </c>
      <c r="F74">
        <f>IF($V74="","",INDEX('Per Line'!$E$2:$E$501,$V74)&amp;"")</f>
        <v/>
      </c>
      <c r="G74">
        <f>IF($V74="","",INDEX('Per Line'!$F$2:$F$501,$V74))</f>
        <v/>
      </c>
      <c r="H74" s="7">
        <f>IF($V74="","",G74*T74/100)</f>
        <v/>
      </c>
      <c r="I74">
        <f>IF($V74="","",INDEX('Per Line'!$M$2:$M$501,$V74)&amp;"")</f>
        <v/>
      </c>
      <c r="J74">
        <f>IF($V74="","",INDEX('Per Line'!$O$2:$O$501,$V74)&amp;"")</f>
        <v/>
      </c>
      <c r="K74">
        <f>IF($V74="","",INDEX('Per Line'!$Q$2:$Q$501,$V74)&amp;"")</f>
        <v/>
      </c>
      <c r="L74">
        <f>IF($V74="","",Settings!$C$7)</f>
        <v/>
      </c>
      <c r="M74" s="7">
        <f>IF($V74="","",SUMIFS('Per Line'!$L$2:$L$501,'Per Line'!$B$2:$B$501,$B74,'Per Line'!$Y$2:$Y$501,0))</f>
        <v/>
      </c>
      <c r="N74" s="7">
        <f>IF($V74="","",M74*L74)</f>
        <v/>
      </c>
      <c r="O74">
        <f>IF($V74="","",Settings!$C$6)</f>
        <v/>
      </c>
      <c r="P74" s="7">
        <f>IF($V74="","",SUMIFS('Per Line'!$L$2:$L$501,'Per Line'!$B$2:$B$501,$B74,'Per Line'!$Y$2:$Y$501,1))</f>
        <v/>
      </c>
      <c r="Q74" s="7">
        <f>IF($V74="","",P74*O74)</f>
        <v/>
      </c>
      <c r="R74" s="7">
        <f>IF($V74="","",Q74+N74)</f>
        <v/>
      </c>
      <c r="S74" s="7">
        <f>IF($V74="","",T74-R74)</f>
        <v/>
      </c>
      <c r="T74" s="7">
        <f>IF($V74="","",M74+P74)</f>
        <v/>
      </c>
      <c r="U74" s="7">
        <f>IF($V74="","",T74-R74-H74)</f>
        <v/>
      </c>
      <c r="V74" s="13">
        <f>IF(ROWS($V$2:$V74)&lt;=MAX('Per Line'!$X$2:$X$501),MATCH(ROWS($V$2:$V74),'Per Line'!$X$2:$X$501,0),"")</f>
        <v/>
      </c>
    </row>
    <row r="75">
      <c r="A75" s="12" t="n"/>
      <c r="B75">
        <f>IF($V75="","",INDEX('Per Line'!$B$2:$B$501,$V75)&amp;"")</f>
        <v/>
      </c>
      <c r="C75" s="12" t="n"/>
      <c r="D75">
        <f>IF($V75="","",INDEX('Per Line'!$C$2:$C$501,$V75)&amp;"")</f>
        <v/>
      </c>
      <c r="E75">
        <f>IF($V75="","",INDEX('Per Line'!$D$2:$D$501,$V75)&amp;"")</f>
        <v/>
      </c>
      <c r="F75">
        <f>IF($V75="","",INDEX('Per Line'!$E$2:$E$501,$V75)&amp;"")</f>
        <v/>
      </c>
      <c r="G75">
        <f>IF($V75="","",INDEX('Per Line'!$F$2:$F$501,$V75))</f>
        <v/>
      </c>
      <c r="H75" s="7">
        <f>IF($V75="","",G75*T75/100)</f>
        <v/>
      </c>
      <c r="I75">
        <f>IF($V75="","",INDEX('Per Line'!$M$2:$M$501,$V75)&amp;"")</f>
        <v/>
      </c>
      <c r="J75">
        <f>IF($V75="","",INDEX('Per Line'!$O$2:$O$501,$V75)&amp;"")</f>
        <v/>
      </c>
      <c r="K75">
        <f>IF($V75="","",INDEX('Per Line'!$Q$2:$Q$501,$V75)&amp;"")</f>
        <v/>
      </c>
      <c r="L75">
        <f>IF($V75="","",Settings!$C$7)</f>
        <v/>
      </c>
      <c r="M75" s="7">
        <f>IF($V75="","",SUMIFS('Per Line'!$L$2:$L$501,'Per Line'!$B$2:$B$501,$B75,'Per Line'!$Y$2:$Y$501,0))</f>
        <v/>
      </c>
      <c r="N75" s="7">
        <f>IF($V75="","",M75*L75)</f>
        <v/>
      </c>
      <c r="O75">
        <f>IF($V75="","",Settings!$C$6)</f>
        <v/>
      </c>
      <c r="P75" s="7">
        <f>IF($V75="","",SUMIFS('Per Line'!$L$2:$L$501,'Per Line'!$B$2:$B$501,$B75,'Per Line'!$Y$2:$Y$501,1))</f>
        <v/>
      </c>
      <c r="Q75" s="7">
        <f>IF($V75="","",P75*O75)</f>
        <v/>
      </c>
      <c r="R75" s="7">
        <f>IF($V75="","",Q75+N75)</f>
        <v/>
      </c>
      <c r="S75" s="7">
        <f>IF($V75="","",T75-R75)</f>
        <v/>
      </c>
      <c r="T75" s="7">
        <f>IF($V75="","",M75+P75)</f>
        <v/>
      </c>
      <c r="U75" s="7">
        <f>IF($V75="","",T75-R75-H75)</f>
        <v/>
      </c>
      <c r="V75" s="13">
        <f>IF(ROWS($V$2:$V75)&lt;=MAX('Per Line'!$X$2:$X$501),MATCH(ROWS($V$2:$V75),'Per Line'!$X$2:$X$501,0),"")</f>
        <v/>
      </c>
    </row>
    <row r="76">
      <c r="A76" s="12" t="n"/>
      <c r="B76">
        <f>IF($V76="","",INDEX('Per Line'!$B$2:$B$501,$V76)&amp;"")</f>
        <v/>
      </c>
      <c r="C76" s="12" t="n"/>
      <c r="D76">
        <f>IF($V76="","",INDEX('Per Line'!$C$2:$C$501,$V76)&amp;"")</f>
        <v/>
      </c>
      <c r="E76">
        <f>IF($V76="","",INDEX('Per Line'!$D$2:$D$501,$V76)&amp;"")</f>
        <v/>
      </c>
      <c r="F76">
        <f>IF($V76="","",INDEX('Per Line'!$E$2:$E$501,$V76)&amp;"")</f>
        <v/>
      </c>
      <c r="G76">
        <f>IF($V76="","",INDEX('Per Line'!$F$2:$F$501,$V76))</f>
        <v/>
      </c>
      <c r="H76" s="7">
        <f>IF($V76="","",G76*T76/100)</f>
        <v/>
      </c>
      <c r="I76">
        <f>IF($V76="","",INDEX('Per Line'!$M$2:$M$501,$V76)&amp;"")</f>
        <v/>
      </c>
      <c r="J76">
        <f>IF($V76="","",INDEX('Per Line'!$O$2:$O$501,$V76)&amp;"")</f>
        <v/>
      </c>
      <c r="K76">
        <f>IF($V76="","",INDEX('Per Line'!$Q$2:$Q$501,$V76)&amp;"")</f>
        <v/>
      </c>
      <c r="L76">
        <f>IF($V76="","",Settings!$C$7)</f>
        <v/>
      </c>
      <c r="M76" s="7">
        <f>IF($V76="","",SUMIFS('Per Line'!$L$2:$L$501,'Per Line'!$B$2:$B$501,$B76,'Per Line'!$Y$2:$Y$501,0))</f>
        <v/>
      </c>
      <c r="N76" s="7">
        <f>IF($V76="","",M76*L76)</f>
        <v/>
      </c>
      <c r="O76">
        <f>IF($V76="","",Settings!$C$6)</f>
        <v/>
      </c>
      <c r="P76" s="7">
        <f>IF($V76="","",SUMIFS('Per Line'!$L$2:$L$501,'Per Line'!$B$2:$B$501,$B76,'Per Line'!$Y$2:$Y$501,1))</f>
        <v/>
      </c>
      <c r="Q76" s="7">
        <f>IF($V76="","",P76*O76)</f>
        <v/>
      </c>
      <c r="R76" s="7">
        <f>IF($V76="","",Q76+N76)</f>
        <v/>
      </c>
      <c r="S76" s="7">
        <f>IF($V76="","",T76-R76)</f>
        <v/>
      </c>
      <c r="T76" s="7">
        <f>IF($V76="","",M76+P76)</f>
        <v/>
      </c>
      <c r="U76" s="7">
        <f>IF($V76="","",T76-R76-H76)</f>
        <v/>
      </c>
      <c r="V76" s="13">
        <f>IF(ROWS($V$2:$V76)&lt;=MAX('Per Line'!$X$2:$X$501),MATCH(ROWS($V$2:$V76),'Per Line'!$X$2:$X$501,0),"")</f>
        <v/>
      </c>
    </row>
    <row r="77">
      <c r="A77" s="12" t="n"/>
      <c r="B77">
        <f>IF($V77="","",INDEX('Per Line'!$B$2:$B$501,$V77)&amp;"")</f>
        <v/>
      </c>
      <c r="C77" s="12" t="n"/>
      <c r="D77">
        <f>IF($V77="","",INDEX('Per Line'!$C$2:$C$501,$V77)&amp;"")</f>
        <v/>
      </c>
      <c r="E77">
        <f>IF($V77="","",INDEX('Per Line'!$D$2:$D$501,$V77)&amp;"")</f>
        <v/>
      </c>
      <c r="F77">
        <f>IF($V77="","",INDEX('Per Line'!$E$2:$E$501,$V77)&amp;"")</f>
        <v/>
      </c>
      <c r="G77">
        <f>IF($V77="","",INDEX('Per Line'!$F$2:$F$501,$V77))</f>
        <v/>
      </c>
      <c r="H77" s="7">
        <f>IF($V77="","",G77*T77/100)</f>
        <v/>
      </c>
      <c r="I77">
        <f>IF($V77="","",INDEX('Per Line'!$M$2:$M$501,$V77)&amp;"")</f>
        <v/>
      </c>
      <c r="J77">
        <f>IF($V77="","",INDEX('Per Line'!$O$2:$O$501,$V77)&amp;"")</f>
        <v/>
      </c>
      <c r="K77">
        <f>IF($V77="","",INDEX('Per Line'!$Q$2:$Q$501,$V77)&amp;"")</f>
        <v/>
      </c>
      <c r="L77">
        <f>IF($V77="","",Settings!$C$7)</f>
        <v/>
      </c>
      <c r="M77" s="7">
        <f>IF($V77="","",SUMIFS('Per Line'!$L$2:$L$501,'Per Line'!$B$2:$B$501,$B77,'Per Line'!$Y$2:$Y$501,0))</f>
        <v/>
      </c>
      <c r="N77" s="7">
        <f>IF($V77="","",M77*L77)</f>
        <v/>
      </c>
      <c r="O77">
        <f>IF($V77="","",Settings!$C$6)</f>
        <v/>
      </c>
      <c r="P77" s="7">
        <f>IF($V77="","",SUMIFS('Per Line'!$L$2:$L$501,'Per Line'!$B$2:$B$501,$B77,'Per Line'!$Y$2:$Y$501,1))</f>
        <v/>
      </c>
      <c r="Q77" s="7">
        <f>IF($V77="","",P77*O77)</f>
        <v/>
      </c>
      <c r="R77" s="7">
        <f>IF($V77="","",Q77+N77)</f>
        <v/>
      </c>
      <c r="S77" s="7">
        <f>IF($V77="","",T77-R77)</f>
        <v/>
      </c>
      <c r="T77" s="7">
        <f>IF($V77="","",M77+P77)</f>
        <v/>
      </c>
      <c r="U77" s="7">
        <f>IF($V77="","",T77-R77-H77)</f>
        <v/>
      </c>
      <c r="V77" s="13">
        <f>IF(ROWS($V$2:$V77)&lt;=MAX('Per Line'!$X$2:$X$501),MATCH(ROWS($V$2:$V77),'Per Line'!$X$2:$X$501,0),"")</f>
        <v/>
      </c>
    </row>
    <row r="78">
      <c r="A78" s="12" t="n"/>
      <c r="B78">
        <f>IF($V78="","",INDEX('Per Line'!$B$2:$B$501,$V78)&amp;"")</f>
        <v/>
      </c>
      <c r="C78" s="12" t="n"/>
      <c r="D78">
        <f>IF($V78="","",INDEX('Per Line'!$C$2:$C$501,$V78)&amp;"")</f>
        <v/>
      </c>
      <c r="E78">
        <f>IF($V78="","",INDEX('Per Line'!$D$2:$D$501,$V78)&amp;"")</f>
        <v/>
      </c>
      <c r="F78">
        <f>IF($V78="","",INDEX('Per Line'!$E$2:$E$501,$V78)&amp;"")</f>
        <v/>
      </c>
      <c r="G78">
        <f>IF($V78="","",INDEX('Per Line'!$F$2:$F$501,$V78))</f>
        <v/>
      </c>
      <c r="H78" s="7">
        <f>IF($V78="","",G78*T78/100)</f>
        <v/>
      </c>
      <c r="I78">
        <f>IF($V78="","",INDEX('Per Line'!$M$2:$M$501,$V78)&amp;"")</f>
        <v/>
      </c>
      <c r="J78">
        <f>IF($V78="","",INDEX('Per Line'!$O$2:$O$501,$V78)&amp;"")</f>
        <v/>
      </c>
      <c r="K78">
        <f>IF($V78="","",INDEX('Per Line'!$Q$2:$Q$501,$V78)&amp;"")</f>
        <v/>
      </c>
      <c r="L78">
        <f>IF($V78="","",Settings!$C$7)</f>
        <v/>
      </c>
      <c r="M78" s="7">
        <f>IF($V78="","",SUMIFS('Per Line'!$L$2:$L$501,'Per Line'!$B$2:$B$501,$B78,'Per Line'!$Y$2:$Y$501,0))</f>
        <v/>
      </c>
      <c r="N78" s="7">
        <f>IF($V78="","",M78*L78)</f>
        <v/>
      </c>
      <c r="O78">
        <f>IF($V78="","",Settings!$C$6)</f>
        <v/>
      </c>
      <c r="P78" s="7">
        <f>IF($V78="","",SUMIFS('Per Line'!$L$2:$L$501,'Per Line'!$B$2:$B$501,$B78,'Per Line'!$Y$2:$Y$501,1))</f>
        <v/>
      </c>
      <c r="Q78" s="7">
        <f>IF($V78="","",P78*O78)</f>
        <v/>
      </c>
      <c r="R78" s="7">
        <f>IF($V78="","",Q78+N78)</f>
        <v/>
      </c>
      <c r="S78" s="7">
        <f>IF($V78="","",T78-R78)</f>
        <v/>
      </c>
      <c r="T78" s="7">
        <f>IF($V78="","",M78+P78)</f>
        <v/>
      </c>
      <c r="U78" s="7">
        <f>IF($V78="","",T78-R78-H78)</f>
        <v/>
      </c>
      <c r="V78" s="13">
        <f>IF(ROWS($V$2:$V78)&lt;=MAX('Per Line'!$X$2:$X$501),MATCH(ROWS($V$2:$V78),'Per Line'!$X$2:$X$501,0),"")</f>
        <v/>
      </c>
    </row>
    <row r="79">
      <c r="A79" s="12" t="n"/>
      <c r="B79">
        <f>IF($V79="","",INDEX('Per Line'!$B$2:$B$501,$V79)&amp;"")</f>
        <v/>
      </c>
      <c r="C79" s="12" t="n"/>
      <c r="D79">
        <f>IF($V79="","",INDEX('Per Line'!$C$2:$C$501,$V79)&amp;"")</f>
        <v/>
      </c>
      <c r="E79">
        <f>IF($V79="","",INDEX('Per Line'!$D$2:$D$501,$V79)&amp;"")</f>
        <v/>
      </c>
      <c r="F79">
        <f>IF($V79="","",INDEX('Per Line'!$E$2:$E$501,$V79)&amp;"")</f>
        <v/>
      </c>
      <c r="G79">
        <f>IF($V79="","",INDEX('Per Line'!$F$2:$F$501,$V79))</f>
        <v/>
      </c>
      <c r="H79" s="7">
        <f>IF($V79="","",G79*T79/100)</f>
        <v/>
      </c>
      <c r="I79">
        <f>IF($V79="","",INDEX('Per Line'!$M$2:$M$501,$V79)&amp;"")</f>
        <v/>
      </c>
      <c r="J79">
        <f>IF($V79="","",INDEX('Per Line'!$O$2:$O$501,$V79)&amp;"")</f>
        <v/>
      </c>
      <c r="K79">
        <f>IF($V79="","",INDEX('Per Line'!$Q$2:$Q$501,$V79)&amp;"")</f>
        <v/>
      </c>
      <c r="L79">
        <f>IF($V79="","",Settings!$C$7)</f>
        <v/>
      </c>
      <c r="M79" s="7">
        <f>IF($V79="","",SUMIFS('Per Line'!$L$2:$L$501,'Per Line'!$B$2:$B$501,$B79,'Per Line'!$Y$2:$Y$501,0))</f>
        <v/>
      </c>
      <c r="N79" s="7">
        <f>IF($V79="","",M79*L79)</f>
        <v/>
      </c>
      <c r="O79">
        <f>IF($V79="","",Settings!$C$6)</f>
        <v/>
      </c>
      <c r="P79" s="7">
        <f>IF($V79="","",SUMIFS('Per Line'!$L$2:$L$501,'Per Line'!$B$2:$B$501,$B79,'Per Line'!$Y$2:$Y$501,1))</f>
        <v/>
      </c>
      <c r="Q79" s="7">
        <f>IF($V79="","",P79*O79)</f>
        <v/>
      </c>
      <c r="R79" s="7">
        <f>IF($V79="","",Q79+N79)</f>
        <v/>
      </c>
      <c r="S79" s="7">
        <f>IF($V79="","",T79-R79)</f>
        <v/>
      </c>
      <c r="T79" s="7">
        <f>IF($V79="","",M79+P79)</f>
        <v/>
      </c>
      <c r="U79" s="7">
        <f>IF($V79="","",T79-R79-H79)</f>
        <v/>
      </c>
      <c r="V79" s="13">
        <f>IF(ROWS($V$2:$V79)&lt;=MAX('Per Line'!$X$2:$X$501),MATCH(ROWS($V$2:$V79),'Per Line'!$X$2:$X$501,0),"")</f>
        <v/>
      </c>
    </row>
    <row r="80">
      <c r="A80" s="12" t="n"/>
      <c r="B80">
        <f>IF($V80="","",INDEX('Per Line'!$B$2:$B$501,$V80)&amp;"")</f>
        <v/>
      </c>
      <c r="C80" s="12" t="n"/>
      <c r="D80">
        <f>IF($V80="","",INDEX('Per Line'!$C$2:$C$501,$V80)&amp;"")</f>
        <v/>
      </c>
      <c r="E80">
        <f>IF($V80="","",INDEX('Per Line'!$D$2:$D$501,$V80)&amp;"")</f>
        <v/>
      </c>
      <c r="F80">
        <f>IF($V80="","",INDEX('Per Line'!$E$2:$E$501,$V80)&amp;"")</f>
        <v/>
      </c>
      <c r="G80">
        <f>IF($V80="","",INDEX('Per Line'!$F$2:$F$501,$V80))</f>
        <v/>
      </c>
      <c r="H80" s="7">
        <f>IF($V80="","",G80*T80/100)</f>
        <v/>
      </c>
      <c r="I80">
        <f>IF($V80="","",INDEX('Per Line'!$M$2:$M$501,$V80)&amp;"")</f>
        <v/>
      </c>
      <c r="J80">
        <f>IF($V80="","",INDEX('Per Line'!$O$2:$O$501,$V80)&amp;"")</f>
        <v/>
      </c>
      <c r="K80">
        <f>IF($V80="","",INDEX('Per Line'!$Q$2:$Q$501,$V80)&amp;"")</f>
        <v/>
      </c>
      <c r="L80">
        <f>IF($V80="","",Settings!$C$7)</f>
        <v/>
      </c>
      <c r="M80" s="7">
        <f>IF($V80="","",SUMIFS('Per Line'!$L$2:$L$501,'Per Line'!$B$2:$B$501,$B80,'Per Line'!$Y$2:$Y$501,0))</f>
        <v/>
      </c>
      <c r="N80" s="7">
        <f>IF($V80="","",M80*L80)</f>
        <v/>
      </c>
      <c r="O80">
        <f>IF($V80="","",Settings!$C$6)</f>
        <v/>
      </c>
      <c r="P80" s="7">
        <f>IF($V80="","",SUMIFS('Per Line'!$L$2:$L$501,'Per Line'!$B$2:$B$501,$B80,'Per Line'!$Y$2:$Y$501,1))</f>
        <v/>
      </c>
      <c r="Q80" s="7">
        <f>IF($V80="","",P80*O80)</f>
        <v/>
      </c>
      <c r="R80" s="7">
        <f>IF($V80="","",Q80+N80)</f>
        <v/>
      </c>
      <c r="S80" s="7">
        <f>IF($V80="","",T80-R80)</f>
        <v/>
      </c>
      <c r="T80" s="7">
        <f>IF($V80="","",M80+P80)</f>
        <v/>
      </c>
      <c r="U80" s="7">
        <f>IF($V80="","",T80-R80-H80)</f>
        <v/>
      </c>
      <c r="V80" s="13">
        <f>IF(ROWS($V$2:$V80)&lt;=MAX('Per Line'!$X$2:$X$501),MATCH(ROWS($V$2:$V80),'Per Line'!$X$2:$X$501,0),"")</f>
        <v/>
      </c>
    </row>
    <row r="81">
      <c r="A81" s="12" t="n"/>
      <c r="B81">
        <f>IF($V81="","",INDEX('Per Line'!$B$2:$B$501,$V81)&amp;"")</f>
        <v/>
      </c>
      <c r="C81" s="12" t="n"/>
      <c r="D81">
        <f>IF($V81="","",INDEX('Per Line'!$C$2:$C$501,$V81)&amp;"")</f>
        <v/>
      </c>
      <c r="E81">
        <f>IF($V81="","",INDEX('Per Line'!$D$2:$D$501,$V81)&amp;"")</f>
        <v/>
      </c>
      <c r="F81">
        <f>IF($V81="","",INDEX('Per Line'!$E$2:$E$501,$V81)&amp;"")</f>
        <v/>
      </c>
      <c r="G81">
        <f>IF($V81="","",INDEX('Per Line'!$F$2:$F$501,$V81))</f>
        <v/>
      </c>
      <c r="H81" s="7">
        <f>IF($V81="","",G81*T81/100)</f>
        <v/>
      </c>
      <c r="I81">
        <f>IF($V81="","",INDEX('Per Line'!$M$2:$M$501,$V81)&amp;"")</f>
        <v/>
      </c>
      <c r="J81">
        <f>IF($V81="","",INDEX('Per Line'!$O$2:$O$501,$V81)&amp;"")</f>
        <v/>
      </c>
      <c r="K81">
        <f>IF($V81="","",INDEX('Per Line'!$Q$2:$Q$501,$V81)&amp;"")</f>
        <v/>
      </c>
      <c r="L81">
        <f>IF($V81="","",Settings!$C$7)</f>
        <v/>
      </c>
      <c r="M81" s="7">
        <f>IF($V81="","",SUMIFS('Per Line'!$L$2:$L$501,'Per Line'!$B$2:$B$501,$B81,'Per Line'!$Y$2:$Y$501,0))</f>
        <v/>
      </c>
      <c r="N81" s="7">
        <f>IF($V81="","",M81*L81)</f>
        <v/>
      </c>
      <c r="O81">
        <f>IF($V81="","",Settings!$C$6)</f>
        <v/>
      </c>
      <c r="P81" s="7">
        <f>IF($V81="","",SUMIFS('Per Line'!$L$2:$L$501,'Per Line'!$B$2:$B$501,$B81,'Per Line'!$Y$2:$Y$501,1))</f>
        <v/>
      </c>
      <c r="Q81" s="7">
        <f>IF($V81="","",P81*O81)</f>
        <v/>
      </c>
      <c r="R81" s="7">
        <f>IF($V81="","",Q81+N81)</f>
        <v/>
      </c>
      <c r="S81" s="7">
        <f>IF($V81="","",T81-R81)</f>
        <v/>
      </c>
      <c r="T81" s="7">
        <f>IF($V81="","",M81+P81)</f>
        <v/>
      </c>
      <c r="U81" s="7">
        <f>IF($V81="","",T81-R81-H81)</f>
        <v/>
      </c>
      <c r="V81" s="13">
        <f>IF(ROWS($V$2:$V81)&lt;=MAX('Per Line'!$X$2:$X$501),MATCH(ROWS($V$2:$V81),'Per Line'!$X$2:$X$501,0),"")</f>
        <v/>
      </c>
    </row>
    <row r="82">
      <c r="A82" s="12" t="n"/>
      <c r="B82">
        <f>IF($V82="","",INDEX('Per Line'!$B$2:$B$501,$V82)&amp;"")</f>
        <v/>
      </c>
      <c r="C82" s="12" t="n"/>
      <c r="D82">
        <f>IF($V82="","",INDEX('Per Line'!$C$2:$C$501,$V82)&amp;"")</f>
        <v/>
      </c>
      <c r="E82">
        <f>IF($V82="","",INDEX('Per Line'!$D$2:$D$501,$V82)&amp;"")</f>
        <v/>
      </c>
      <c r="F82">
        <f>IF($V82="","",INDEX('Per Line'!$E$2:$E$501,$V82)&amp;"")</f>
        <v/>
      </c>
      <c r="G82">
        <f>IF($V82="","",INDEX('Per Line'!$F$2:$F$501,$V82))</f>
        <v/>
      </c>
      <c r="H82" s="7">
        <f>IF($V82="","",G82*T82/100)</f>
        <v/>
      </c>
      <c r="I82">
        <f>IF($V82="","",INDEX('Per Line'!$M$2:$M$501,$V82)&amp;"")</f>
        <v/>
      </c>
      <c r="J82">
        <f>IF($V82="","",INDEX('Per Line'!$O$2:$O$501,$V82)&amp;"")</f>
        <v/>
      </c>
      <c r="K82">
        <f>IF($V82="","",INDEX('Per Line'!$Q$2:$Q$501,$V82)&amp;"")</f>
        <v/>
      </c>
      <c r="L82">
        <f>IF($V82="","",Settings!$C$7)</f>
        <v/>
      </c>
      <c r="M82" s="7">
        <f>IF($V82="","",SUMIFS('Per Line'!$L$2:$L$501,'Per Line'!$B$2:$B$501,$B82,'Per Line'!$Y$2:$Y$501,0))</f>
        <v/>
      </c>
      <c r="N82" s="7">
        <f>IF($V82="","",M82*L82)</f>
        <v/>
      </c>
      <c r="O82">
        <f>IF($V82="","",Settings!$C$6)</f>
        <v/>
      </c>
      <c r="P82" s="7">
        <f>IF($V82="","",SUMIFS('Per Line'!$L$2:$L$501,'Per Line'!$B$2:$B$501,$B82,'Per Line'!$Y$2:$Y$501,1))</f>
        <v/>
      </c>
      <c r="Q82" s="7">
        <f>IF($V82="","",P82*O82)</f>
        <v/>
      </c>
      <c r="R82" s="7">
        <f>IF($V82="","",Q82+N82)</f>
        <v/>
      </c>
      <c r="S82" s="7">
        <f>IF($V82="","",T82-R82)</f>
        <v/>
      </c>
      <c r="T82" s="7">
        <f>IF($V82="","",M82+P82)</f>
        <v/>
      </c>
      <c r="U82" s="7">
        <f>IF($V82="","",T82-R82-H82)</f>
        <v/>
      </c>
      <c r="V82" s="13">
        <f>IF(ROWS($V$2:$V82)&lt;=MAX('Per Line'!$X$2:$X$501),MATCH(ROWS($V$2:$V82),'Per Line'!$X$2:$X$501,0),"")</f>
        <v/>
      </c>
    </row>
    <row r="83">
      <c r="A83" s="12" t="n"/>
      <c r="B83">
        <f>IF($V83="","",INDEX('Per Line'!$B$2:$B$501,$V83)&amp;"")</f>
        <v/>
      </c>
      <c r="C83" s="12" t="n"/>
      <c r="D83">
        <f>IF($V83="","",INDEX('Per Line'!$C$2:$C$501,$V83)&amp;"")</f>
        <v/>
      </c>
      <c r="E83">
        <f>IF($V83="","",INDEX('Per Line'!$D$2:$D$501,$V83)&amp;"")</f>
        <v/>
      </c>
      <c r="F83">
        <f>IF($V83="","",INDEX('Per Line'!$E$2:$E$501,$V83)&amp;"")</f>
        <v/>
      </c>
      <c r="G83">
        <f>IF($V83="","",INDEX('Per Line'!$F$2:$F$501,$V83))</f>
        <v/>
      </c>
      <c r="H83" s="7">
        <f>IF($V83="","",G83*T83/100)</f>
        <v/>
      </c>
      <c r="I83">
        <f>IF($V83="","",INDEX('Per Line'!$M$2:$M$501,$V83)&amp;"")</f>
        <v/>
      </c>
      <c r="J83">
        <f>IF($V83="","",INDEX('Per Line'!$O$2:$O$501,$V83)&amp;"")</f>
        <v/>
      </c>
      <c r="K83">
        <f>IF($V83="","",INDEX('Per Line'!$Q$2:$Q$501,$V83)&amp;"")</f>
        <v/>
      </c>
      <c r="L83">
        <f>IF($V83="","",Settings!$C$7)</f>
        <v/>
      </c>
      <c r="M83" s="7">
        <f>IF($V83="","",SUMIFS('Per Line'!$L$2:$L$501,'Per Line'!$B$2:$B$501,$B83,'Per Line'!$Y$2:$Y$501,0))</f>
        <v/>
      </c>
      <c r="N83" s="7">
        <f>IF($V83="","",M83*L83)</f>
        <v/>
      </c>
      <c r="O83">
        <f>IF($V83="","",Settings!$C$6)</f>
        <v/>
      </c>
      <c r="P83" s="7">
        <f>IF($V83="","",SUMIFS('Per Line'!$L$2:$L$501,'Per Line'!$B$2:$B$501,$B83,'Per Line'!$Y$2:$Y$501,1))</f>
        <v/>
      </c>
      <c r="Q83" s="7">
        <f>IF($V83="","",P83*O83)</f>
        <v/>
      </c>
      <c r="R83" s="7">
        <f>IF($V83="","",Q83+N83)</f>
        <v/>
      </c>
      <c r="S83" s="7">
        <f>IF($V83="","",T83-R83)</f>
        <v/>
      </c>
      <c r="T83" s="7">
        <f>IF($V83="","",M83+P83)</f>
        <v/>
      </c>
      <c r="U83" s="7">
        <f>IF($V83="","",T83-R83-H83)</f>
        <v/>
      </c>
      <c r="V83" s="13">
        <f>IF(ROWS($V$2:$V83)&lt;=MAX('Per Line'!$X$2:$X$501),MATCH(ROWS($V$2:$V83),'Per Line'!$X$2:$X$501,0),"")</f>
        <v/>
      </c>
    </row>
    <row r="84">
      <c r="A84" s="12" t="n"/>
      <c r="B84">
        <f>IF($V84="","",INDEX('Per Line'!$B$2:$B$501,$V84)&amp;"")</f>
        <v/>
      </c>
      <c r="C84" s="12" t="n"/>
      <c r="D84">
        <f>IF($V84="","",INDEX('Per Line'!$C$2:$C$501,$V84)&amp;"")</f>
        <v/>
      </c>
      <c r="E84">
        <f>IF($V84="","",INDEX('Per Line'!$D$2:$D$501,$V84)&amp;"")</f>
        <v/>
      </c>
      <c r="F84">
        <f>IF($V84="","",INDEX('Per Line'!$E$2:$E$501,$V84)&amp;"")</f>
        <v/>
      </c>
      <c r="G84">
        <f>IF($V84="","",INDEX('Per Line'!$F$2:$F$501,$V84))</f>
        <v/>
      </c>
      <c r="H84" s="7">
        <f>IF($V84="","",G84*T84/100)</f>
        <v/>
      </c>
      <c r="I84">
        <f>IF($V84="","",INDEX('Per Line'!$M$2:$M$501,$V84)&amp;"")</f>
        <v/>
      </c>
      <c r="J84">
        <f>IF($V84="","",INDEX('Per Line'!$O$2:$O$501,$V84)&amp;"")</f>
        <v/>
      </c>
      <c r="K84">
        <f>IF($V84="","",INDEX('Per Line'!$Q$2:$Q$501,$V84)&amp;"")</f>
        <v/>
      </c>
      <c r="L84">
        <f>IF($V84="","",Settings!$C$7)</f>
        <v/>
      </c>
      <c r="M84" s="7">
        <f>IF($V84="","",SUMIFS('Per Line'!$L$2:$L$501,'Per Line'!$B$2:$B$501,$B84,'Per Line'!$Y$2:$Y$501,0))</f>
        <v/>
      </c>
      <c r="N84" s="7">
        <f>IF($V84="","",M84*L84)</f>
        <v/>
      </c>
      <c r="O84">
        <f>IF($V84="","",Settings!$C$6)</f>
        <v/>
      </c>
      <c r="P84" s="7">
        <f>IF($V84="","",SUMIFS('Per Line'!$L$2:$L$501,'Per Line'!$B$2:$B$501,$B84,'Per Line'!$Y$2:$Y$501,1))</f>
        <v/>
      </c>
      <c r="Q84" s="7">
        <f>IF($V84="","",P84*O84)</f>
        <v/>
      </c>
      <c r="R84" s="7">
        <f>IF($V84="","",Q84+N84)</f>
        <v/>
      </c>
      <c r="S84" s="7">
        <f>IF($V84="","",T84-R84)</f>
        <v/>
      </c>
      <c r="T84" s="7">
        <f>IF($V84="","",M84+P84)</f>
        <v/>
      </c>
      <c r="U84" s="7">
        <f>IF($V84="","",T84-R84-H84)</f>
        <v/>
      </c>
      <c r="V84" s="13">
        <f>IF(ROWS($V$2:$V84)&lt;=MAX('Per Line'!$X$2:$X$501),MATCH(ROWS($V$2:$V84),'Per Line'!$X$2:$X$501,0),"")</f>
        <v/>
      </c>
    </row>
    <row r="85">
      <c r="A85" s="12" t="n"/>
      <c r="B85">
        <f>IF($V85="","",INDEX('Per Line'!$B$2:$B$501,$V85)&amp;"")</f>
        <v/>
      </c>
      <c r="C85" s="12" t="n"/>
      <c r="D85">
        <f>IF($V85="","",INDEX('Per Line'!$C$2:$C$501,$V85)&amp;"")</f>
        <v/>
      </c>
      <c r="E85">
        <f>IF($V85="","",INDEX('Per Line'!$D$2:$D$501,$V85)&amp;"")</f>
        <v/>
      </c>
      <c r="F85">
        <f>IF($V85="","",INDEX('Per Line'!$E$2:$E$501,$V85)&amp;"")</f>
        <v/>
      </c>
      <c r="G85">
        <f>IF($V85="","",INDEX('Per Line'!$F$2:$F$501,$V85))</f>
        <v/>
      </c>
      <c r="H85" s="7">
        <f>IF($V85="","",G85*T85/100)</f>
        <v/>
      </c>
      <c r="I85">
        <f>IF($V85="","",INDEX('Per Line'!$M$2:$M$501,$V85)&amp;"")</f>
        <v/>
      </c>
      <c r="J85">
        <f>IF($V85="","",INDEX('Per Line'!$O$2:$O$501,$V85)&amp;"")</f>
        <v/>
      </c>
      <c r="K85">
        <f>IF($V85="","",INDEX('Per Line'!$Q$2:$Q$501,$V85)&amp;"")</f>
        <v/>
      </c>
      <c r="L85">
        <f>IF($V85="","",Settings!$C$7)</f>
        <v/>
      </c>
      <c r="M85" s="7">
        <f>IF($V85="","",SUMIFS('Per Line'!$L$2:$L$501,'Per Line'!$B$2:$B$501,$B85,'Per Line'!$Y$2:$Y$501,0))</f>
        <v/>
      </c>
      <c r="N85" s="7">
        <f>IF($V85="","",M85*L85)</f>
        <v/>
      </c>
      <c r="O85">
        <f>IF($V85="","",Settings!$C$6)</f>
        <v/>
      </c>
      <c r="P85" s="7">
        <f>IF($V85="","",SUMIFS('Per Line'!$L$2:$L$501,'Per Line'!$B$2:$B$501,$B85,'Per Line'!$Y$2:$Y$501,1))</f>
        <v/>
      </c>
      <c r="Q85" s="7">
        <f>IF($V85="","",P85*O85)</f>
        <v/>
      </c>
      <c r="R85" s="7">
        <f>IF($V85="","",Q85+N85)</f>
        <v/>
      </c>
      <c r="S85" s="7">
        <f>IF($V85="","",T85-R85)</f>
        <v/>
      </c>
      <c r="T85" s="7">
        <f>IF($V85="","",M85+P85)</f>
        <v/>
      </c>
      <c r="U85" s="7">
        <f>IF($V85="","",T85-R85-H85)</f>
        <v/>
      </c>
      <c r="V85" s="13">
        <f>IF(ROWS($V$2:$V85)&lt;=MAX('Per Line'!$X$2:$X$501),MATCH(ROWS($V$2:$V85),'Per Line'!$X$2:$X$501,0),"")</f>
        <v/>
      </c>
    </row>
    <row r="86">
      <c r="A86" s="12" t="n"/>
      <c r="B86">
        <f>IF($V86="","",INDEX('Per Line'!$B$2:$B$501,$V86)&amp;"")</f>
        <v/>
      </c>
      <c r="C86" s="12" t="n"/>
      <c r="D86">
        <f>IF($V86="","",INDEX('Per Line'!$C$2:$C$501,$V86)&amp;"")</f>
        <v/>
      </c>
      <c r="E86">
        <f>IF($V86="","",INDEX('Per Line'!$D$2:$D$501,$V86)&amp;"")</f>
        <v/>
      </c>
      <c r="F86">
        <f>IF($V86="","",INDEX('Per Line'!$E$2:$E$501,$V86)&amp;"")</f>
        <v/>
      </c>
      <c r="G86">
        <f>IF($V86="","",INDEX('Per Line'!$F$2:$F$501,$V86))</f>
        <v/>
      </c>
      <c r="H86" s="7">
        <f>IF($V86="","",G86*T86/100)</f>
        <v/>
      </c>
      <c r="I86">
        <f>IF($V86="","",INDEX('Per Line'!$M$2:$M$501,$V86)&amp;"")</f>
        <v/>
      </c>
      <c r="J86">
        <f>IF($V86="","",INDEX('Per Line'!$O$2:$O$501,$V86)&amp;"")</f>
        <v/>
      </c>
      <c r="K86">
        <f>IF($V86="","",INDEX('Per Line'!$Q$2:$Q$501,$V86)&amp;"")</f>
        <v/>
      </c>
      <c r="L86">
        <f>IF($V86="","",Settings!$C$7)</f>
        <v/>
      </c>
      <c r="M86" s="7">
        <f>IF($V86="","",SUMIFS('Per Line'!$L$2:$L$501,'Per Line'!$B$2:$B$501,$B86,'Per Line'!$Y$2:$Y$501,0))</f>
        <v/>
      </c>
      <c r="N86" s="7">
        <f>IF($V86="","",M86*L86)</f>
        <v/>
      </c>
      <c r="O86">
        <f>IF($V86="","",Settings!$C$6)</f>
        <v/>
      </c>
      <c r="P86" s="7">
        <f>IF($V86="","",SUMIFS('Per Line'!$L$2:$L$501,'Per Line'!$B$2:$B$501,$B86,'Per Line'!$Y$2:$Y$501,1))</f>
        <v/>
      </c>
      <c r="Q86" s="7">
        <f>IF($V86="","",P86*O86)</f>
        <v/>
      </c>
      <c r="R86" s="7">
        <f>IF($V86="","",Q86+N86)</f>
        <v/>
      </c>
      <c r="S86" s="7">
        <f>IF($V86="","",T86-R86)</f>
        <v/>
      </c>
      <c r="T86" s="7">
        <f>IF($V86="","",M86+P86)</f>
        <v/>
      </c>
      <c r="U86" s="7">
        <f>IF($V86="","",T86-R86-H86)</f>
        <v/>
      </c>
      <c r="V86" s="13">
        <f>IF(ROWS($V$2:$V86)&lt;=MAX('Per Line'!$X$2:$X$501),MATCH(ROWS($V$2:$V86),'Per Line'!$X$2:$X$501,0),"")</f>
        <v/>
      </c>
    </row>
    <row r="87">
      <c r="A87" s="12" t="n"/>
      <c r="B87">
        <f>IF($V87="","",INDEX('Per Line'!$B$2:$B$501,$V87)&amp;"")</f>
        <v/>
      </c>
      <c r="C87" s="12" t="n"/>
      <c r="D87">
        <f>IF($V87="","",INDEX('Per Line'!$C$2:$C$501,$V87)&amp;"")</f>
        <v/>
      </c>
      <c r="E87">
        <f>IF($V87="","",INDEX('Per Line'!$D$2:$D$501,$V87)&amp;"")</f>
        <v/>
      </c>
      <c r="F87">
        <f>IF($V87="","",INDEX('Per Line'!$E$2:$E$501,$V87)&amp;"")</f>
        <v/>
      </c>
      <c r="G87">
        <f>IF($V87="","",INDEX('Per Line'!$F$2:$F$501,$V87))</f>
        <v/>
      </c>
      <c r="H87" s="7">
        <f>IF($V87="","",G87*T87/100)</f>
        <v/>
      </c>
      <c r="I87">
        <f>IF($V87="","",INDEX('Per Line'!$M$2:$M$501,$V87)&amp;"")</f>
        <v/>
      </c>
      <c r="J87">
        <f>IF($V87="","",INDEX('Per Line'!$O$2:$O$501,$V87)&amp;"")</f>
        <v/>
      </c>
      <c r="K87">
        <f>IF($V87="","",INDEX('Per Line'!$Q$2:$Q$501,$V87)&amp;"")</f>
        <v/>
      </c>
      <c r="L87">
        <f>IF($V87="","",Settings!$C$7)</f>
        <v/>
      </c>
      <c r="M87" s="7">
        <f>IF($V87="","",SUMIFS('Per Line'!$L$2:$L$501,'Per Line'!$B$2:$B$501,$B87,'Per Line'!$Y$2:$Y$501,0))</f>
        <v/>
      </c>
      <c r="N87" s="7">
        <f>IF($V87="","",M87*L87)</f>
        <v/>
      </c>
      <c r="O87">
        <f>IF($V87="","",Settings!$C$6)</f>
        <v/>
      </c>
      <c r="P87" s="7">
        <f>IF($V87="","",SUMIFS('Per Line'!$L$2:$L$501,'Per Line'!$B$2:$B$501,$B87,'Per Line'!$Y$2:$Y$501,1))</f>
        <v/>
      </c>
      <c r="Q87" s="7">
        <f>IF($V87="","",P87*O87)</f>
        <v/>
      </c>
      <c r="R87" s="7">
        <f>IF($V87="","",Q87+N87)</f>
        <v/>
      </c>
      <c r="S87" s="7">
        <f>IF($V87="","",T87-R87)</f>
        <v/>
      </c>
      <c r="T87" s="7">
        <f>IF($V87="","",M87+P87)</f>
        <v/>
      </c>
      <c r="U87" s="7">
        <f>IF($V87="","",T87-R87-H87)</f>
        <v/>
      </c>
      <c r="V87" s="13">
        <f>IF(ROWS($V$2:$V87)&lt;=MAX('Per Line'!$X$2:$X$501),MATCH(ROWS($V$2:$V87),'Per Line'!$X$2:$X$501,0),"")</f>
        <v/>
      </c>
    </row>
    <row r="88">
      <c r="A88" s="12" t="n"/>
      <c r="B88">
        <f>IF($V88="","",INDEX('Per Line'!$B$2:$B$501,$V88)&amp;"")</f>
        <v/>
      </c>
      <c r="C88" s="12" t="n"/>
      <c r="D88">
        <f>IF($V88="","",INDEX('Per Line'!$C$2:$C$501,$V88)&amp;"")</f>
        <v/>
      </c>
      <c r="E88">
        <f>IF($V88="","",INDEX('Per Line'!$D$2:$D$501,$V88)&amp;"")</f>
        <v/>
      </c>
      <c r="F88">
        <f>IF($V88="","",INDEX('Per Line'!$E$2:$E$501,$V88)&amp;"")</f>
        <v/>
      </c>
      <c r="G88">
        <f>IF($V88="","",INDEX('Per Line'!$F$2:$F$501,$V88))</f>
        <v/>
      </c>
      <c r="H88" s="7">
        <f>IF($V88="","",G88*T88/100)</f>
        <v/>
      </c>
      <c r="I88">
        <f>IF($V88="","",INDEX('Per Line'!$M$2:$M$501,$V88)&amp;"")</f>
        <v/>
      </c>
      <c r="J88">
        <f>IF($V88="","",INDEX('Per Line'!$O$2:$O$501,$V88)&amp;"")</f>
        <v/>
      </c>
      <c r="K88">
        <f>IF($V88="","",INDEX('Per Line'!$Q$2:$Q$501,$V88)&amp;"")</f>
        <v/>
      </c>
      <c r="L88">
        <f>IF($V88="","",Settings!$C$7)</f>
        <v/>
      </c>
      <c r="M88" s="7">
        <f>IF($V88="","",SUMIFS('Per Line'!$L$2:$L$501,'Per Line'!$B$2:$B$501,$B88,'Per Line'!$Y$2:$Y$501,0))</f>
        <v/>
      </c>
      <c r="N88" s="7">
        <f>IF($V88="","",M88*L88)</f>
        <v/>
      </c>
      <c r="O88">
        <f>IF($V88="","",Settings!$C$6)</f>
        <v/>
      </c>
      <c r="P88" s="7">
        <f>IF($V88="","",SUMIFS('Per Line'!$L$2:$L$501,'Per Line'!$B$2:$B$501,$B88,'Per Line'!$Y$2:$Y$501,1))</f>
        <v/>
      </c>
      <c r="Q88" s="7">
        <f>IF($V88="","",P88*O88)</f>
        <v/>
      </c>
      <c r="R88" s="7">
        <f>IF($V88="","",Q88+N88)</f>
        <v/>
      </c>
      <c r="S88" s="7">
        <f>IF($V88="","",T88-R88)</f>
        <v/>
      </c>
      <c r="T88" s="7">
        <f>IF($V88="","",M88+P88)</f>
        <v/>
      </c>
      <c r="U88" s="7">
        <f>IF($V88="","",T88-R88-H88)</f>
        <v/>
      </c>
      <c r="V88" s="13">
        <f>IF(ROWS($V$2:$V88)&lt;=MAX('Per Line'!$X$2:$X$501),MATCH(ROWS($V$2:$V88),'Per Line'!$X$2:$X$501,0),"")</f>
        <v/>
      </c>
    </row>
    <row r="89">
      <c r="A89" s="12" t="n"/>
      <c r="B89">
        <f>IF($V89="","",INDEX('Per Line'!$B$2:$B$501,$V89)&amp;"")</f>
        <v/>
      </c>
      <c r="C89" s="12" t="n"/>
      <c r="D89">
        <f>IF($V89="","",INDEX('Per Line'!$C$2:$C$501,$V89)&amp;"")</f>
        <v/>
      </c>
      <c r="E89">
        <f>IF($V89="","",INDEX('Per Line'!$D$2:$D$501,$V89)&amp;"")</f>
        <v/>
      </c>
      <c r="F89">
        <f>IF($V89="","",INDEX('Per Line'!$E$2:$E$501,$V89)&amp;"")</f>
        <v/>
      </c>
      <c r="G89">
        <f>IF($V89="","",INDEX('Per Line'!$F$2:$F$501,$V89))</f>
        <v/>
      </c>
      <c r="H89" s="7">
        <f>IF($V89="","",G89*T89/100)</f>
        <v/>
      </c>
      <c r="I89">
        <f>IF($V89="","",INDEX('Per Line'!$M$2:$M$501,$V89)&amp;"")</f>
        <v/>
      </c>
      <c r="J89">
        <f>IF($V89="","",INDEX('Per Line'!$O$2:$O$501,$V89)&amp;"")</f>
        <v/>
      </c>
      <c r="K89">
        <f>IF($V89="","",INDEX('Per Line'!$Q$2:$Q$501,$V89)&amp;"")</f>
        <v/>
      </c>
      <c r="L89">
        <f>IF($V89="","",Settings!$C$7)</f>
        <v/>
      </c>
      <c r="M89" s="7">
        <f>IF($V89="","",SUMIFS('Per Line'!$L$2:$L$501,'Per Line'!$B$2:$B$501,$B89,'Per Line'!$Y$2:$Y$501,0))</f>
        <v/>
      </c>
      <c r="N89" s="7">
        <f>IF($V89="","",M89*L89)</f>
        <v/>
      </c>
      <c r="O89">
        <f>IF($V89="","",Settings!$C$6)</f>
        <v/>
      </c>
      <c r="P89" s="7">
        <f>IF($V89="","",SUMIFS('Per Line'!$L$2:$L$501,'Per Line'!$B$2:$B$501,$B89,'Per Line'!$Y$2:$Y$501,1))</f>
        <v/>
      </c>
      <c r="Q89" s="7">
        <f>IF($V89="","",P89*O89)</f>
        <v/>
      </c>
      <c r="R89" s="7">
        <f>IF($V89="","",Q89+N89)</f>
        <v/>
      </c>
      <c r="S89" s="7">
        <f>IF($V89="","",T89-R89)</f>
        <v/>
      </c>
      <c r="T89" s="7">
        <f>IF($V89="","",M89+P89)</f>
        <v/>
      </c>
      <c r="U89" s="7">
        <f>IF($V89="","",T89-R89-H89)</f>
        <v/>
      </c>
      <c r="V89" s="13">
        <f>IF(ROWS($V$2:$V89)&lt;=MAX('Per Line'!$X$2:$X$501),MATCH(ROWS($V$2:$V89),'Per Line'!$X$2:$X$501,0),"")</f>
        <v/>
      </c>
    </row>
    <row r="90">
      <c r="A90" s="12" t="n"/>
      <c r="B90">
        <f>IF($V90="","",INDEX('Per Line'!$B$2:$B$501,$V90)&amp;"")</f>
        <v/>
      </c>
      <c r="C90" s="12" t="n"/>
      <c r="D90">
        <f>IF($V90="","",INDEX('Per Line'!$C$2:$C$501,$V90)&amp;"")</f>
        <v/>
      </c>
      <c r="E90">
        <f>IF($V90="","",INDEX('Per Line'!$D$2:$D$501,$V90)&amp;"")</f>
        <v/>
      </c>
      <c r="F90">
        <f>IF($V90="","",INDEX('Per Line'!$E$2:$E$501,$V90)&amp;"")</f>
        <v/>
      </c>
      <c r="G90">
        <f>IF($V90="","",INDEX('Per Line'!$F$2:$F$501,$V90))</f>
        <v/>
      </c>
      <c r="H90" s="7">
        <f>IF($V90="","",G90*T90/100)</f>
        <v/>
      </c>
      <c r="I90">
        <f>IF($V90="","",INDEX('Per Line'!$M$2:$M$501,$V90)&amp;"")</f>
        <v/>
      </c>
      <c r="J90">
        <f>IF($V90="","",INDEX('Per Line'!$O$2:$O$501,$V90)&amp;"")</f>
        <v/>
      </c>
      <c r="K90">
        <f>IF($V90="","",INDEX('Per Line'!$Q$2:$Q$501,$V90)&amp;"")</f>
        <v/>
      </c>
      <c r="L90">
        <f>IF($V90="","",Settings!$C$7)</f>
        <v/>
      </c>
      <c r="M90" s="7">
        <f>IF($V90="","",SUMIFS('Per Line'!$L$2:$L$501,'Per Line'!$B$2:$B$501,$B90,'Per Line'!$Y$2:$Y$501,0))</f>
        <v/>
      </c>
      <c r="N90" s="7">
        <f>IF($V90="","",M90*L90)</f>
        <v/>
      </c>
      <c r="O90">
        <f>IF($V90="","",Settings!$C$6)</f>
        <v/>
      </c>
      <c r="P90" s="7">
        <f>IF($V90="","",SUMIFS('Per Line'!$L$2:$L$501,'Per Line'!$B$2:$B$501,$B90,'Per Line'!$Y$2:$Y$501,1))</f>
        <v/>
      </c>
      <c r="Q90" s="7">
        <f>IF($V90="","",P90*O90)</f>
        <v/>
      </c>
      <c r="R90" s="7">
        <f>IF($V90="","",Q90+N90)</f>
        <v/>
      </c>
      <c r="S90" s="7">
        <f>IF($V90="","",T90-R90)</f>
        <v/>
      </c>
      <c r="T90" s="7">
        <f>IF($V90="","",M90+P90)</f>
        <v/>
      </c>
      <c r="U90" s="7">
        <f>IF($V90="","",T90-R90-H90)</f>
        <v/>
      </c>
      <c r="V90" s="13">
        <f>IF(ROWS($V$2:$V90)&lt;=MAX('Per Line'!$X$2:$X$501),MATCH(ROWS($V$2:$V90),'Per Line'!$X$2:$X$501,0),"")</f>
        <v/>
      </c>
    </row>
    <row r="91">
      <c r="A91" s="12" t="n"/>
      <c r="B91">
        <f>IF($V91="","",INDEX('Per Line'!$B$2:$B$501,$V91)&amp;"")</f>
        <v/>
      </c>
      <c r="C91" s="12" t="n"/>
      <c r="D91">
        <f>IF($V91="","",INDEX('Per Line'!$C$2:$C$501,$V91)&amp;"")</f>
        <v/>
      </c>
      <c r="E91">
        <f>IF($V91="","",INDEX('Per Line'!$D$2:$D$501,$V91)&amp;"")</f>
        <v/>
      </c>
      <c r="F91">
        <f>IF($V91="","",INDEX('Per Line'!$E$2:$E$501,$V91)&amp;"")</f>
        <v/>
      </c>
      <c r="G91">
        <f>IF($V91="","",INDEX('Per Line'!$F$2:$F$501,$V91))</f>
        <v/>
      </c>
      <c r="H91" s="7">
        <f>IF($V91="","",G91*T91/100)</f>
        <v/>
      </c>
      <c r="I91">
        <f>IF($V91="","",INDEX('Per Line'!$M$2:$M$501,$V91)&amp;"")</f>
        <v/>
      </c>
      <c r="J91">
        <f>IF($V91="","",INDEX('Per Line'!$O$2:$O$501,$V91)&amp;"")</f>
        <v/>
      </c>
      <c r="K91">
        <f>IF($V91="","",INDEX('Per Line'!$Q$2:$Q$501,$V91)&amp;"")</f>
        <v/>
      </c>
      <c r="L91">
        <f>IF($V91="","",Settings!$C$7)</f>
        <v/>
      </c>
      <c r="M91" s="7">
        <f>IF($V91="","",SUMIFS('Per Line'!$L$2:$L$501,'Per Line'!$B$2:$B$501,$B91,'Per Line'!$Y$2:$Y$501,0))</f>
        <v/>
      </c>
      <c r="N91" s="7">
        <f>IF($V91="","",M91*L91)</f>
        <v/>
      </c>
      <c r="O91">
        <f>IF($V91="","",Settings!$C$6)</f>
        <v/>
      </c>
      <c r="P91" s="7">
        <f>IF($V91="","",SUMIFS('Per Line'!$L$2:$L$501,'Per Line'!$B$2:$B$501,$B91,'Per Line'!$Y$2:$Y$501,1))</f>
        <v/>
      </c>
      <c r="Q91" s="7">
        <f>IF($V91="","",P91*O91)</f>
        <v/>
      </c>
      <c r="R91" s="7">
        <f>IF($V91="","",Q91+N91)</f>
        <v/>
      </c>
      <c r="S91" s="7">
        <f>IF($V91="","",T91-R91)</f>
        <v/>
      </c>
      <c r="T91" s="7">
        <f>IF($V91="","",M91+P91)</f>
        <v/>
      </c>
      <c r="U91" s="7">
        <f>IF($V91="","",T91-R91-H91)</f>
        <v/>
      </c>
      <c r="V91" s="13">
        <f>IF(ROWS($V$2:$V91)&lt;=MAX('Per Line'!$X$2:$X$501),MATCH(ROWS($V$2:$V91),'Per Line'!$X$2:$X$501,0),"")</f>
        <v/>
      </c>
    </row>
    <row r="92">
      <c r="A92" s="12" t="n"/>
      <c r="B92">
        <f>IF($V92="","",INDEX('Per Line'!$B$2:$B$501,$V92)&amp;"")</f>
        <v/>
      </c>
      <c r="C92" s="12" t="n"/>
      <c r="D92">
        <f>IF($V92="","",INDEX('Per Line'!$C$2:$C$501,$V92)&amp;"")</f>
        <v/>
      </c>
      <c r="E92">
        <f>IF($V92="","",INDEX('Per Line'!$D$2:$D$501,$V92)&amp;"")</f>
        <v/>
      </c>
      <c r="F92">
        <f>IF($V92="","",INDEX('Per Line'!$E$2:$E$501,$V92)&amp;"")</f>
        <v/>
      </c>
      <c r="G92">
        <f>IF($V92="","",INDEX('Per Line'!$F$2:$F$501,$V92))</f>
        <v/>
      </c>
      <c r="H92" s="7">
        <f>IF($V92="","",G92*T92/100)</f>
        <v/>
      </c>
      <c r="I92">
        <f>IF($V92="","",INDEX('Per Line'!$M$2:$M$501,$V92)&amp;"")</f>
        <v/>
      </c>
      <c r="J92">
        <f>IF($V92="","",INDEX('Per Line'!$O$2:$O$501,$V92)&amp;"")</f>
        <v/>
      </c>
      <c r="K92">
        <f>IF($V92="","",INDEX('Per Line'!$Q$2:$Q$501,$V92)&amp;"")</f>
        <v/>
      </c>
      <c r="L92">
        <f>IF($V92="","",Settings!$C$7)</f>
        <v/>
      </c>
      <c r="M92" s="7">
        <f>IF($V92="","",SUMIFS('Per Line'!$L$2:$L$501,'Per Line'!$B$2:$B$501,$B92,'Per Line'!$Y$2:$Y$501,0))</f>
        <v/>
      </c>
      <c r="N92" s="7">
        <f>IF($V92="","",M92*L92)</f>
        <v/>
      </c>
      <c r="O92">
        <f>IF($V92="","",Settings!$C$6)</f>
        <v/>
      </c>
      <c r="P92" s="7">
        <f>IF($V92="","",SUMIFS('Per Line'!$L$2:$L$501,'Per Line'!$B$2:$B$501,$B92,'Per Line'!$Y$2:$Y$501,1))</f>
        <v/>
      </c>
      <c r="Q92" s="7">
        <f>IF($V92="","",P92*O92)</f>
        <v/>
      </c>
      <c r="R92" s="7">
        <f>IF($V92="","",Q92+N92)</f>
        <v/>
      </c>
      <c r="S92" s="7">
        <f>IF($V92="","",T92-R92)</f>
        <v/>
      </c>
      <c r="T92" s="7">
        <f>IF($V92="","",M92+P92)</f>
        <v/>
      </c>
      <c r="U92" s="7">
        <f>IF($V92="","",T92-R92-H92)</f>
        <v/>
      </c>
      <c r="V92" s="13">
        <f>IF(ROWS($V$2:$V92)&lt;=MAX('Per Line'!$X$2:$X$501),MATCH(ROWS($V$2:$V92),'Per Line'!$X$2:$X$501,0),"")</f>
        <v/>
      </c>
    </row>
    <row r="93">
      <c r="A93" s="12" t="n"/>
      <c r="B93">
        <f>IF($V93="","",INDEX('Per Line'!$B$2:$B$501,$V93)&amp;"")</f>
        <v/>
      </c>
      <c r="C93" s="12" t="n"/>
      <c r="D93">
        <f>IF($V93="","",INDEX('Per Line'!$C$2:$C$501,$V93)&amp;"")</f>
        <v/>
      </c>
      <c r="E93">
        <f>IF($V93="","",INDEX('Per Line'!$D$2:$D$501,$V93)&amp;"")</f>
        <v/>
      </c>
      <c r="F93">
        <f>IF($V93="","",INDEX('Per Line'!$E$2:$E$501,$V93)&amp;"")</f>
        <v/>
      </c>
      <c r="G93">
        <f>IF($V93="","",INDEX('Per Line'!$F$2:$F$501,$V93))</f>
        <v/>
      </c>
      <c r="H93" s="7">
        <f>IF($V93="","",G93*T93/100)</f>
        <v/>
      </c>
      <c r="I93">
        <f>IF($V93="","",INDEX('Per Line'!$M$2:$M$501,$V93)&amp;"")</f>
        <v/>
      </c>
      <c r="J93">
        <f>IF($V93="","",INDEX('Per Line'!$O$2:$O$501,$V93)&amp;"")</f>
        <v/>
      </c>
      <c r="K93">
        <f>IF($V93="","",INDEX('Per Line'!$Q$2:$Q$501,$V93)&amp;"")</f>
        <v/>
      </c>
      <c r="L93">
        <f>IF($V93="","",Settings!$C$7)</f>
        <v/>
      </c>
      <c r="M93" s="7">
        <f>IF($V93="","",SUMIFS('Per Line'!$L$2:$L$501,'Per Line'!$B$2:$B$501,$B93,'Per Line'!$Y$2:$Y$501,0))</f>
        <v/>
      </c>
      <c r="N93" s="7">
        <f>IF($V93="","",M93*L93)</f>
        <v/>
      </c>
      <c r="O93">
        <f>IF($V93="","",Settings!$C$6)</f>
        <v/>
      </c>
      <c r="P93" s="7">
        <f>IF($V93="","",SUMIFS('Per Line'!$L$2:$L$501,'Per Line'!$B$2:$B$501,$B93,'Per Line'!$Y$2:$Y$501,1))</f>
        <v/>
      </c>
      <c r="Q93" s="7">
        <f>IF($V93="","",P93*O93)</f>
        <v/>
      </c>
      <c r="R93" s="7">
        <f>IF($V93="","",Q93+N93)</f>
        <v/>
      </c>
      <c r="S93" s="7">
        <f>IF($V93="","",T93-R93)</f>
        <v/>
      </c>
      <c r="T93" s="7">
        <f>IF($V93="","",M93+P93)</f>
        <v/>
      </c>
      <c r="U93" s="7">
        <f>IF($V93="","",T93-R93-H93)</f>
        <v/>
      </c>
      <c r="V93" s="13">
        <f>IF(ROWS($V$2:$V93)&lt;=MAX('Per Line'!$X$2:$X$501),MATCH(ROWS($V$2:$V93),'Per Line'!$X$2:$X$501,0),"")</f>
        <v/>
      </c>
    </row>
    <row r="94">
      <c r="A94" s="12" t="n"/>
      <c r="B94">
        <f>IF($V94="","",INDEX('Per Line'!$B$2:$B$501,$V94)&amp;"")</f>
        <v/>
      </c>
      <c r="C94" s="12" t="n"/>
      <c r="D94">
        <f>IF($V94="","",INDEX('Per Line'!$C$2:$C$501,$V94)&amp;"")</f>
        <v/>
      </c>
      <c r="E94">
        <f>IF($V94="","",INDEX('Per Line'!$D$2:$D$501,$V94)&amp;"")</f>
        <v/>
      </c>
      <c r="F94">
        <f>IF($V94="","",INDEX('Per Line'!$E$2:$E$501,$V94)&amp;"")</f>
        <v/>
      </c>
      <c r="G94">
        <f>IF($V94="","",INDEX('Per Line'!$F$2:$F$501,$V94))</f>
        <v/>
      </c>
      <c r="H94" s="7">
        <f>IF($V94="","",G94*T94/100)</f>
        <v/>
      </c>
      <c r="I94">
        <f>IF($V94="","",INDEX('Per Line'!$M$2:$M$501,$V94)&amp;"")</f>
        <v/>
      </c>
      <c r="J94">
        <f>IF($V94="","",INDEX('Per Line'!$O$2:$O$501,$V94)&amp;"")</f>
        <v/>
      </c>
      <c r="K94">
        <f>IF($V94="","",INDEX('Per Line'!$Q$2:$Q$501,$V94)&amp;"")</f>
        <v/>
      </c>
      <c r="L94">
        <f>IF($V94="","",Settings!$C$7)</f>
        <v/>
      </c>
      <c r="M94" s="7">
        <f>IF($V94="","",SUMIFS('Per Line'!$L$2:$L$501,'Per Line'!$B$2:$B$501,$B94,'Per Line'!$Y$2:$Y$501,0))</f>
        <v/>
      </c>
      <c r="N94" s="7">
        <f>IF($V94="","",M94*L94)</f>
        <v/>
      </c>
      <c r="O94">
        <f>IF($V94="","",Settings!$C$6)</f>
        <v/>
      </c>
      <c r="P94" s="7">
        <f>IF($V94="","",SUMIFS('Per Line'!$L$2:$L$501,'Per Line'!$B$2:$B$501,$B94,'Per Line'!$Y$2:$Y$501,1))</f>
        <v/>
      </c>
      <c r="Q94" s="7">
        <f>IF($V94="","",P94*O94)</f>
        <v/>
      </c>
      <c r="R94" s="7">
        <f>IF($V94="","",Q94+N94)</f>
        <v/>
      </c>
      <c r="S94" s="7">
        <f>IF($V94="","",T94-R94)</f>
        <v/>
      </c>
      <c r="T94" s="7">
        <f>IF($V94="","",M94+P94)</f>
        <v/>
      </c>
      <c r="U94" s="7">
        <f>IF($V94="","",T94-R94-H94)</f>
        <v/>
      </c>
      <c r="V94" s="13">
        <f>IF(ROWS($V$2:$V94)&lt;=MAX('Per Line'!$X$2:$X$501),MATCH(ROWS($V$2:$V94),'Per Line'!$X$2:$X$501,0),"")</f>
        <v/>
      </c>
    </row>
    <row r="95">
      <c r="A95" s="12" t="n"/>
      <c r="B95">
        <f>IF($V95="","",INDEX('Per Line'!$B$2:$B$501,$V95)&amp;"")</f>
        <v/>
      </c>
      <c r="C95" s="12" t="n"/>
      <c r="D95">
        <f>IF($V95="","",INDEX('Per Line'!$C$2:$C$501,$V95)&amp;"")</f>
        <v/>
      </c>
      <c r="E95">
        <f>IF($V95="","",INDEX('Per Line'!$D$2:$D$501,$V95)&amp;"")</f>
        <v/>
      </c>
      <c r="F95">
        <f>IF($V95="","",INDEX('Per Line'!$E$2:$E$501,$V95)&amp;"")</f>
        <v/>
      </c>
      <c r="G95">
        <f>IF($V95="","",INDEX('Per Line'!$F$2:$F$501,$V95))</f>
        <v/>
      </c>
      <c r="H95" s="7">
        <f>IF($V95="","",G95*T95/100)</f>
        <v/>
      </c>
      <c r="I95">
        <f>IF($V95="","",INDEX('Per Line'!$M$2:$M$501,$V95)&amp;"")</f>
        <v/>
      </c>
      <c r="J95">
        <f>IF($V95="","",INDEX('Per Line'!$O$2:$O$501,$V95)&amp;"")</f>
        <v/>
      </c>
      <c r="K95">
        <f>IF($V95="","",INDEX('Per Line'!$Q$2:$Q$501,$V95)&amp;"")</f>
        <v/>
      </c>
      <c r="L95">
        <f>IF($V95="","",Settings!$C$7)</f>
        <v/>
      </c>
      <c r="M95" s="7">
        <f>IF($V95="","",SUMIFS('Per Line'!$L$2:$L$501,'Per Line'!$B$2:$B$501,$B95,'Per Line'!$Y$2:$Y$501,0))</f>
        <v/>
      </c>
      <c r="N95" s="7">
        <f>IF($V95="","",M95*L95)</f>
        <v/>
      </c>
      <c r="O95">
        <f>IF($V95="","",Settings!$C$6)</f>
        <v/>
      </c>
      <c r="P95" s="7">
        <f>IF($V95="","",SUMIFS('Per Line'!$L$2:$L$501,'Per Line'!$B$2:$B$501,$B95,'Per Line'!$Y$2:$Y$501,1))</f>
        <v/>
      </c>
      <c r="Q95" s="7">
        <f>IF($V95="","",P95*O95)</f>
        <v/>
      </c>
      <c r="R95" s="7">
        <f>IF($V95="","",Q95+N95)</f>
        <v/>
      </c>
      <c r="S95" s="7">
        <f>IF($V95="","",T95-R95)</f>
        <v/>
      </c>
      <c r="T95" s="7">
        <f>IF($V95="","",M95+P95)</f>
        <v/>
      </c>
      <c r="U95" s="7">
        <f>IF($V95="","",T95-R95-H95)</f>
        <v/>
      </c>
      <c r="V95" s="13">
        <f>IF(ROWS($V$2:$V95)&lt;=MAX('Per Line'!$X$2:$X$501),MATCH(ROWS($V$2:$V95),'Per Line'!$X$2:$X$501,0),"")</f>
        <v/>
      </c>
    </row>
    <row r="96">
      <c r="A96" s="12" t="n"/>
      <c r="B96">
        <f>IF($V96="","",INDEX('Per Line'!$B$2:$B$501,$V96)&amp;"")</f>
        <v/>
      </c>
      <c r="C96" s="12" t="n"/>
      <c r="D96">
        <f>IF($V96="","",INDEX('Per Line'!$C$2:$C$501,$V96)&amp;"")</f>
        <v/>
      </c>
      <c r="E96">
        <f>IF($V96="","",INDEX('Per Line'!$D$2:$D$501,$V96)&amp;"")</f>
        <v/>
      </c>
      <c r="F96">
        <f>IF($V96="","",INDEX('Per Line'!$E$2:$E$501,$V96)&amp;"")</f>
        <v/>
      </c>
      <c r="G96">
        <f>IF($V96="","",INDEX('Per Line'!$F$2:$F$501,$V96))</f>
        <v/>
      </c>
      <c r="H96" s="7">
        <f>IF($V96="","",G96*T96/100)</f>
        <v/>
      </c>
      <c r="I96">
        <f>IF($V96="","",INDEX('Per Line'!$M$2:$M$501,$V96)&amp;"")</f>
        <v/>
      </c>
      <c r="J96">
        <f>IF($V96="","",INDEX('Per Line'!$O$2:$O$501,$V96)&amp;"")</f>
        <v/>
      </c>
      <c r="K96">
        <f>IF($V96="","",INDEX('Per Line'!$Q$2:$Q$501,$V96)&amp;"")</f>
        <v/>
      </c>
      <c r="L96">
        <f>IF($V96="","",Settings!$C$7)</f>
        <v/>
      </c>
      <c r="M96" s="7">
        <f>IF($V96="","",SUMIFS('Per Line'!$L$2:$L$501,'Per Line'!$B$2:$B$501,$B96,'Per Line'!$Y$2:$Y$501,0))</f>
        <v/>
      </c>
      <c r="N96" s="7">
        <f>IF($V96="","",M96*L96)</f>
        <v/>
      </c>
      <c r="O96">
        <f>IF($V96="","",Settings!$C$6)</f>
        <v/>
      </c>
      <c r="P96" s="7">
        <f>IF($V96="","",SUMIFS('Per Line'!$L$2:$L$501,'Per Line'!$B$2:$B$501,$B96,'Per Line'!$Y$2:$Y$501,1))</f>
        <v/>
      </c>
      <c r="Q96" s="7">
        <f>IF($V96="","",P96*O96)</f>
        <v/>
      </c>
      <c r="R96" s="7">
        <f>IF($V96="","",Q96+N96)</f>
        <v/>
      </c>
      <c r="S96" s="7">
        <f>IF($V96="","",T96-R96)</f>
        <v/>
      </c>
      <c r="T96" s="7">
        <f>IF($V96="","",M96+P96)</f>
        <v/>
      </c>
      <c r="U96" s="7">
        <f>IF($V96="","",T96-R96-H96)</f>
        <v/>
      </c>
      <c r="V96" s="13">
        <f>IF(ROWS($V$2:$V96)&lt;=MAX('Per Line'!$X$2:$X$501),MATCH(ROWS($V$2:$V96),'Per Line'!$X$2:$X$501,0),"")</f>
        <v/>
      </c>
    </row>
    <row r="97">
      <c r="A97" s="12" t="n"/>
      <c r="B97">
        <f>IF($V97="","",INDEX('Per Line'!$B$2:$B$501,$V97)&amp;"")</f>
        <v/>
      </c>
      <c r="C97" s="12" t="n"/>
      <c r="D97">
        <f>IF($V97="","",INDEX('Per Line'!$C$2:$C$501,$V97)&amp;"")</f>
        <v/>
      </c>
      <c r="E97">
        <f>IF($V97="","",INDEX('Per Line'!$D$2:$D$501,$V97)&amp;"")</f>
        <v/>
      </c>
      <c r="F97">
        <f>IF($V97="","",INDEX('Per Line'!$E$2:$E$501,$V97)&amp;"")</f>
        <v/>
      </c>
      <c r="G97">
        <f>IF($V97="","",INDEX('Per Line'!$F$2:$F$501,$V97))</f>
        <v/>
      </c>
      <c r="H97" s="7">
        <f>IF($V97="","",G97*T97/100)</f>
        <v/>
      </c>
      <c r="I97">
        <f>IF($V97="","",INDEX('Per Line'!$M$2:$M$501,$V97)&amp;"")</f>
        <v/>
      </c>
      <c r="J97">
        <f>IF($V97="","",INDEX('Per Line'!$O$2:$O$501,$V97)&amp;"")</f>
        <v/>
      </c>
      <c r="K97">
        <f>IF($V97="","",INDEX('Per Line'!$Q$2:$Q$501,$V97)&amp;"")</f>
        <v/>
      </c>
      <c r="L97">
        <f>IF($V97="","",Settings!$C$7)</f>
        <v/>
      </c>
      <c r="M97" s="7">
        <f>IF($V97="","",SUMIFS('Per Line'!$L$2:$L$501,'Per Line'!$B$2:$B$501,$B97,'Per Line'!$Y$2:$Y$501,0))</f>
        <v/>
      </c>
      <c r="N97" s="7">
        <f>IF($V97="","",M97*L97)</f>
        <v/>
      </c>
      <c r="O97">
        <f>IF($V97="","",Settings!$C$6)</f>
        <v/>
      </c>
      <c r="P97" s="7">
        <f>IF($V97="","",SUMIFS('Per Line'!$L$2:$L$501,'Per Line'!$B$2:$B$501,$B97,'Per Line'!$Y$2:$Y$501,1))</f>
        <v/>
      </c>
      <c r="Q97" s="7">
        <f>IF($V97="","",P97*O97)</f>
        <v/>
      </c>
      <c r="R97" s="7">
        <f>IF($V97="","",Q97+N97)</f>
        <v/>
      </c>
      <c r="S97" s="7">
        <f>IF($V97="","",T97-R97)</f>
        <v/>
      </c>
      <c r="T97" s="7">
        <f>IF($V97="","",M97+P97)</f>
        <v/>
      </c>
      <c r="U97" s="7">
        <f>IF($V97="","",T97-R97-H97)</f>
        <v/>
      </c>
      <c r="V97" s="13">
        <f>IF(ROWS($V$2:$V97)&lt;=MAX('Per Line'!$X$2:$X$501),MATCH(ROWS($V$2:$V97),'Per Line'!$X$2:$X$501,0),"")</f>
        <v/>
      </c>
    </row>
    <row r="98">
      <c r="A98" s="12" t="n"/>
      <c r="B98">
        <f>IF($V98="","",INDEX('Per Line'!$B$2:$B$501,$V98)&amp;"")</f>
        <v/>
      </c>
      <c r="C98" s="12" t="n"/>
      <c r="D98">
        <f>IF($V98="","",INDEX('Per Line'!$C$2:$C$501,$V98)&amp;"")</f>
        <v/>
      </c>
      <c r="E98">
        <f>IF($V98="","",INDEX('Per Line'!$D$2:$D$501,$V98)&amp;"")</f>
        <v/>
      </c>
      <c r="F98">
        <f>IF($V98="","",INDEX('Per Line'!$E$2:$E$501,$V98)&amp;"")</f>
        <v/>
      </c>
      <c r="G98">
        <f>IF($V98="","",INDEX('Per Line'!$F$2:$F$501,$V98))</f>
        <v/>
      </c>
      <c r="H98" s="7">
        <f>IF($V98="","",G98*T98/100)</f>
        <v/>
      </c>
      <c r="I98">
        <f>IF($V98="","",INDEX('Per Line'!$M$2:$M$501,$V98)&amp;"")</f>
        <v/>
      </c>
      <c r="J98">
        <f>IF($V98="","",INDEX('Per Line'!$O$2:$O$501,$V98)&amp;"")</f>
        <v/>
      </c>
      <c r="K98">
        <f>IF($V98="","",INDEX('Per Line'!$Q$2:$Q$501,$V98)&amp;"")</f>
        <v/>
      </c>
      <c r="L98">
        <f>IF($V98="","",Settings!$C$7)</f>
        <v/>
      </c>
      <c r="M98" s="7">
        <f>IF($V98="","",SUMIFS('Per Line'!$L$2:$L$501,'Per Line'!$B$2:$B$501,$B98,'Per Line'!$Y$2:$Y$501,0))</f>
        <v/>
      </c>
      <c r="N98" s="7">
        <f>IF($V98="","",M98*L98)</f>
        <v/>
      </c>
      <c r="O98">
        <f>IF($V98="","",Settings!$C$6)</f>
        <v/>
      </c>
      <c r="P98" s="7">
        <f>IF($V98="","",SUMIFS('Per Line'!$L$2:$L$501,'Per Line'!$B$2:$B$501,$B98,'Per Line'!$Y$2:$Y$501,1))</f>
        <v/>
      </c>
      <c r="Q98" s="7">
        <f>IF($V98="","",P98*O98)</f>
        <v/>
      </c>
      <c r="R98" s="7">
        <f>IF($V98="","",Q98+N98)</f>
        <v/>
      </c>
      <c r="S98" s="7">
        <f>IF($V98="","",T98-R98)</f>
        <v/>
      </c>
      <c r="T98" s="7">
        <f>IF($V98="","",M98+P98)</f>
        <v/>
      </c>
      <c r="U98" s="7">
        <f>IF($V98="","",T98-R98-H98)</f>
        <v/>
      </c>
      <c r="V98" s="13">
        <f>IF(ROWS($V$2:$V98)&lt;=MAX('Per Line'!$X$2:$X$501),MATCH(ROWS($V$2:$V98),'Per Line'!$X$2:$X$501,0),"")</f>
        <v/>
      </c>
    </row>
    <row r="99">
      <c r="A99" s="12" t="n"/>
      <c r="B99">
        <f>IF($V99="","",INDEX('Per Line'!$B$2:$B$501,$V99)&amp;"")</f>
        <v/>
      </c>
      <c r="C99" s="12" t="n"/>
      <c r="D99">
        <f>IF($V99="","",INDEX('Per Line'!$C$2:$C$501,$V99)&amp;"")</f>
        <v/>
      </c>
      <c r="E99">
        <f>IF($V99="","",INDEX('Per Line'!$D$2:$D$501,$V99)&amp;"")</f>
        <v/>
      </c>
      <c r="F99">
        <f>IF($V99="","",INDEX('Per Line'!$E$2:$E$501,$V99)&amp;"")</f>
        <v/>
      </c>
      <c r="G99">
        <f>IF($V99="","",INDEX('Per Line'!$F$2:$F$501,$V99))</f>
        <v/>
      </c>
      <c r="H99" s="7">
        <f>IF($V99="","",G99*T99/100)</f>
        <v/>
      </c>
      <c r="I99">
        <f>IF($V99="","",INDEX('Per Line'!$M$2:$M$501,$V99)&amp;"")</f>
        <v/>
      </c>
      <c r="J99">
        <f>IF($V99="","",INDEX('Per Line'!$O$2:$O$501,$V99)&amp;"")</f>
        <v/>
      </c>
      <c r="K99">
        <f>IF($V99="","",INDEX('Per Line'!$Q$2:$Q$501,$V99)&amp;"")</f>
        <v/>
      </c>
      <c r="L99">
        <f>IF($V99="","",Settings!$C$7)</f>
        <v/>
      </c>
      <c r="M99" s="7">
        <f>IF($V99="","",SUMIFS('Per Line'!$L$2:$L$501,'Per Line'!$B$2:$B$501,$B99,'Per Line'!$Y$2:$Y$501,0))</f>
        <v/>
      </c>
      <c r="N99" s="7">
        <f>IF($V99="","",M99*L99)</f>
        <v/>
      </c>
      <c r="O99">
        <f>IF($V99="","",Settings!$C$6)</f>
        <v/>
      </c>
      <c r="P99" s="7">
        <f>IF($V99="","",SUMIFS('Per Line'!$L$2:$L$501,'Per Line'!$B$2:$B$501,$B99,'Per Line'!$Y$2:$Y$501,1))</f>
        <v/>
      </c>
      <c r="Q99" s="7">
        <f>IF($V99="","",P99*O99)</f>
        <v/>
      </c>
      <c r="R99" s="7">
        <f>IF($V99="","",Q99+N99)</f>
        <v/>
      </c>
      <c r="S99" s="7">
        <f>IF($V99="","",T99-R99)</f>
        <v/>
      </c>
      <c r="T99" s="7">
        <f>IF($V99="","",M99+P99)</f>
        <v/>
      </c>
      <c r="U99" s="7">
        <f>IF($V99="","",T99-R99-H99)</f>
        <v/>
      </c>
      <c r="V99" s="13">
        <f>IF(ROWS($V$2:$V99)&lt;=MAX('Per Line'!$X$2:$X$501),MATCH(ROWS($V$2:$V99),'Per Line'!$X$2:$X$501,0),"")</f>
        <v/>
      </c>
    </row>
    <row r="100">
      <c r="A100" s="12" t="n"/>
      <c r="B100">
        <f>IF($V100="","",INDEX('Per Line'!$B$2:$B$501,$V100)&amp;"")</f>
        <v/>
      </c>
      <c r="C100" s="12" t="n"/>
      <c r="D100">
        <f>IF($V100="","",INDEX('Per Line'!$C$2:$C$501,$V100)&amp;"")</f>
        <v/>
      </c>
      <c r="E100">
        <f>IF($V100="","",INDEX('Per Line'!$D$2:$D$501,$V100)&amp;"")</f>
        <v/>
      </c>
      <c r="F100">
        <f>IF($V100="","",INDEX('Per Line'!$E$2:$E$501,$V100)&amp;"")</f>
        <v/>
      </c>
      <c r="G100">
        <f>IF($V100="","",INDEX('Per Line'!$F$2:$F$501,$V100))</f>
        <v/>
      </c>
      <c r="H100" s="7">
        <f>IF($V100="","",G100*T100/100)</f>
        <v/>
      </c>
      <c r="I100">
        <f>IF($V100="","",INDEX('Per Line'!$M$2:$M$501,$V100)&amp;"")</f>
        <v/>
      </c>
      <c r="J100">
        <f>IF($V100="","",INDEX('Per Line'!$O$2:$O$501,$V100)&amp;"")</f>
        <v/>
      </c>
      <c r="K100">
        <f>IF($V100="","",INDEX('Per Line'!$Q$2:$Q$501,$V100)&amp;"")</f>
        <v/>
      </c>
      <c r="L100">
        <f>IF($V100="","",Settings!$C$7)</f>
        <v/>
      </c>
      <c r="M100" s="7">
        <f>IF($V100="","",SUMIFS('Per Line'!$L$2:$L$501,'Per Line'!$B$2:$B$501,$B100,'Per Line'!$Y$2:$Y$501,0))</f>
        <v/>
      </c>
      <c r="N100" s="7">
        <f>IF($V100="","",M100*L100)</f>
        <v/>
      </c>
      <c r="O100">
        <f>IF($V100="","",Settings!$C$6)</f>
        <v/>
      </c>
      <c r="P100" s="7">
        <f>IF($V100="","",SUMIFS('Per Line'!$L$2:$L$501,'Per Line'!$B$2:$B$501,$B100,'Per Line'!$Y$2:$Y$501,1))</f>
        <v/>
      </c>
      <c r="Q100" s="7">
        <f>IF($V100="","",P100*O100)</f>
        <v/>
      </c>
      <c r="R100" s="7">
        <f>IF($V100="","",Q100+N100)</f>
        <v/>
      </c>
      <c r="S100" s="7">
        <f>IF($V100="","",T100-R100)</f>
        <v/>
      </c>
      <c r="T100" s="7">
        <f>IF($V100="","",M100+P100)</f>
        <v/>
      </c>
      <c r="U100" s="7">
        <f>IF($V100="","",T100-R100-H100)</f>
        <v/>
      </c>
      <c r="V100" s="13">
        <f>IF(ROWS($V$2:$V100)&lt;=MAX('Per Line'!$X$2:$X$501),MATCH(ROWS($V$2:$V100),'Per Line'!$X$2:$X$501,0),"")</f>
        <v/>
      </c>
    </row>
    <row r="101">
      <c r="A101" s="12" t="n"/>
      <c r="B101">
        <f>IF($V101="","",INDEX('Per Line'!$B$2:$B$501,$V101)&amp;"")</f>
        <v/>
      </c>
      <c r="C101" s="12" t="n"/>
      <c r="D101">
        <f>IF($V101="","",INDEX('Per Line'!$C$2:$C$501,$V101)&amp;"")</f>
        <v/>
      </c>
      <c r="E101">
        <f>IF($V101="","",INDEX('Per Line'!$D$2:$D$501,$V101)&amp;"")</f>
        <v/>
      </c>
      <c r="F101">
        <f>IF($V101="","",INDEX('Per Line'!$E$2:$E$501,$V101)&amp;"")</f>
        <v/>
      </c>
      <c r="G101">
        <f>IF($V101="","",INDEX('Per Line'!$F$2:$F$501,$V101))</f>
        <v/>
      </c>
      <c r="H101" s="7">
        <f>IF($V101="","",G101*T101/100)</f>
        <v/>
      </c>
      <c r="I101">
        <f>IF($V101="","",INDEX('Per Line'!$M$2:$M$501,$V101)&amp;"")</f>
        <v/>
      </c>
      <c r="J101">
        <f>IF($V101="","",INDEX('Per Line'!$O$2:$O$501,$V101)&amp;"")</f>
        <v/>
      </c>
      <c r="K101">
        <f>IF($V101="","",INDEX('Per Line'!$Q$2:$Q$501,$V101)&amp;"")</f>
        <v/>
      </c>
      <c r="L101">
        <f>IF($V101="","",Settings!$C$7)</f>
        <v/>
      </c>
      <c r="M101" s="7">
        <f>IF($V101="","",SUMIFS('Per Line'!$L$2:$L$501,'Per Line'!$B$2:$B$501,$B101,'Per Line'!$Y$2:$Y$501,0))</f>
        <v/>
      </c>
      <c r="N101" s="7">
        <f>IF($V101="","",M101*L101)</f>
        <v/>
      </c>
      <c r="O101">
        <f>IF($V101="","",Settings!$C$6)</f>
        <v/>
      </c>
      <c r="P101" s="7">
        <f>IF($V101="","",SUMIFS('Per Line'!$L$2:$L$501,'Per Line'!$B$2:$B$501,$B101,'Per Line'!$Y$2:$Y$501,1))</f>
        <v/>
      </c>
      <c r="Q101" s="7">
        <f>IF($V101="","",P101*O101)</f>
        <v/>
      </c>
      <c r="R101" s="7">
        <f>IF($V101="","",Q101+N101)</f>
        <v/>
      </c>
      <c r="S101" s="7">
        <f>IF($V101="","",T101-R101)</f>
        <v/>
      </c>
      <c r="T101" s="7">
        <f>IF($V101="","",M101+P101)</f>
        <v/>
      </c>
      <c r="U101" s="7">
        <f>IF($V101="","",T101-R101-H101)</f>
        <v/>
      </c>
      <c r="V101" s="13">
        <f>IF(ROWS($V$2:$V101)&lt;=MAX('Per Line'!$X$2:$X$501),MATCH(ROWS($V$2:$V101),'Per Line'!$X$2:$X$501,0),"")</f>
        <v/>
      </c>
    </row>
    <row r="102">
      <c r="A102" s="12" t="n"/>
      <c r="B102">
        <f>IF($V102="","",INDEX('Per Line'!$B$2:$B$501,$V102)&amp;"")</f>
        <v/>
      </c>
      <c r="C102" s="12" t="n"/>
      <c r="D102">
        <f>IF($V102="","",INDEX('Per Line'!$C$2:$C$501,$V102)&amp;"")</f>
        <v/>
      </c>
      <c r="E102">
        <f>IF($V102="","",INDEX('Per Line'!$D$2:$D$501,$V102)&amp;"")</f>
        <v/>
      </c>
      <c r="F102">
        <f>IF($V102="","",INDEX('Per Line'!$E$2:$E$501,$V102)&amp;"")</f>
        <v/>
      </c>
      <c r="G102">
        <f>IF($V102="","",INDEX('Per Line'!$F$2:$F$501,$V102))</f>
        <v/>
      </c>
      <c r="H102" s="7">
        <f>IF($V102="","",G102*T102/100)</f>
        <v/>
      </c>
      <c r="I102">
        <f>IF($V102="","",INDEX('Per Line'!$M$2:$M$501,$V102)&amp;"")</f>
        <v/>
      </c>
      <c r="J102">
        <f>IF($V102="","",INDEX('Per Line'!$O$2:$O$501,$V102)&amp;"")</f>
        <v/>
      </c>
      <c r="K102">
        <f>IF($V102="","",INDEX('Per Line'!$Q$2:$Q$501,$V102)&amp;"")</f>
        <v/>
      </c>
      <c r="L102">
        <f>IF($V102="","",Settings!$C$7)</f>
        <v/>
      </c>
      <c r="M102" s="7">
        <f>IF($V102="","",SUMIFS('Per Line'!$L$2:$L$501,'Per Line'!$B$2:$B$501,$B102,'Per Line'!$Y$2:$Y$501,0))</f>
        <v/>
      </c>
      <c r="N102" s="7">
        <f>IF($V102="","",M102*L102)</f>
        <v/>
      </c>
      <c r="O102">
        <f>IF($V102="","",Settings!$C$6)</f>
        <v/>
      </c>
      <c r="P102" s="7">
        <f>IF($V102="","",SUMIFS('Per Line'!$L$2:$L$501,'Per Line'!$B$2:$B$501,$B102,'Per Line'!$Y$2:$Y$501,1))</f>
        <v/>
      </c>
      <c r="Q102" s="7">
        <f>IF($V102="","",P102*O102)</f>
        <v/>
      </c>
      <c r="R102" s="7">
        <f>IF($V102="","",Q102+N102)</f>
        <v/>
      </c>
      <c r="S102" s="7">
        <f>IF($V102="","",T102-R102)</f>
        <v/>
      </c>
      <c r="T102" s="7">
        <f>IF($V102="","",M102+P102)</f>
        <v/>
      </c>
      <c r="U102" s="7">
        <f>IF($V102="","",T102-R102-H102)</f>
        <v/>
      </c>
      <c r="V102" s="13">
        <f>IF(ROWS($V$2:$V102)&lt;=MAX('Per Line'!$X$2:$X$501),MATCH(ROWS($V$2:$V102),'Per Line'!$X$2:$X$501,0),"")</f>
        <v/>
      </c>
    </row>
    <row r="103">
      <c r="A103" s="12" t="n"/>
      <c r="B103">
        <f>IF($V103="","",INDEX('Per Line'!$B$2:$B$501,$V103)&amp;"")</f>
        <v/>
      </c>
      <c r="C103" s="12" t="n"/>
      <c r="D103">
        <f>IF($V103="","",INDEX('Per Line'!$C$2:$C$501,$V103)&amp;"")</f>
        <v/>
      </c>
      <c r="E103">
        <f>IF($V103="","",INDEX('Per Line'!$D$2:$D$501,$V103)&amp;"")</f>
        <v/>
      </c>
      <c r="F103">
        <f>IF($V103="","",INDEX('Per Line'!$E$2:$E$501,$V103)&amp;"")</f>
        <v/>
      </c>
      <c r="G103">
        <f>IF($V103="","",INDEX('Per Line'!$F$2:$F$501,$V103))</f>
        <v/>
      </c>
      <c r="H103" s="7">
        <f>IF($V103="","",G103*T103/100)</f>
        <v/>
      </c>
      <c r="I103">
        <f>IF($V103="","",INDEX('Per Line'!$M$2:$M$501,$V103)&amp;"")</f>
        <v/>
      </c>
      <c r="J103">
        <f>IF($V103="","",INDEX('Per Line'!$O$2:$O$501,$V103)&amp;"")</f>
        <v/>
      </c>
      <c r="K103">
        <f>IF($V103="","",INDEX('Per Line'!$Q$2:$Q$501,$V103)&amp;"")</f>
        <v/>
      </c>
      <c r="L103">
        <f>IF($V103="","",Settings!$C$7)</f>
        <v/>
      </c>
      <c r="M103" s="7">
        <f>IF($V103="","",SUMIFS('Per Line'!$L$2:$L$501,'Per Line'!$B$2:$B$501,$B103,'Per Line'!$Y$2:$Y$501,0))</f>
        <v/>
      </c>
      <c r="N103" s="7">
        <f>IF($V103="","",M103*L103)</f>
        <v/>
      </c>
      <c r="O103">
        <f>IF($V103="","",Settings!$C$6)</f>
        <v/>
      </c>
      <c r="P103" s="7">
        <f>IF($V103="","",SUMIFS('Per Line'!$L$2:$L$501,'Per Line'!$B$2:$B$501,$B103,'Per Line'!$Y$2:$Y$501,1))</f>
        <v/>
      </c>
      <c r="Q103" s="7">
        <f>IF($V103="","",P103*O103)</f>
        <v/>
      </c>
      <c r="R103" s="7">
        <f>IF($V103="","",Q103+N103)</f>
        <v/>
      </c>
      <c r="S103" s="7">
        <f>IF($V103="","",T103-R103)</f>
        <v/>
      </c>
      <c r="T103" s="7">
        <f>IF($V103="","",M103+P103)</f>
        <v/>
      </c>
      <c r="U103" s="7">
        <f>IF($V103="","",T103-R103-H103)</f>
        <v/>
      </c>
      <c r="V103" s="13">
        <f>IF(ROWS($V$2:$V103)&lt;=MAX('Per Line'!$X$2:$X$501),MATCH(ROWS($V$2:$V103),'Per Line'!$X$2:$X$501,0),"")</f>
        <v/>
      </c>
    </row>
    <row r="104">
      <c r="A104" s="12" t="n"/>
      <c r="B104">
        <f>IF($V104="","",INDEX('Per Line'!$B$2:$B$501,$V104)&amp;"")</f>
        <v/>
      </c>
      <c r="C104" s="12" t="n"/>
      <c r="D104">
        <f>IF($V104="","",INDEX('Per Line'!$C$2:$C$501,$V104)&amp;"")</f>
        <v/>
      </c>
      <c r="E104">
        <f>IF($V104="","",INDEX('Per Line'!$D$2:$D$501,$V104)&amp;"")</f>
        <v/>
      </c>
      <c r="F104">
        <f>IF($V104="","",INDEX('Per Line'!$E$2:$E$501,$V104)&amp;"")</f>
        <v/>
      </c>
      <c r="G104">
        <f>IF($V104="","",INDEX('Per Line'!$F$2:$F$501,$V104))</f>
        <v/>
      </c>
      <c r="H104" s="7">
        <f>IF($V104="","",G104*T104/100)</f>
        <v/>
      </c>
      <c r="I104">
        <f>IF($V104="","",INDEX('Per Line'!$M$2:$M$501,$V104)&amp;"")</f>
        <v/>
      </c>
      <c r="J104">
        <f>IF($V104="","",INDEX('Per Line'!$O$2:$O$501,$V104)&amp;"")</f>
        <v/>
      </c>
      <c r="K104">
        <f>IF($V104="","",INDEX('Per Line'!$Q$2:$Q$501,$V104)&amp;"")</f>
        <v/>
      </c>
      <c r="L104">
        <f>IF($V104="","",Settings!$C$7)</f>
        <v/>
      </c>
      <c r="M104" s="7">
        <f>IF($V104="","",SUMIFS('Per Line'!$L$2:$L$501,'Per Line'!$B$2:$B$501,$B104,'Per Line'!$Y$2:$Y$501,0))</f>
        <v/>
      </c>
      <c r="N104" s="7">
        <f>IF($V104="","",M104*L104)</f>
        <v/>
      </c>
      <c r="O104">
        <f>IF($V104="","",Settings!$C$6)</f>
        <v/>
      </c>
      <c r="P104" s="7">
        <f>IF($V104="","",SUMIFS('Per Line'!$L$2:$L$501,'Per Line'!$B$2:$B$501,$B104,'Per Line'!$Y$2:$Y$501,1))</f>
        <v/>
      </c>
      <c r="Q104" s="7">
        <f>IF($V104="","",P104*O104)</f>
        <v/>
      </c>
      <c r="R104" s="7">
        <f>IF($V104="","",Q104+N104)</f>
        <v/>
      </c>
      <c r="S104" s="7">
        <f>IF($V104="","",T104-R104)</f>
        <v/>
      </c>
      <c r="T104" s="7">
        <f>IF($V104="","",M104+P104)</f>
        <v/>
      </c>
      <c r="U104" s="7">
        <f>IF($V104="","",T104-R104-H104)</f>
        <v/>
      </c>
      <c r="V104" s="13">
        <f>IF(ROWS($V$2:$V104)&lt;=MAX('Per Line'!$X$2:$X$501),MATCH(ROWS($V$2:$V104),'Per Line'!$X$2:$X$501,0),"")</f>
        <v/>
      </c>
    </row>
    <row r="105">
      <c r="A105" s="12" t="n"/>
      <c r="B105">
        <f>IF($V105="","",INDEX('Per Line'!$B$2:$B$501,$V105)&amp;"")</f>
        <v/>
      </c>
      <c r="C105" s="12" t="n"/>
      <c r="D105">
        <f>IF($V105="","",INDEX('Per Line'!$C$2:$C$501,$V105)&amp;"")</f>
        <v/>
      </c>
      <c r="E105">
        <f>IF($V105="","",INDEX('Per Line'!$D$2:$D$501,$V105)&amp;"")</f>
        <v/>
      </c>
      <c r="F105">
        <f>IF($V105="","",INDEX('Per Line'!$E$2:$E$501,$V105)&amp;"")</f>
        <v/>
      </c>
      <c r="G105">
        <f>IF($V105="","",INDEX('Per Line'!$F$2:$F$501,$V105))</f>
        <v/>
      </c>
      <c r="H105" s="7">
        <f>IF($V105="","",G105*T105/100)</f>
        <v/>
      </c>
      <c r="I105">
        <f>IF($V105="","",INDEX('Per Line'!$M$2:$M$501,$V105)&amp;"")</f>
        <v/>
      </c>
      <c r="J105">
        <f>IF($V105="","",INDEX('Per Line'!$O$2:$O$501,$V105)&amp;"")</f>
        <v/>
      </c>
      <c r="K105">
        <f>IF($V105="","",INDEX('Per Line'!$Q$2:$Q$501,$V105)&amp;"")</f>
        <v/>
      </c>
      <c r="L105">
        <f>IF($V105="","",Settings!$C$7)</f>
        <v/>
      </c>
      <c r="M105" s="7">
        <f>IF($V105="","",SUMIFS('Per Line'!$L$2:$L$501,'Per Line'!$B$2:$B$501,$B105,'Per Line'!$Y$2:$Y$501,0))</f>
        <v/>
      </c>
      <c r="N105" s="7">
        <f>IF($V105="","",M105*L105)</f>
        <v/>
      </c>
      <c r="O105">
        <f>IF($V105="","",Settings!$C$6)</f>
        <v/>
      </c>
      <c r="P105" s="7">
        <f>IF($V105="","",SUMIFS('Per Line'!$L$2:$L$501,'Per Line'!$B$2:$B$501,$B105,'Per Line'!$Y$2:$Y$501,1))</f>
        <v/>
      </c>
      <c r="Q105" s="7">
        <f>IF($V105="","",P105*O105)</f>
        <v/>
      </c>
      <c r="R105" s="7">
        <f>IF($V105="","",Q105+N105)</f>
        <v/>
      </c>
      <c r="S105" s="7">
        <f>IF($V105="","",T105-R105)</f>
        <v/>
      </c>
      <c r="T105" s="7">
        <f>IF($V105="","",M105+P105)</f>
        <v/>
      </c>
      <c r="U105" s="7">
        <f>IF($V105="","",T105-R105-H105)</f>
        <v/>
      </c>
      <c r="V105" s="13">
        <f>IF(ROWS($V$2:$V105)&lt;=MAX('Per Line'!$X$2:$X$501),MATCH(ROWS($V$2:$V105),'Per Line'!$X$2:$X$501,0),"")</f>
        <v/>
      </c>
    </row>
    <row r="106">
      <c r="A106" s="12" t="n"/>
      <c r="B106">
        <f>IF($V106="","",INDEX('Per Line'!$B$2:$B$501,$V106)&amp;"")</f>
        <v/>
      </c>
      <c r="C106" s="12" t="n"/>
      <c r="D106">
        <f>IF($V106="","",INDEX('Per Line'!$C$2:$C$501,$V106)&amp;"")</f>
        <v/>
      </c>
      <c r="E106">
        <f>IF($V106="","",INDEX('Per Line'!$D$2:$D$501,$V106)&amp;"")</f>
        <v/>
      </c>
      <c r="F106">
        <f>IF($V106="","",INDEX('Per Line'!$E$2:$E$501,$V106)&amp;"")</f>
        <v/>
      </c>
      <c r="G106">
        <f>IF($V106="","",INDEX('Per Line'!$F$2:$F$501,$V106))</f>
        <v/>
      </c>
      <c r="H106" s="7">
        <f>IF($V106="","",G106*T106/100)</f>
        <v/>
      </c>
      <c r="I106">
        <f>IF($V106="","",INDEX('Per Line'!$M$2:$M$501,$V106)&amp;"")</f>
        <v/>
      </c>
      <c r="J106">
        <f>IF($V106="","",INDEX('Per Line'!$O$2:$O$501,$V106)&amp;"")</f>
        <v/>
      </c>
      <c r="K106">
        <f>IF($V106="","",INDEX('Per Line'!$Q$2:$Q$501,$V106)&amp;"")</f>
        <v/>
      </c>
      <c r="L106">
        <f>IF($V106="","",Settings!$C$7)</f>
        <v/>
      </c>
      <c r="M106" s="7">
        <f>IF($V106="","",SUMIFS('Per Line'!$L$2:$L$501,'Per Line'!$B$2:$B$501,$B106,'Per Line'!$Y$2:$Y$501,0))</f>
        <v/>
      </c>
      <c r="N106" s="7">
        <f>IF($V106="","",M106*L106)</f>
        <v/>
      </c>
      <c r="O106">
        <f>IF($V106="","",Settings!$C$6)</f>
        <v/>
      </c>
      <c r="P106" s="7">
        <f>IF($V106="","",SUMIFS('Per Line'!$L$2:$L$501,'Per Line'!$B$2:$B$501,$B106,'Per Line'!$Y$2:$Y$501,1))</f>
        <v/>
      </c>
      <c r="Q106" s="7">
        <f>IF($V106="","",P106*O106)</f>
        <v/>
      </c>
      <c r="R106" s="7">
        <f>IF($V106="","",Q106+N106)</f>
        <v/>
      </c>
      <c r="S106" s="7">
        <f>IF($V106="","",T106-R106)</f>
        <v/>
      </c>
      <c r="T106" s="7">
        <f>IF($V106="","",M106+P106)</f>
        <v/>
      </c>
      <c r="U106" s="7">
        <f>IF($V106="","",T106-R106-H106)</f>
        <v/>
      </c>
      <c r="V106" s="13">
        <f>IF(ROWS($V$2:$V106)&lt;=MAX('Per Line'!$X$2:$X$501),MATCH(ROWS($V$2:$V106),'Per Line'!$X$2:$X$501,0),"")</f>
        <v/>
      </c>
    </row>
    <row r="107">
      <c r="A107" s="12" t="n"/>
      <c r="B107">
        <f>IF($V107="","",INDEX('Per Line'!$B$2:$B$501,$V107)&amp;"")</f>
        <v/>
      </c>
      <c r="C107" s="12" t="n"/>
      <c r="D107">
        <f>IF($V107="","",INDEX('Per Line'!$C$2:$C$501,$V107)&amp;"")</f>
        <v/>
      </c>
      <c r="E107">
        <f>IF($V107="","",INDEX('Per Line'!$D$2:$D$501,$V107)&amp;"")</f>
        <v/>
      </c>
      <c r="F107">
        <f>IF($V107="","",INDEX('Per Line'!$E$2:$E$501,$V107)&amp;"")</f>
        <v/>
      </c>
      <c r="G107">
        <f>IF($V107="","",INDEX('Per Line'!$F$2:$F$501,$V107))</f>
        <v/>
      </c>
      <c r="H107" s="7">
        <f>IF($V107="","",G107*T107/100)</f>
        <v/>
      </c>
      <c r="I107">
        <f>IF($V107="","",INDEX('Per Line'!$M$2:$M$501,$V107)&amp;"")</f>
        <v/>
      </c>
      <c r="J107">
        <f>IF($V107="","",INDEX('Per Line'!$O$2:$O$501,$V107)&amp;"")</f>
        <v/>
      </c>
      <c r="K107">
        <f>IF($V107="","",INDEX('Per Line'!$Q$2:$Q$501,$V107)&amp;"")</f>
        <v/>
      </c>
      <c r="L107">
        <f>IF($V107="","",Settings!$C$7)</f>
        <v/>
      </c>
      <c r="M107" s="7">
        <f>IF($V107="","",SUMIFS('Per Line'!$L$2:$L$501,'Per Line'!$B$2:$B$501,$B107,'Per Line'!$Y$2:$Y$501,0))</f>
        <v/>
      </c>
      <c r="N107" s="7">
        <f>IF($V107="","",M107*L107)</f>
        <v/>
      </c>
      <c r="O107">
        <f>IF($V107="","",Settings!$C$6)</f>
        <v/>
      </c>
      <c r="P107" s="7">
        <f>IF($V107="","",SUMIFS('Per Line'!$L$2:$L$501,'Per Line'!$B$2:$B$501,$B107,'Per Line'!$Y$2:$Y$501,1))</f>
        <v/>
      </c>
      <c r="Q107" s="7">
        <f>IF($V107="","",P107*O107)</f>
        <v/>
      </c>
      <c r="R107" s="7">
        <f>IF($V107="","",Q107+N107)</f>
        <v/>
      </c>
      <c r="S107" s="7">
        <f>IF($V107="","",T107-R107)</f>
        <v/>
      </c>
      <c r="T107" s="7">
        <f>IF($V107="","",M107+P107)</f>
        <v/>
      </c>
      <c r="U107" s="7">
        <f>IF($V107="","",T107-R107-H107)</f>
        <v/>
      </c>
      <c r="V107" s="13">
        <f>IF(ROWS($V$2:$V107)&lt;=MAX('Per Line'!$X$2:$X$501),MATCH(ROWS($V$2:$V107),'Per Line'!$X$2:$X$501,0),"")</f>
        <v/>
      </c>
    </row>
    <row r="108">
      <c r="A108" s="12" t="n"/>
      <c r="B108">
        <f>IF($V108="","",INDEX('Per Line'!$B$2:$B$501,$V108)&amp;"")</f>
        <v/>
      </c>
      <c r="C108" s="12" t="n"/>
      <c r="D108">
        <f>IF($V108="","",INDEX('Per Line'!$C$2:$C$501,$V108)&amp;"")</f>
        <v/>
      </c>
      <c r="E108">
        <f>IF($V108="","",INDEX('Per Line'!$D$2:$D$501,$V108)&amp;"")</f>
        <v/>
      </c>
      <c r="F108">
        <f>IF($V108="","",INDEX('Per Line'!$E$2:$E$501,$V108)&amp;"")</f>
        <v/>
      </c>
      <c r="G108">
        <f>IF($V108="","",INDEX('Per Line'!$F$2:$F$501,$V108))</f>
        <v/>
      </c>
      <c r="H108" s="7">
        <f>IF($V108="","",G108*T108/100)</f>
        <v/>
      </c>
      <c r="I108">
        <f>IF($V108="","",INDEX('Per Line'!$M$2:$M$501,$V108)&amp;"")</f>
        <v/>
      </c>
      <c r="J108">
        <f>IF($V108="","",INDEX('Per Line'!$O$2:$O$501,$V108)&amp;"")</f>
        <v/>
      </c>
      <c r="K108">
        <f>IF($V108="","",INDEX('Per Line'!$Q$2:$Q$501,$V108)&amp;"")</f>
        <v/>
      </c>
      <c r="L108">
        <f>IF($V108="","",Settings!$C$7)</f>
        <v/>
      </c>
      <c r="M108" s="7">
        <f>IF($V108="","",SUMIFS('Per Line'!$L$2:$L$501,'Per Line'!$B$2:$B$501,$B108,'Per Line'!$Y$2:$Y$501,0))</f>
        <v/>
      </c>
      <c r="N108" s="7">
        <f>IF($V108="","",M108*L108)</f>
        <v/>
      </c>
      <c r="O108">
        <f>IF($V108="","",Settings!$C$6)</f>
        <v/>
      </c>
      <c r="P108" s="7">
        <f>IF($V108="","",SUMIFS('Per Line'!$L$2:$L$501,'Per Line'!$B$2:$B$501,$B108,'Per Line'!$Y$2:$Y$501,1))</f>
        <v/>
      </c>
      <c r="Q108" s="7">
        <f>IF($V108="","",P108*O108)</f>
        <v/>
      </c>
      <c r="R108" s="7">
        <f>IF($V108="","",Q108+N108)</f>
        <v/>
      </c>
      <c r="S108" s="7">
        <f>IF($V108="","",T108-R108)</f>
        <v/>
      </c>
      <c r="T108" s="7">
        <f>IF($V108="","",M108+P108)</f>
        <v/>
      </c>
      <c r="U108" s="7">
        <f>IF($V108="","",T108-R108-H108)</f>
        <v/>
      </c>
      <c r="V108" s="13">
        <f>IF(ROWS($V$2:$V108)&lt;=MAX('Per Line'!$X$2:$X$501),MATCH(ROWS($V$2:$V108),'Per Line'!$X$2:$X$501,0),"")</f>
        <v/>
      </c>
    </row>
    <row r="109">
      <c r="A109" s="12" t="n"/>
      <c r="B109">
        <f>IF($V109="","",INDEX('Per Line'!$B$2:$B$501,$V109)&amp;"")</f>
        <v/>
      </c>
      <c r="C109" s="12" t="n"/>
      <c r="D109">
        <f>IF($V109="","",INDEX('Per Line'!$C$2:$C$501,$V109)&amp;"")</f>
        <v/>
      </c>
      <c r="E109">
        <f>IF($V109="","",INDEX('Per Line'!$D$2:$D$501,$V109)&amp;"")</f>
        <v/>
      </c>
      <c r="F109">
        <f>IF($V109="","",INDEX('Per Line'!$E$2:$E$501,$V109)&amp;"")</f>
        <v/>
      </c>
      <c r="G109">
        <f>IF($V109="","",INDEX('Per Line'!$F$2:$F$501,$V109))</f>
        <v/>
      </c>
      <c r="H109" s="7">
        <f>IF($V109="","",G109*T109/100)</f>
        <v/>
      </c>
      <c r="I109">
        <f>IF($V109="","",INDEX('Per Line'!$M$2:$M$501,$V109)&amp;"")</f>
        <v/>
      </c>
      <c r="J109">
        <f>IF($V109="","",INDEX('Per Line'!$O$2:$O$501,$V109)&amp;"")</f>
        <v/>
      </c>
      <c r="K109">
        <f>IF($V109="","",INDEX('Per Line'!$Q$2:$Q$501,$V109)&amp;"")</f>
        <v/>
      </c>
      <c r="L109">
        <f>IF($V109="","",Settings!$C$7)</f>
        <v/>
      </c>
      <c r="M109" s="7">
        <f>IF($V109="","",SUMIFS('Per Line'!$L$2:$L$501,'Per Line'!$B$2:$B$501,$B109,'Per Line'!$Y$2:$Y$501,0))</f>
        <v/>
      </c>
      <c r="N109" s="7">
        <f>IF($V109="","",M109*L109)</f>
        <v/>
      </c>
      <c r="O109">
        <f>IF($V109="","",Settings!$C$6)</f>
        <v/>
      </c>
      <c r="P109" s="7">
        <f>IF($V109="","",SUMIFS('Per Line'!$L$2:$L$501,'Per Line'!$B$2:$B$501,$B109,'Per Line'!$Y$2:$Y$501,1))</f>
        <v/>
      </c>
      <c r="Q109" s="7">
        <f>IF($V109="","",P109*O109)</f>
        <v/>
      </c>
      <c r="R109" s="7">
        <f>IF($V109="","",Q109+N109)</f>
        <v/>
      </c>
      <c r="S109" s="7">
        <f>IF($V109="","",T109-R109)</f>
        <v/>
      </c>
      <c r="T109" s="7">
        <f>IF($V109="","",M109+P109)</f>
        <v/>
      </c>
      <c r="U109" s="7">
        <f>IF($V109="","",T109-R109-H109)</f>
        <v/>
      </c>
      <c r="V109" s="13">
        <f>IF(ROWS($V$2:$V109)&lt;=MAX('Per Line'!$X$2:$X$501),MATCH(ROWS($V$2:$V109),'Per Line'!$X$2:$X$501,0),"")</f>
        <v/>
      </c>
    </row>
    <row r="110">
      <c r="A110" s="12" t="n"/>
      <c r="B110">
        <f>IF($V110="","",INDEX('Per Line'!$B$2:$B$501,$V110)&amp;"")</f>
        <v/>
      </c>
      <c r="C110" s="12" t="n"/>
      <c r="D110">
        <f>IF($V110="","",INDEX('Per Line'!$C$2:$C$501,$V110)&amp;"")</f>
        <v/>
      </c>
      <c r="E110">
        <f>IF($V110="","",INDEX('Per Line'!$D$2:$D$501,$V110)&amp;"")</f>
        <v/>
      </c>
      <c r="F110">
        <f>IF($V110="","",INDEX('Per Line'!$E$2:$E$501,$V110)&amp;"")</f>
        <v/>
      </c>
      <c r="G110">
        <f>IF($V110="","",INDEX('Per Line'!$F$2:$F$501,$V110))</f>
        <v/>
      </c>
      <c r="H110" s="7">
        <f>IF($V110="","",G110*T110/100)</f>
        <v/>
      </c>
      <c r="I110">
        <f>IF($V110="","",INDEX('Per Line'!$M$2:$M$501,$V110)&amp;"")</f>
        <v/>
      </c>
      <c r="J110">
        <f>IF($V110="","",INDEX('Per Line'!$O$2:$O$501,$V110)&amp;"")</f>
        <v/>
      </c>
      <c r="K110">
        <f>IF($V110="","",INDEX('Per Line'!$Q$2:$Q$501,$V110)&amp;"")</f>
        <v/>
      </c>
      <c r="L110">
        <f>IF($V110="","",Settings!$C$7)</f>
        <v/>
      </c>
      <c r="M110" s="7">
        <f>IF($V110="","",SUMIFS('Per Line'!$L$2:$L$501,'Per Line'!$B$2:$B$501,$B110,'Per Line'!$Y$2:$Y$501,0))</f>
        <v/>
      </c>
      <c r="N110" s="7">
        <f>IF($V110="","",M110*L110)</f>
        <v/>
      </c>
      <c r="O110">
        <f>IF($V110="","",Settings!$C$6)</f>
        <v/>
      </c>
      <c r="P110" s="7">
        <f>IF($V110="","",SUMIFS('Per Line'!$L$2:$L$501,'Per Line'!$B$2:$B$501,$B110,'Per Line'!$Y$2:$Y$501,1))</f>
        <v/>
      </c>
      <c r="Q110" s="7">
        <f>IF($V110="","",P110*O110)</f>
        <v/>
      </c>
      <c r="R110" s="7">
        <f>IF($V110="","",Q110+N110)</f>
        <v/>
      </c>
      <c r="S110" s="7">
        <f>IF($V110="","",T110-R110)</f>
        <v/>
      </c>
      <c r="T110" s="7">
        <f>IF($V110="","",M110+P110)</f>
        <v/>
      </c>
      <c r="U110" s="7">
        <f>IF($V110="","",T110-R110-H110)</f>
        <v/>
      </c>
      <c r="V110" s="13">
        <f>IF(ROWS($V$2:$V110)&lt;=MAX('Per Line'!$X$2:$X$501),MATCH(ROWS($V$2:$V110),'Per Line'!$X$2:$X$501,0),"")</f>
        <v/>
      </c>
    </row>
    <row r="111">
      <c r="A111" s="12" t="n"/>
      <c r="B111">
        <f>IF($V111="","",INDEX('Per Line'!$B$2:$B$501,$V111)&amp;"")</f>
        <v/>
      </c>
      <c r="C111" s="12" t="n"/>
      <c r="D111">
        <f>IF($V111="","",INDEX('Per Line'!$C$2:$C$501,$V111)&amp;"")</f>
        <v/>
      </c>
      <c r="E111">
        <f>IF($V111="","",INDEX('Per Line'!$D$2:$D$501,$V111)&amp;"")</f>
        <v/>
      </c>
      <c r="F111">
        <f>IF($V111="","",INDEX('Per Line'!$E$2:$E$501,$V111)&amp;"")</f>
        <v/>
      </c>
      <c r="G111">
        <f>IF($V111="","",INDEX('Per Line'!$F$2:$F$501,$V111))</f>
        <v/>
      </c>
      <c r="H111" s="7">
        <f>IF($V111="","",G111*T111/100)</f>
        <v/>
      </c>
      <c r="I111">
        <f>IF($V111="","",INDEX('Per Line'!$M$2:$M$501,$V111)&amp;"")</f>
        <v/>
      </c>
      <c r="J111">
        <f>IF($V111="","",INDEX('Per Line'!$O$2:$O$501,$V111)&amp;"")</f>
        <v/>
      </c>
      <c r="K111">
        <f>IF($V111="","",INDEX('Per Line'!$Q$2:$Q$501,$V111)&amp;"")</f>
        <v/>
      </c>
      <c r="L111">
        <f>IF($V111="","",Settings!$C$7)</f>
        <v/>
      </c>
      <c r="M111" s="7">
        <f>IF($V111="","",SUMIFS('Per Line'!$L$2:$L$501,'Per Line'!$B$2:$B$501,$B111,'Per Line'!$Y$2:$Y$501,0))</f>
        <v/>
      </c>
      <c r="N111" s="7">
        <f>IF($V111="","",M111*L111)</f>
        <v/>
      </c>
      <c r="O111">
        <f>IF($V111="","",Settings!$C$6)</f>
        <v/>
      </c>
      <c r="P111" s="7">
        <f>IF($V111="","",SUMIFS('Per Line'!$L$2:$L$501,'Per Line'!$B$2:$B$501,$B111,'Per Line'!$Y$2:$Y$501,1))</f>
        <v/>
      </c>
      <c r="Q111" s="7">
        <f>IF($V111="","",P111*O111)</f>
        <v/>
      </c>
      <c r="R111" s="7">
        <f>IF($V111="","",Q111+N111)</f>
        <v/>
      </c>
      <c r="S111" s="7">
        <f>IF($V111="","",T111-R111)</f>
        <v/>
      </c>
      <c r="T111" s="7">
        <f>IF($V111="","",M111+P111)</f>
        <v/>
      </c>
      <c r="U111" s="7">
        <f>IF($V111="","",T111-R111-H111)</f>
        <v/>
      </c>
      <c r="V111" s="13">
        <f>IF(ROWS($V$2:$V111)&lt;=MAX('Per Line'!$X$2:$X$501),MATCH(ROWS($V$2:$V111),'Per Line'!$X$2:$X$501,0),"")</f>
        <v/>
      </c>
    </row>
    <row r="112">
      <c r="A112" s="12" t="n"/>
      <c r="B112">
        <f>IF($V112="","",INDEX('Per Line'!$B$2:$B$501,$V112)&amp;"")</f>
        <v/>
      </c>
      <c r="C112" s="12" t="n"/>
      <c r="D112">
        <f>IF($V112="","",INDEX('Per Line'!$C$2:$C$501,$V112)&amp;"")</f>
        <v/>
      </c>
      <c r="E112">
        <f>IF($V112="","",INDEX('Per Line'!$D$2:$D$501,$V112)&amp;"")</f>
        <v/>
      </c>
      <c r="F112">
        <f>IF($V112="","",INDEX('Per Line'!$E$2:$E$501,$V112)&amp;"")</f>
        <v/>
      </c>
      <c r="G112">
        <f>IF($V112="","",INDEX('Per Line'!$F$2:$F$501,$V112))</f>
        <v/>
      </c>
      <c r="H112" s="7">
        <f>IF($V112="","",G112*T112/100)</f>
        <v/>
      </c>
      <c r="I112">
        <f>IF($V112="","",INDEX('Per Line'!$M$2:$M$501,$V112)&amp;"")</f>
        <v/>
      </c>
      <c r="J112">
        <f>IF($V112="","",INDEX('Per Line'!$O$2:$O$501,$V112)&amp;"")</f>
        <v/>
      </c>
      <c r="K112">
        <f>IF($V112="","",INDEX('Per Line'!$Q$2:$Q$501,$V112)&amp;"")</f>
        <v/>
      </c>
      <c r="L112">
        <f>IF($V112="","",Settings!$C$7)</f>
        <v/>
      </c>
      <c r="M112" s="7">
        <f>IF($V112="","",SUMIFS('Per Line'!$L$2:$L$501,'Per Line'!$B$2:$B$501,$B112,'Per Line'!$Y$2:$Y$501,0))</f>
        <v/>
      </c>
      <c r="N112" s="7">
        <f>IF($V112="","",M112*L112)</f>
        <v/>
      </c>
      <c r="O112">
        <f>IF($V112="","",Settings!$C$6)</f>
        <v/>
      </c>
      <c r="P112" s="7">
        <f>IF($V112="","",SUMIFS('Per Line'!$L$2:$L$501,'Per Line'!$B$2:$B$501,$B112,'Per Line'!$Y$2:$Y$501,1))</f>
        <v/>
      </c>
      <c r="Q112" s="7">
        <f>IF($V112="","",P112*O112)</f>
        <v/>
      </c>
      <c r="R112" s="7">
        <f>IF($V112="","",Q112+N112)</f>
        <v/>
      </c>
      <c r="S112" s="7">
        <f>IF($V112="","",T112-R112)</f>
        <v/>
      </c>
      <c r="T112" s="7">
        <f>IF($V112="","",M112+P112)</f>
        <v/>
      </c>
      <c r="U112" s="7">
        <f>IF($V112="","",T112-R112-H112)</f>
        <v/>
      </c>
      <c r="V112" s="13">
        <f>IF(ROWS($V$2:$V112)&lt;=MAX('Per Line'!$X$2:$X$501),MATCH(ROWS($V$2:$V112),'Per Line'!$X$2:$X$501,0),"")</f>
        <v/>
      </c>
    </row>
    <row r="113">
      <c r="A113" s="12" t="n"/>
      <c r="B113">
        <f>IF($V113="","",INDEX('Per Line'!$B$2:$B$501,$V113)&amp;"")</f>
        <v/>
      </c>
      <c r="C113" s="12" t="n"/>
      <c r="D113">
        <f>IF($V113="","",INDEX('Per Line'!$C$2:$C$501,$V113)&amp;"")</f>
        <v/>
      </c>
      <c r="E113">
        <f>IF($V113="","",INDEX('Per Line'!$D$2:$D$501,$V113)&amp;"")</f>
        <v/>
      </c>
      <c r="F113">
        <f>IF($V113="","",INDEX('Per Line'!$E$2:$E$501,$V113)&amp;"")</f>
        <v/>
      </c>
      <c r="G113">
        <f>IF($V113="","",INDEX('Per Line'!$F$2:$F$501,$V113))</f>
        <v/>
      </c>
      <c r="H113" s="7">
        <f>IF($V113="","",G113*T113/100)</f>
        <v/>
      </c>
      <c r="I113">
        <f>IF($V113="","",INDEX('Per Line'!$M$2:$M$501,$V113)&amp;"")</f>
        <v/>
      </c>
      <c r="J113">
        <f>IF($V113="","",INDEX('Per Line'!$O$2:$O$501,$V113)&amp;"")</f>
        <v/>
      </c>
      <c r="K113">
        <f>IF($V113="","",INDEX('Per Line'!$Q$2:$Q$501,$V113)&amp;"")</f>
        <v/>
      </c>
      <c r="L113">
        <f>IF($V113="","",Settings!$C$7)</f>
        <v/>
      </c>
      <c r="M113" s="7">
        <f>IF($V113="","",SUMIFS('Per Line'!$L$2:$L$501,'Per Line'!$B$2:$B$501,$B113,'Per Line'!$Y$2:$Y$501,0))</f>
        <v/>
      </c>
      <c r="N113" s="7">
        <f>IF($V113="","",M113*L113)</f>
        <v/>
      </c>
      <c r="O113">
        <f>IF($V113="","",Settings!$C$6)</f>
        <v/>
      </c>
      <c r="P113" s="7">
        <f>IF($V113="","",SUMIFS('Per Line'!$L$2:$L$501,'Per Line'!$B$2:$B$501,$B113,'Per Line'!$Y$2:$Y$501,1))</f>
        <v/>
      </c>
      <c r="Q113" s="7">
        <f>IF($V113="","",P113*O113)</f>
        <v/>
      </c>
      <c r="R113" s="7">
        <f>IF($V113="","",Q113+N113)</f>
        <v/>
      </c>
      <c r="S113" s="7">
        <f>IF($V113="","",T113-R113)</f>
        <v/>
      </c>
      <c r="T113" s="7">
        <f>IF($V113="","",M113+P113)</f>
        <v/>
      </c>
      <c r="U113" s="7">
        <f>IF($V113="","",T113-R113-H113)</f>
        <v/>
      </c>
      <c r="V113" s="13">
        <f>IF(ROWS($V$2:$V113)&lt;=MAX('Per Line'!$X$2:$X$501),MATCH(ROWS($V$2:$V113),'Per Line'!$X$2:$X$501,0),"")</f>
        <v/>
      </c>
    </row>
    <row r="114">
      <c r="A114" s="12" t="n"/>
      <c r="B114">
        <f>IF($V114="","",INDEX('Per Line'!$B$2:$B$501,$V114)&amp;"")</f>
        <v/>
      </c>
      <c r="C114" s="12" t="n"/>
      <c r="D114">
        <f>IF($V114="","",INDEX('Per Line'!$C$2:$C$501,$V114)&amp;"")</f>
        <v/>
      </c>
      <c r="E114">
        <f>IF($V114="","",INDEX('Per Line'!$D$2:$D$501,$V114)&amp;"")</f>
        <v/>
      </c>
      <c r="F114">
        <f>IF($V114="","",INDEX('Per Line'!$E$2:$E$501,$V114)&amp;"")</f>
        <v/>
      </c>
      <c r="G114">
        <f>IF($V114="","",INDEX('Per Line'!$F$2:$F$501,$V114))</f>
        <v/>
      </c>
      <c r="H114" s="7">
        <f>IF($V114="","",G114*T114/100)</f>
        <v/>
      </c>
      <c r="I114">
        <f>IF($V114="","",INDEX('Per Line'!$M$2:$M$501,$V114)&amp;"")</f>
        <v/>
      </c>
      <c r="J114">
        <f>IF($V114="","",INDEX('Per Line'!$O$2:$O$501,$V114)&amp;"")</f>
        <v/>
      </c>
      <c r="K114">
        <f>IF($V114="","",INDEX('Per Line'!$Q$2:$Q$501,$V114)&amp;"")</f>
        <v/>
      </c>
      <c r="L114">
        <f>IF($V114="","",Settings!$C$7)</f>
        <v/>
      </c>
      <c r="M114" s="7">
        <f>IF($V114="","",SUMIFS('Per Line'!$L$2:$L$501,'Per Line'!$B$2:$B$501,$B114,'Per Line'!$Y$2:$Y$501,0))</f>
        <v/>
      </c>
      <c r="N114" s="7">
        <f>IF($V114="","",M114*L114)</f>
        <v/>
      </c>
      <c r="O114">
        <f>IF($V114="","",Settings!$C$6)</f>
        <v/>
      </c>
      <c r="P114" s="7">
        <f>IF($V114="","",SUMIFS('Per Line'!$L$2:$L$501,'Per Line'!$B$2:$B$501,$B114,'Per Line'!$Y$2:$Y$501,1))</f>
        <v/>
      </c>
      <c r="Q114" s="7">
        <f>IF($V114="","",P114*O114)</f>
        <v/>
      </c>
      <c r="R114" s="7">
        <f>IF($V114="","",Q114+N114)</f>
        <v/>
      </c>
      <c r="S114" s="7">
        <f>IF($V114="","",T114-R114)</f>
        <v/>
      </c>
      <c r="T114" s="7">
        <f>IF($V114="","",M114+P114)</f>
        <v/>
      </c>
      <c r="U114" s="7">
        <f>IF($V114="","",T114-R114-H114)</f>
        <v/>
      </c>
      <c r="V114" s="13">
        <f>IF(ROWS($V$2:$V114)&lt;=MAX('Per Line'!$X$2:$X$501),MATCH(ROWS($V$2:$V114),'Per Line'!$X$2:$X$501,0),"")</f>
        <v/>
      </c>
    </row>
    <row r="115">
      <c r="A115" s="12" t="n"/>
      <c r="B115">
        <f>IF($V115="","",INDEX('Per Line'!$B$2:$B$501,$V115)&amp;"")</f>
        <v/>
      </c>
      <c r="C115" s="12" t="n"/>
      <c r="D115">
        <f>IF($V115="","",INDEX('Per Line'!$C$2:$C$501,$V115)&amp;"")</f>
        <v/>
      </c>
      <c r="E115">
        <f>IF($V115="","",INDEX('Per Line'!$D$2:$D$501,$V115)&amp;"")</f>
        <v/>
      </c>
      <c r="F115">
        <f>IF($V115="","",INDEX('Per Line'!$E$2:$E$501,$V115)&amp;"")</f>
        <v/>
      </c>
      <c r="G115">
        <f>IF($V115="","",INDEX('Per Line'!$F$2:$F$501,$V115))</f>
        <v/>
      </c>
      <c r="H115" s="7">
        <f>IF($V115="","",G115*T115/100)</f>
        <v/>
      </c>
      <c r="I115">
        <f>IF($V115="","",INDEX('Per Line'!$M$2:$M$501,$V115)&amp;"")</f>
        <v/>
      </c>
      <c r="J115">
        <f>IF($V115="","",INDEX('Per Line'!$O$2:$O$501,$V115)&amp;"")</f>
        <v/>
      </c>
      <c r="K115">
        <f>IF($V115="","",INDEX('Per Line'!$Q$2:$Q$501,$V115)&amp;"")</f>
        <v/>
      </c>
      <c r="L115">
        <f>IF($V115="","",Settings!$C$7)</f>
        <v/>
      </c>
      <c r="M115" s="7">
        <f>IF($V115="","",SUMIFS('Per Line'!$L$2:$L$501,'Per Line'!$B$2:$B$501,$B115,'Per Line'!$Y$2:$Y$501,0))</f>
        <v/>
      </c>
      <c r="N115" s="7">
        <f>IF($V115="","",M115*L115)</f>
        <v/>
      </c>
      <c r="O115">
        <f>IF($V115="","",Settings!$C$6)</f>
        <v/>
      </c>
      <c r="P115" s="7">
        <f>IF($V115="","",SUMIFS('Per Line'!$L$2:$L$501,'Per Line'!$B$2:$B$501,$B115,'Per Line'!$Y$2:$Y$501,1))</f>
        <v/>
      </c>
      <c r="Q115" s="7">
        <f>IF($V115="","",P115*O115)</f>
        <v/>
      </c>
      <c r="R115" s="7">
        <f>IF($V115="","",Q115+N115)</f>
        <v/>
      </c>
      <c r="S115" s="7">
        <f>IF($V115="","",T115-R115)</f>
        <v/>
      </c>
      <c r="T115" s="7">
        <f>IF($V115="","",M115+P115)</f>
        <v/>
      </c>
      <c r="U115" s="7">
        <f>IF($V115="","",T115-R115-H115)</f>
        <v/>
      </c>
      <c r="V115" s="13">
        <f>IF(ROWS($V$2:$V115)&lt;=MAX('Per Line'!$X$2:$X$501),MATCH(ROWS($V$2:$V115),'Per Line'!$X$2:$X$501,0),"")</f>
        <v/>
      </c>
    </row>
    <row r="116">
      <c r="A116" s="12" t="n"/>
      <c r="B116">
        <f>IF($V116="","",INDEX('Per Line'!$B$2:$B$501,$V116)&amp;"")</f>
        <v/>
      </c>
      <c r="C116" s="12" t="n"/>
      <c r="D116">
        <f>IF($V116="","",INDEX('Per Line'!$C$2:$C$501,$V116)&amp;"")</f>
        <v/>
      </c>
      <c r="E116">
        <f>IF($V116="","",INDEX('Per Line'!$D$2:$D$501,$V116)&amp;"")</f>
        <v/>
      </c>
      <c r="F116">
        <f>IF($V116="","",INDEX('Per Line'!$E$2:$E$501,$V116)&amp;"")</f>
        <v/>
      </c>
      <c r="G116">
        <f>IF($V116="","",INDEX('Per Line'!$F$2:$F$501,$V116))</f>
        <v/>
      </c>
      <c r="H116" s="7">
        <f>IF($V116="","",G116*T116/100)</f>
        <v/>
      </c>
      <c r="I116">
        <f>IF($V116="","",INDEX('Per Line'!$M$2:$M$501,$V116)&amp;"")</f>
        <v/>
      </c>
      <c r="J116">
        <f>IF($V116="","",INDEX('Per Line'!$O$2:$O$501,$V116)&amp;"")</f>
        <v/>
      </c>
      <c r="K116">
        <f>IF($V116="","",INDEX('Per Line'!$Q$2:$Q$501,$V116)&amp;"")</f>
        <v/>
      </c>
      <c r="L116">
        <f>IF($V116="","",Settings!$C$7)</f>
        <v/>
      </c>
      <c r="M116" s="7">
        <f>IF($V116="","",SUMIFS('Per Line'!$L$2:$L$501,'Per Line'!$B$2:$B$501,$B116,'Per Line'!$Y$2:$Y$501,0))</f>
        <v/>
      </c>
      <c r="N116" s="7">
        <f>IF($V116="","",M116*L116)</f>
        <v/>
      </c>
      <c r="O116">
        <f>IF($V116="","",Settings!$C$6)</f>
        <v/>
      </c>
      <c r="P116" s="7">
        <f>IF($V116="","",SUMIFS('Per Line'!$L$2:$L$501,'Per Line'!$B$2:$B$501,$B116,'Per Line'!$Y$2:$Y$501,1))</f>
        <v/>
      </c>
      <c r="Q116" s="7">
        <f>IF($V116="","",P116*O116)</f>
        <v/>
      </c>
      <c r="R116" s="7">
        <f>IF($V116="","",Q116+N116)</f>
        <v/>
      </c>
      <c r="S116" s="7">
        <f>IF($V116="","",T116-R116)</f>
        <v/>
      </c>
      <c r="T116" s="7">
        <f>IF($V116="","",M116+P116)</f>
        <v/>
      </c>
      <c r="U116" s="7">
        <f>IF($V116="","",T116-R116-H116)</f>
        <v/>
      </c>
      <c r="V116" s="13">
        <f>IF(ROWS($V$2:$V116)&lt;=MAX('Per Line'!$X$2:$X$501),MATCH(ROWS($V$2:$V116),'Per Line'!$X$2:$X$501,0),"")</f>
        <v/>
      </c>
    </row>
    <row r="117">
      <c r="A117" s="12" t="n"/>
      <c r="B117">
        <f>IF($V117="","",INDEX('Per Line'!$B$2:$B$501,$V117)&amp;"")</f>
        <v/>
      </c>
      <c r="C117" s="12" t="n"/>
      <c r="D117">
        <f>IF($V117="","",INDEX('Per Line'!$C$2:$C$501,$V117)&amp;"")</f>
        <v/>
      </c>
      <c r="E117">
        <f>IF($V117="","",INDEX('Per Line'!$D$2:$D$501,$V117)&amp;"")</f>
        <v/>
      </c>
      <c r="F117">
        <f>IF($V117="","",INDEX('Per Line'!$E$2:$E$501,$V117)&amp;"")</f>
        <v/>
      </c>
      <c r="G117">
        <f>IF($V117="","",INDEX('Per Line'!$F$2:$F$501,$V117))</f>
        <v/>
      </c>
      <c r="H117" s="7">
        <f>IF($V117="","",G117*T117/100)</f>
        <v/>
      </c>
      <c r="I117">
        <f>IF($V117="","",INDEX('Per Line'!$M$2:$M$501,$V117)&amp;"")</f>
        <v/>
      </c>
      <c r="J117">
        <f>IF($V117="","",INDEX('Per Line'!$O$2:$O$501,$V117)&amp;"")</f>
        <v/>
      </c>
      <c r="K117">
        <f>IF($V117="","",INDEX('Per Line'!$Q$2:$Q$501,$V117)&amp;"")</f>
        <v/>
      </c>
      <c r="L117">
        <f>IF($V117="","",Settings!$C$7)</f>
        <v/>
      </c>
      <c r="M117" s="7">
        <f>IF($V117="","",SUMIFS('Per Line'!$L$2:$L$501,'Per Line'!$B$2:$B$501,$B117,'Per Line'!$Y$2:$Y$501,0))</f>
        <v/>
      </c>
      <c r="N117" s="7">
        <f>IF($V117="","",M117*L117)</f>
        <v/>
      </c>
      <c r="O117">
        <f>IF($V117="","",Settings!$C$6)</f>
        <v/>
      </c>
      <c r="P117" s="7">
        <f>IF($V117="","",SUMIFS('Per Line'!$L$2:$L$501,'Per Line'!$B$2:$B$501,$B117,'Per Line'!$Y$2:$Y$501,1))</f>
        <v/>
      </c>
      <c r="Q117" s="7">
        <f>IF($V117="","",P117*O117)</f>
        <v/>
      </c>
      <c r="R117" s="7">
        <f>IF($V117="","",Q117+N117)</f>
        <v/>
      </c>
      <c r="S117" s="7">
        <f>IF($V117="","",T117-R117)</f>
        <v/>
      </c>
      <c r="T117" s="7">
        <f>IF($V117="","",M117+P117)</f>
        <v/>
      </c>
      <c r="U117" s="7">
        <f>IF($V117="","",T117-R117-H117)</f>
        <v/>
      </c>
      <c r="V117" s="13">
        <f>IF(ROWS($V$2:$V117)&lt;=MAX('Per Line'!$X$2:$X$501),MATCH(ROWS($V$2:$V117),'Per Line'!$X$2:$X$501,0),"")</f>
        <v/>
      </c>
    </row>
    <row r="118">
      <c r="A118" s="12" t="n"/>
      <c r="B118">
        <f>IF($V118="","",INDEX('Per Line'!$B$2:$B$501,$V118)&amp;"")</f>
        <v/>
      </c>
      <c r="C118" s="12" t="n"/>
      <c r="D118">
        <f>IF($V118="","",INDEX('Per Line'!$C$2:$C$501,$V118)&amp;"")</f>
        <v/>
      </c>
      <c r="E118">
        <f>IF($V118="","",INDEX('Per Line'!$D$2:$D$501,$V118)&amp;"")</f>
        <v/>
      </c>
      <c r="F118">
        <f>IF($V118="","",INDEX('Per Line'!$E$2:$E$501,$V118)&amp;"")</f>
        <v/>
      </c>
      <c r="G118">
        <f>IF($V118="","",INDEX('Per Line'!$F$2:$F$501,$V118))</f>
        <v/>
      </c>
      <c r="H118" s="7">
        <f>IF($V118="","",G118*T118/100)</f>
        <v/>
      </c>
      <c r="I118">
        <f>IF($V118="","",INDEX('Per Line'!$M$2:$M$501,$V118)&amp;"")</f>
        <v/>
      </c>
      <c r="J118">
        <f>IF($V118="","",INDEX('Per Line'!$O$2:$O$501,$V118)&amp;"")</f>
        <v/>
      </c>
      <c r="K118">
        <f>IF($V118="","",INDEX('Per Line'!$Q$2:$Q$501,$V118)&amp;"")</f>
        <v/>
      </c>
      <c r="L118">
        <f>IF($V118="","",Settings!$C$7)</f>
        <v/>
      </c>
      <c r="M118" s="7">
        <f>IF($V118="","",SUMIFS('Per Line'!$L$2:$L$501,'Per Line'!$B$2:$B$501,$B118,'Per Line'!$Y$2:$Y$501,0))</f>
        <v/>
      </c>
      <c r="N118" s="7">
        <f>IF($V118="","",M118*L118)</f>
        <v/>
      </c>
      <c r="O118">
        <f>IF($V118="","",Settings!$C$6)</f>
        <v/>
      </c>
      <c r="P118" s="7">
        <f>IF($V118="","",SUMIFS('Per Line'!$L$2:$L$501,'Per Line'!$B$2:$B$501,$B118,'Per Line'!$Y$2:$Y$501,1))</f>
        <v/>
      </c>
      <c r="Q118" s="7">
        <f>IF($V118="","",P118*O118)</f>
        <v/>
      </c>
      <c r="R118" s="7">
        <f>IF($V118="","",Q118+N118)</f>
        <v/>
      </c>
      <c r="S118" s="7">
        <f>IF($V118="","",T118-R118)</f>
        <v/>
      </c>
      <c r="T118" s="7">
        <f>IF($V118="","",M118+P118)</f>
        <v/>
      </c>
      <c r="U118" s="7">
        <f>IF($V118="","",T118-R118-H118)</f>
        <v/>
      </c>
      <c r="V118" s="13">
        <f>IF(ROWS($V$2:$V118)&lt;=MAX('Per Line'!$X$2:$X$501),MATCH(ROWS($V$2:$V118),'Per Line'!$X$2:$X$501,0),"")</f>
        <v/>
      </c>
    </row>
    <row r="119">
      <c r="A119" s="12" t="n"/>
      <c r="B119">
        <f>IF($V119="","",INDEX('Per Line'!$B$2:$B$501,$V119)&amp;"")</f>
        <v/>
      </c>
      <c r="C119" s="12" t="n"/>
      <c r="D119">
        <f>IF($V119="","",INDEX('Per Line'!$C$2:$C$501,$V119)&amp;"")</f>
        <v/>
      </c>
      <c r="E119">
        <f>IF($V119="","",INDEX('Per Line'!$D$2:$D$501,$V119)&amp;"")</f>
        <v/>
      </c>
      <c r="F119">
        <f>IF($V119="","",INDEX('Per Line'!$E$2:$E$501,$V119)&amp;"")</f>
        <v/>
      </c>
      <c r="G119">
        <f>IF($V119="","",INDEX('Per Line'!$F$2:$F$501,$V119))</f>
        <v/>
      </c>
      <c r="H119" s="7">
        <f>IF($V119="","",G119*T119/100)</f>
        <v/>
      </c>
      <c r="I119">
        <f>IF($V119="","",INDEX('Per Line'!$M$2:$M$501,$V119)&amp;"")</f>
        <v/>
      </c>
      <c r="J119">
        <f>IF($V119="","",INDEX('Per Line'!$O$2:$O$501,$V119)&amp;"")</f>
        <v/>
      </c>
      <c r="K119">
        <f>IF($V119="","",INDEX('Per Line'!$Q$2:$Q$501,$V119)&amp;"")</f>
        <v/>
      </c>
      <c r="L119">
        <f>IF($V119="","",Settings!$C$7)</f>
        <v/>
      </c>
      <c r="M119" s="7">
        <f>IF($V119="","",SUMIFS('Per Line'!$L$2:$L$501,'Per Line'!$B$2:$B$501,$B119,'Per Line'!$Y$2:$Y$501,0))</f>
        <v/>
      </c>
      <c r="N119" s="7">
        <f>IF($V119="","",M119*L119)</f>
        <v/>
      </c>
      <c r="O119">
        <f>IF($V119="","",Settings!$C$6)</f>
        <v/>
      </c>
      <c r="P119" s="7">
        <f>IF($V119="","",SUMIFS('Per Line'!$L$2:$L$501,'Per Line'!$B$2:$B$501,$B119,'Per Line'!$Y$2:$Y$501,1))</f>
        <v/>
      </c>
      <c r="Q119" s="7">
        <f>IF($V119="","",P119*O119)</f>
        <v/>
      </c>
      <c r="R119" s="7">
        <f>IF($V119="","",Q119+N119)</f>
        <v/>
      </c>
      <c r="S119" s="7">
        <f>IF($V119="","",T119-R119)</f>
        <v/>
      </c>
      <c r="T119" s="7">
        <f>IF($V119="","",M119+P119)</f>
        <v/>
      </c>
      <c r="U119" s="7">
        <f>IF($V119="","",T119-R119-H119)</f>
        <v/>
      </c>
      <c r="V119" s="13">
        <f>IF(ROWS($V$2:$V119)&lt;=MAX('Per Line'!$X$2:$X$501),MATCH(ROWS($V$2:$V119),'Per Line'!$X$2:$X$501,0),"")</f>
        <v/>
      </c>
    </row>
    <row r="120">
      <c r="A120" s="12" t="n"/>
      <c r="B120">
        <f>IF($V120="","",INDEX('Per Line'!$B$2:$B$501,$V120)&amp;"")</f>
        <v/>
      </c>
      <c r="C120" s="12" t="n"/>
      <c r="D120">
        <f>IF($V120="","",INDEX('Per Line'!$C$2:$C$501,$V120)&amp;"")</f>
        <v/>
      </c>
      <c r="E120">
        <f>IF($V120="","",INDEX('Per Line'!$D$2:$D$501,$V120)&amp;"")</f>
        <v/>
      </c>
      <c r="F120">
        <f>IF($V120="","",INDEX('Per Line'!$E$2:$E$501,$V120)&amp;"")</f>
        <v/>
      </c>
      <c r="G120">
        <f>IF($V120="","",INDEX('Per Line'!$F$2:$F$501,$V120))</f>
        <v/>
      </c>
      <c r="H120" s="7">
        <f>IF($V120="","",G120*T120/100)</f>
        <v/>
      </c>
      <c r="I120">
        <f>IF($V120="","",INDEX('Per Line'!$M$2:$M$501,$V120)&amp;"")</f>
        <v/>
      </c>
      <c r="J120">
        <f>IF($V120="","",INDEX('Per Line'!$O$2:$O$501,$V120)&amp;"")</f>
        <v/>
      </c>
      <c r="K120">
        <f>IF($V120="","",INDEX('Per Line'!$Q$2:$Q$501,$V120)&amp;"")</f>
        <v/>
      </c>
      <c r="L120">
        <f>IF($V120="","",Settings!$C$7)</f>
        <v/>
      </c>
      <c r="M120" s="7">
        <f>IF($V120="","",SUMIFS('Per Line'!$L$2:$L$501,'Per Line'!$B$2:$B$501,$B120,'Per Line'!$Y$2:$Y$501,0))</f>
        <v/>
      </c>
      <c r="N120" s="7">
        <f>IF($V120="","",M120*L120)</f>
        <v/>
      </c>
      <c r="O120">
        <f>IF($V120="","",Settings!$C$6)</f>
        <v/>
      </c>
      <c r="P120" s="7">
        <f>IF($V120="","",SUMIFS('Per Line'!$L$2:$L$501,'Per Line'!$B$2:$B$501,$B120,'Per Line'!$Y$2:$Y$501,1))</f>
        <v/>
      </c>
      <c r="Q120" s="7">
        <f>IF($V120="","",P120*O120)</f>
        <v/>
      </c>
      <c r="R120" s="7">
        <f>IF($V120="","",Q120+N120)</f>
        <v/>
      </c>
      <c r="S120" s="7">
        <f>IF($V120="","",T120-R120)</f>
        <v/>
      </c>
      <c r="T120" s="7">
        <f>IF($V120="","",M120+P120)</f>
        <v/>
      </c>
      <c r="U120" s="7">
        <f>IF($V120="","",T120-R120-H120)</f>
        <v/>
      </c>
      <c r="V120" s="13">
        <f>IF(ROWS($V$2:$V120)&lt;=MAX('Per Line'!$X$2:$X$501),MATCH(ROWS($V$2:$V120),'Per Line'!$X$2:$X$501,0),"")</f>
        <v/>
      </c>
    </row>
    <row r="121">
      <c r="A121" s="12" t="n"/>
      <c r="B121">
        <f>IF($V121="","",INDEX('Per Line'!$B$2:$B$501,$V121)&amp;"")</f>
        <v/>
      </c>
      <c r="C121" s="12" t="n"/>
      <c r="D121">
        <f>IF($V121="","",INDEX('Per Line'!$C$2:$C$501,$V121)&amp;"")</f>
        <v/>
      </c>
      <c r="E121">
        <f>IF($V121="","",INDEX('Per Line'!$D$2:$D$501,$V121)&amp;"")</f>
        <v/>
      </c>
      <c r="F121">
        <f>IF($V121="","",INDEX('Per Line'!$E$2:$E$501,$V121)&amp;"")</f>
        <v/>
      </c>
      <c r="G121">
        <f>IF($V121="","",INDEX('Per Line'!$F$2:$F$501,$V121))</f>
        <v/>
      </c>
      <c r="H121" s="7">
        <f>IF($V121="","",G121*T121/100)</f>
        <v/>
      </c>
      <c r="I121">
        <f>IF($V121="","",INDEX('Per Line'!$M$2:$M$501,$V121)&amp;"")</f>
        <v/>
      </c>
      <c r="J121">
        <f>IF($V121="","",INDEX('Per Line'!$O$2:$O$501,$V121)&amp;"")</f>
        <v/>
      </c>
      <c r="K121">
        <f>IF($V121="","",INDEX('Per Line'!$Q$2:$Q$501,$V121)&amp;"")</f>
        <v/>
      </c>
      <c r="L121">
        <f>IF($V121="","",Settings!$C$7)</f>
        <v/>
      </c>
      <c r="M121" s="7">
        <f>IF($V121="","",SUMIFS('Per Line'!$L$2:$L$501,'Per Line'!$B$2:$B$501,$B121,'Per Line'!$Y$2:$Y$501,0))</f>
        <v/>
      </c>
      <c r="N121" s="7">
        <f>IF($V121="","",M121*L121)</f>
        <v/>
      </c>
      <c r="O121">
        <f>IF($V121="","",Settings!$C$6)</f>
        <v/>
      </c>
      <c r="P121" s="7">
        <f>IF($V121="","",SUMIFS('Per Line'!$L$2:$L$501,'Per Line'!$B$2:$B$501,$B121,'Per Line'!$Y$2:$Y$501,1))</f>
        <v/>
      </c>
      <c r="Q121" s="7">
        <f>IF($V121="","",P121*O121)</f>
        <v/>
      </c>
      <c r="R121" s="7">
        <f>IF($V121="","",Q121+N121)</f>
        <v/>
      </c>
      <c r="S121" s="7">
        <f>IF($V121="","",T121-R121)</f>
        <v/>
      </c>
      <c r="T121" s="7">
        <f>IF($V121="","",M121+P121)</f>
        <v/>
      </c>
      <c r="U121" s="7">
        <f>IF($V121="","",T121-R121-H121)</f>
        <v/>
      </c>
      <c r="V121" s="13">
        <f>IF(ROWS($V$2:$V121)&lt;=MAX('Per Line'!$X$2:$X$501),MATCH(ROWS($V$2:$V121),'Per Line'!$X$2:$X$501,0),"")</f>
        <v/>
      </c>
    </row>
    <row r="122">
      <c r="A122" s="12" t="n"/>
      <c r="B122">
        <f>IF($V122="","",INDEX('Per Line'!$B$2:$B$501,$V122)&amp;"")</f>
        <v/>
      </c>
      <c r="C122" s="12" t="n"/>
      <c r="D122">
        <f>IF($V122="","",INDEX('Per Line'!$C$2:$C$501,$V122)&amp;"")</f>
        <v/>
      </c>
      <c r="E122">
        <f>IF($V122="","",INDEX('Per Line'!$D$2:$D$501,$V122)&amp;"")</f>
        <v/>
      </c>
      <c r="F122">
        <f>IF($V122="","",INDEX('Per Line'!$E$2:$E$501,$V122)&amp;"")</f>
        <v/>
      </c>
      <c r="G122">
        <f>IF($V122="","",INDEX('Per Line'!$F$2:$F$501,$V122))</f>
        <v/>
      </c>
      <c r="H122" s="7">
        <f>IF($V122="","",G122*T122/100)</f>
        <v/>
      </c>
      <c r="I122">
        <f>IF($V122="","",INDEX('Per Line'!$M$2:$M$501,$V122)&amp;"")</f>
        <v/>
      </c>
      <c r="J122">
        <f>IF($V122="","",INDEX('Per Line'!$O$2:$O$501,$V122)&amp;"")</f>
        <v/>
      </c>
      <c r="K122">
        <f>IF($V122="","",INDEX('Per Line'!$Q$2:$Q$501,$V122)&amp;"")</f>
        <v/>
      </c>
      <c r="L122">
        <f>IF($V122="","",Settings!$C$7)</f>
        <v/>
      </c>
      <c r="M122" s="7">
        <f>IF($V122="","",SUMIFS('Per Line'!$L$2:$L$501,'Per Line'!$B$2:$B$501,$B122,'Per Line'!$Y$2:$Y$501,0))</f>
        <v/>
      </c>
      <c r="N122" s="7">
        <f>IF($V122="","",M122*L122)</f>
        <v/>
      </c>
      <c r="O122">
        <f>IF($V122="","",Settings!$C$6)</f>
        <v/>
      </c>
      <c r="P122" s="7">
        <f>IF($V122="","",SUMIFS('Per Line'!$L$2:$L$501,'Per Line'!$B$2:$B$501,$B122,'Per Line'!$Y$2:$Y$501,1))</f>
        <v/>
      </c>
      <c r="Q122" s="7">
        <f>IF($V122="","",P122*O122)</f>
        <v/>
      </c>
      <c r="R122" s="7">
        <f>IF($V122="","",Q122+N122)</f>
        <v/>
      </c>
      <c r="S122" s="7">
        <f>IF($V122="","",T122-R122)</f>
        <v/>
      </c>
      <c r="T122" s="7">
        <f>IF($V122="","",M122+P122)</f>
        <v/>
      </c>
      <c r="U122" s="7">
        <f>IF($V122="","",T122-R122-H122)</f>
        <v/>
      </c>
      <c r="V122" s="13">
        <f>IF(ROWS($V$2:$V122)&lt;=MAX('Per Line'!$X$2:$X$501),MATCH(ROWS($V$2:$V122),'Per Line'!$X$2:$X$501,0),"")</f>
        <v/>
      </c>
    </row>
    <row r="123">
      <c r="A123" s="12" t="n"/>
      <c r="B123">
        <f>IF($V123="","",INDEX('Per Line'!$B$2:$B$501,$V123)&amp;"")</f>
        <v/>
      </c>
      <c r="C123" s="12" t="n"/>
      <c r="D123">
        <f>IF($V123="","",INDEX('Per Line'!$C$2:$C$501,$V123)&amp;"")</f>
        <v/>
      </c>
      <c r="E123">
        <f>IF($V123="","",INDEX('Per Line'!$D$2:$D$501,$V123)&amp;"")</f>
        <v/>
      </c>
      <c r="F123">
        <f>IF($V123="","",INDEX('Per Line'!$E$2:$E$501,$V123)&amp;"")</f>
        <v/>
      </c>
      <c r="G123">
        <f>IF($V123="","",INDEX('Per Line'!$F$2:$F$501,$V123))</f>
        <v/>
      </c>
      <c r="H123" s="7">
        <f>IF($V123="","",G123*T123/100)</f>
        <v/>
      </c>
      <c r="I123">
        <f>IF($V123="","",INDEX('Per Line'!$M$2:$M$501,$V123)&amp;"")</f>
        <v/>
      </c>
      <c r="J123">
        <f>IF($V123="","",INDEX('Per Line'!$O$2:$O$501,$V123)&amp;"")</f>
        <v/>
      </c>
      <c r="K123">
        <f>IF($V123="","",INDEX('Per Line'!$Q$2:$Q$501,$V123)&amp;"")</f>
        <v/>
      </c>
      <c r="L123">
        <f>IF($V123="","",Settings!$C$7)</f>
        <v/>
      </c>
      <c r="M123" s="7">
        <f>IF($V123="","",SUMIFS('Per Line'!$L$2:$L$501,'Per Line'!$B$2:$B$501,$B123,'Per Line'!$Y$2:$Y$501,0))</f>
        <v/>
      </c>
      <c r="N123" s="7">
        <f>IF($V123="","",M123*L123)</f>
        <v/>
      </c>
      <c r="O123">
        <f>IF($V123="","",Settings!$C$6)</f>
        <v/>
      </c>
      <c r="P123" s="7">
        <f>IF($V123="","",SUMIFS('Per Line'!$L$2:$L$501,'Per Line'!$B$2:$B$501,$B123,'Per Line'!$Y$2:$Y$501,1))</f>
        <v/>
      </c>
      <c r="Q123" s="7">
        <f>IF($V123="","",P123*O123)</f>
        <v/>
      </c>
      <c r="R123" s="7">
        <f>IF($V123="","",Q123+N123)</f>
        <v/>
      </c>
      <c r="S123" s="7">
        <f>IF($V123="","",T123-R123)</f>
        <v/>
      </c>
      <c r="T123" s="7">
        <f>IF($V123="","",M123+P123)</f>
        <v/>
      </c>
      <c r="U123" s="7">
        <f>IF($V123="","",T123-R123-H123)</f>
        <v/>
      </c>
      <c r="V123" s="13">
        <f>IF(ROWS($V$2:$V123)&lt;=MAX('Per Line'!$X$2:$X$501),MATCH(ROWS($V$2:$V123),'Per Line'!$X$2:$X$501,0),"")</f>
        <v/>
      </c>
    </row>
    <row r="124">
      <c r="A124" s="12" t="n"/>
      <c r="B124">
        <f>IF($V124="","",INDEX('Per Line'!$B$2:$B$501,$V124)&amp;"")</f>
        <v/>
      </c>
      <c r="C124" s="12" t="n"/>
      <c r="D124">
        <f>IF($V124="","",INDEX('Per Line'!$C$2:$C$501,$V124)&amp;"")</f>
        <v/>
      </c>
      <c r="E124">
        <f>IF($V124="","",INDEX('Per Line'!$D$2:$D$501,$V124)&amp;"")</f>
        <v/>
      </c>
      <c r="F124">
        <f>IF($V124="","",INDEX('Per Line'!$E$2:$E$501,$V124)&amp;"")</f>
        <v/>
      </c>
      <c r="G124">
        <f>IF($V124="","",INDEX('Per Line'!$F$2:$F$501,$V124))</f>
        <v/>
      </c>
      <c r="H124" s="7">
        <f>IF($V124="","",G124*T124/100)</f>
        <v/>
      </c>
      <c r="I124">
        <f>IF($V124="","",INDEX('Per Line'!$M$2:$M$501,$V124)&amp;"")</f>
        <v/>
      </c>
      <c r="J124">
        <f>IF($V124="","",INDEX('Per Line'!$O$2:$O$501,$V124)&amp;"")</f>
        <v/>
      </c>
      <c r="K124">
        <f>IF($V124="","",INDEX('Per Line'!$Q$2:$Q$501,$V124)&amp;"")</f>
        <v/>
      </c>
      <c r="L124">
        <f>IF($V124="","",Settings!$C$7)</f>
        <v/>
      </c>
      <c r="M124" s="7">
        <f>IF($V124="","",SUMIFS('Per Line'!$L$2:$L$501,'Per Line'!$B$2:$B$501,$B124,'Per Line'!$Y$2:$Y$501,0))</f>
        <v/>
      </c>
      <c r="N124" s="7">
        <f>IF($V124="","",M124*L124)</f>
        <v/>
      </c>
      <c r="O124">
        <f>IF($V124="","",Settings!$C$6)</f>
        <v/>
      </c>
      <c r="P124" s="7">
        <f>IF($V124="","",SUMIFS('Per Line'!$L$2:$L$501,'Per Line'!$B$2:$B$501,$B124,'Per Line'!$Y$2:$Y$501,1))</f>
        <v/>
      </c>
      <c r="Q124" s="7">
        <f>IF($V124="","",P124*O124)</f>
        <v/>
      </c>
      <c r="R124" s="7">
        <f>IF($V124="","",Q124+N124)</f>
        <v/>
      </c>
      <c r="S124" s="7">
        <f>IF($V124="","",T124-R124)</f>
        <v/>
      </c>
      <c r="T124" s="7">
        <f>IF($V124="","",M124+P124)</f>
        <v/>
      </c>
      <c r="U124" s="7">
        <f>IF($V124="","",T124-R124-H124)</f>
        <v/>
      </c>
      <c r="V124" s="13">
        <f>IF(ROWS($V$2:$V124)&lt;=MAX('Per Line'!$X$2:$X$501),MATCH(ROWS($V$2:$V124),'Per Line'!$X$2:$X$501,0),"")</f>
        <v/>
      </c>
    </row>
    <row r="125">
      <c r="A125" s="12" t="n"/>
      <c r="B125">
        <f>IF($V125="","",INDEX('Per Line'!$B$2:$B$501,$V125)&amp;"")</f>
        <v/>
      </c>
      <c r="C125" s="12" t="n"/>
      <c r="D125">
        <f>IF($V125="","",INDEX('Per Line'!$C$2:$C$501,$V125)&amp;"")</f>
        <v/>
      </c>
      <c r="E125">
        <f>IF($V125="","",INDEX('Per Line'!$D$2:$D$501,$V125)&amp;"")</f>
        <v/>
      </c>
      <c r="F125">
        <f>IF($V125="","",INDEX('Per Line'!$E$2:$E$501,$V125)&amp;"")</f>
        <v/>
      </c>
      <c r="G125">
        <f>IF($V125="","",INDEX('Per Line'!$F$2:$F$501,$V125))</f>
        <v/>
      </c>
      <c r="H125" s="7">
        <f>IF($V125="","",G125*T125/100)</f>
        <v/>
      </c>
      <c r="I125">
        <f>IF($V125="","",INDEX('Per Line'!$M$2:$M$501,$V125)&amp;"")</f>
        <v/>
      </c>
      <c r="J125">
        <f>IF($V125="","",INDEX('Per Line'!$O$2:$O$501,$V125)&amp;"")</f>
        <v/>
      </c>
      <c r="K125">
        <f>IF($V125="","",INDEX('Per Line'!$Q$2:$Q$501,$V125)&amp;"")</f>
        <v/>
      </c>
      <c r="L125">
        <f>IF($V125="","",Settings!$C$7)</f>
        <v/>
      </c>
      <c r="M125" s="7">
        <f>IF($V125="","",SUMIFS('Per Line'!$L$2:$L$501,'Per Line'!$B$2:$B$501,$B125,'Per Line'!$Y$2:$Y$501,0))</f>
        <v/>
      </c>
      <c r="N125" s="7">
        <f>IF($V125="","",M125*L125)</f>
        <v/>
      </c>
      <c r="O125">
        <f>IF($V125="","",Settings!$C$6)</f>
        <v/>
      </c>
      <c r="P125" s="7">
        <f>IF($V125="","",SUMIFS('Per Line'!$L$2:$L$501,'Per Line'!$B$2:$B$501,$B125,'Per Line'!$Y$2:$Y$501,1))</f>
        <v/>
      </c>
      <c r="Q125" s="7">
        <f>IF($V125="","",P125*O125)</f>
        <v/>
      </c>
      <c r="R125" s="7">
        <f>IF($V125="","",Q125+N125)</f>
        <v/>
      </c>
      <c r="S125" s="7">
        <f>IF($V125="","",T125-R125)</f>
        <v/>
      </c>
      <c r="T125" s="7">
        <f>IF($V125="","",M125+P125)</f>
        <v/>
      </c>
      <c r="U125" s="7">
        <f>IF($V125="","",T125-R125-H125)</f>
        <v/>
      </c>
      <c r="V125" s="13">
        <f>IF(ROWS($V$2:$V125)&lt;=MAX('Per Line'!$X$2:$X$501),MATCH(ROWS($V$2:$V125),'Per Line'!$X$2:$X$501,0),"")</f>
        <v/>
      </c>
    </row>
    <row r="126">
      <c r="A126" s="12" t="n"/>
      <c r="B126">
        <f>IF($V126="","",INDEX('Per Line'!$B$2:$B$501,$V126)&amp;"")</f>
        <v/>
      </c>
      <c r="C126" s="12" t="n"/>
      <c r="D126">
        <f>IF($V126="","",INDEX('Per Line'!$C$2:$C$501,$V126)&amp;"")</f>
        <v/>
      </c>
      <c r="E126">
        <f>IF($V126="","",INDEX('Per Line'!$D$2:$D$501,$V126)&amp;"")</f>
        <v/>
      </c>
      <c r="F126">
        <f>IF($V126="","",INDEX('Per Line'!$E$2:$E$501,$V126)&amp;"")</f>
        <v/>
      </c>
      <c r="G126">
        <f>IF($V126="","",INDEX('Per Line'!$F$2:$F$501,$V126))</f>
        <v/>
      </c>
      <c r="H126" s="7">
        <f>IF($V126="","",G126*T126/100)</f>
        <v/>
      </c>
      <c r="I126">
        <f>IF($V126="","",INDEX('Per Line'!$M$2:$M$501,$V126)&amp;"")</f>
        <v/>
      </c>
      <c r="J126">
        <f>IF($V126="","",INDEX('Per Line'!$O$2:$O$501,$V126)&amp;"")</f>
        <v/>
      </c>
      <c r="K126">
        <f>IF($V126="","",INDEX('Per Line'!$Q$2:$Q$501,$V126)&amp;"")</f>
        <v/>
      </c>
      <c r="L126">
        <f>IF($V126="","",Settings!$C$7)</f>
        <v/>
      </c>
      <c r="M126" s="7">
        <f>IF($V126="","",SUMIFS('Per Line'!$L$2:$L$501,'Per Line'!$B$2:$B$501,$B126,'Per Line'!$Y$2:$Y$501,0))</f>
        <v/>
      </c>
      <c r="N126" s="7">
        <f>IF($V126="","",M126*L126)</f>
        <v/>
      </c>
      <c r="O126">
        <f>IF($V126="","",Settings!$C$6)</f>
        <v/>
      </c>
      <c r="P126" s="7">
        <f>IF($V126="","",SUMIFS('Per Line'!$L$2:$L$501,'Per Line'!$B$2:$B$501,$B126,'Per Line'!$Y$2:$Y$501,1))</f>
        <v/>
      </c>
      <c r="Q126" s="7">
        <f>IF($V126="","",P126*O126)</f>
        <v/>
      </c>
      <c r="R126" s="7">
        <f>IF($V126="","",Q126+N126)</f>
        <v/>
      </c>
      <c r="S126" s="7">
        <f>IF($V126="","",T126-R126)</f>
        <v/>
      </c>
      <c r="T126" s="7">
        <f>IF($V126="","",M126+P126)</f>
        <v/>
      </c>
      <c r="U126" s="7">
        <f>IF($V126="","",T126-R126-H126)</f>
        <v/>
      </c>
      <c r="V126" s="13">
        <f>IF(ROWS($V$2:$V126)&lt;=MAX('Per Line'!$X$2:$X$501),MATCH(ROWS($V$2:$V126),'Per Line'!$X$2:$X$501,0),"")</f>
        <v/>
      </c>
    </row>
    <row r="127">
      <c r="A127" s="12" t="n"/>
      <c r="B127">
        <f>IF($V127="","",INDEX('Per Line'!$B$2:$B$501,$V127)&amp;"")</f>
        <v/>
      </c>
      <c r="C127" s="12" t="n"/>
      <c r="D127">
        <f>IF($V127="","",INDEX('Per Line'!$C$2:$C$501,$V127)&amp;"")</f>
        <v/>
      </c>
      <c r="E127">
        <f>IF($V127="","",INDEX('Per Line'!$D$2:$D$501,$V127)&amp;"")</f>
        <v/>
      </c>
      <c r="F127">
        <f>IF($V127="","",INDEX('Per Line'!$E$2:$E$501,$V127)&amp;"")</f>
        <v/>
      </c>
      <c r="G127">
        <f>IF($V127="","",INDEX('Per Line'!$F$2:$F$501,$V127))</f>
        <v/>
      </c>
      <c r="H127" s="7">
        <f>IF($V127="","",G127*T127/100)</f>
        <v/>
      </c>
      <c r="I127">
        <f>IF($V127="","",INDEX('Per Line'!$M$2:$M$501,$V127)&amp;"")</f>
        <v/>
      </c>
      <c r="J127">
        <f>IF($V127="","",INDEX('Per Line'!$O$2:$O$501,$V127)&amp;"")</f>
        <v/>
      </c>
      <c r="K127">
        <f>IF($V127="","",INDEX('Per Line'!$Q$2:$Q$501,$V127)&amp;"")</f>
        <v/>
      </c>
      <c r="L127">
        <f>IF($V127="","",Settings!$C$7)</f>
        <v/>
      </c>
      <c r="M127" s="7">
        <f>IF($V127="","",SUMIFS('Per Line'!$L$2:$L$501,'Per Line'!$B$2:$B$501,$B127,'Per Line'!$Y$2:$Y$501,0))</f>
        <v/>
      </c>
      <c r="N127" s="7">
        <f>IF($V127="","",M127*L127)</f>
        <v/>
      </c>
      <c r="O127">
        <f>IF($V127="","",Settings!$C$6)</f>
        <v/>
      </c>
      <c r="P127" s="7">
        <f>IF($V127="","",SUMIFS('Per Line'!$L$2:$L$501,'Per Line'!$B$2:$B$501,$B127,'Per Line'!$Y$2:$Y$501,1))</f>
        <v/>
      </c>
      <c r="Q127" s="7">
        <f>IF($V127="","",P127*O127)</f>
        <v/>
      </c>
      <c r="R127" s="7">
        <f>IF($V127="","",Q127+N127)</f>
        <v/>
      </c>
      <c r="S127" s="7">
        <f>IF($V127="","",T127-R127)</f>
        <v/>
      </c>
      <c r="T127" s="7">
        <f>IF($V127="","",M127+P127)</f>
        <v/>
      </c>
      <c r="U127" s="7">
        <f>IF($V127="","",T127-R127-H127)</f>
        <v/>
      </c>
      <c r="V127" s="13">
        <f>IF(ROWS($V$2:$V127)&lt;=MAX('Per Line'!$X$2:$X$501),MATCH(ROWS($V$2:$V127),'Per Line'!$X$2:$X$501,0),"")</f>
        <v/>
      </c>
    </row>
    <row r="128">
      <c r="A128" s="12" t="n"/>
      <c r="B128">
        <f>IF($V128="","",INDEX('Per Line'!$B$2:$B$501,$V128)&amp;"")</f>
        <v/>
      </c>
      <c r="C128" s="12" t="n"/>
      <c r="D128">
        <f>IF($V128="","",INDEX('Per Line'!$C$2:$C$501,$V128)&amp;"")</f>
        <v/>
      </c>
      <c r="E128">
        <f>IF($V128="","",INDEX('Per Line'!$D$2:$D$501,$V128)&amp;"")</f>
        <v/>
      </c>
      <c r="F128">
        <f>IF($V128="","",INDEX('Per Line'!$E$2:$E$501,$V128)&amp;"")</f>
        <v/>
      </c>
      <c r="G128">
        <f>IF($V128="","",INDEX('Per Line'!$F$2:$F$501,$V128))</f>
        <v/>
      </c>
      <c r="H128" s="7">
        <f>IF($V128="","",G128*T128/100)</f>
        <v/>
      </c>
      <c r="I128">
        <f>IF($V128="","",INDEX('Per Line'!$M$2:$M$501,$V128)&amp;"")</f>
        <v/>
      </c>
      <c r="J128">
        <f>IF($V128="","",INDEX('Per Line'!$O$2:$O$501,$V128)&amp;"")</f>
        <v/>
      </c>
      <c r="K128">
        <f>IF($V128="","",INDEX('Per Line'!$Q$2:$Q$501,$V128)&amp;"")</f>
        <v/>
      </c>
      <c r="L128">
        <f>IF($V128="","",Settings!$C$7)</f>
        <v/>
      </c>
      <c r="M128" s="7">
        <f>IF($V128="","",SUMIFS('Per Line'!$L$2:$L$501,'Per Line'!$B$2:$B$501,$B128,'Per Line'!$Y$2:$Y$501,0))</f>
        <v/>
      </c>
      <c r="N128" s="7">
        <f>IF($V128="","",M128*L128)</f>
        <v/>
      </c>
      <c r="O128">
        <f>IF($V128="","",Settings!$C$6)</f>
        <v/>
      </c>
      <c r="P128" s="7">
        <f>IF($V128="","",SUMIFS('Per Line'!$L$2:$L$501,'Per Line'!$B$2:$B$501,$B128,'Per Line'!$Y$2:$Y$501,1))</f>
        <v/>
      </c>
      <c r="Q128" s="7">
        <f>IF($V128="","",P128*O128)</f>
        <v/>
      </c>
      <c r="R128" s="7">
        <f>IF($V128="","",Q128+N128)</f>
        <v/>
      </c>
      <c r="S128" s="7">
        <f>IF($V128="","",T128-R128)</f>
        <v/>
      </c>
      <c r="T128" s="7">
        <f>IF($V128="","",M128+P128)</f>
        <v/>
      </c>
      <c r="U128" s="7">
        <f>IF($V128="","",T128-R128-H128)</f>
        <v/>
      </c>
      <c r="V128" s="13">
        <f>IF(ROWS($V$2:$V128)&lt;=MAX('Per Line'!$X$2:$X$501),MATCH(ROWS($V$2:$V128),'Per Line'!$X$2:$X$501,0),"")</f>
        <v/>
      </c>
    </row>
    <row r="129">
      <c r="A129" s="12" t="n"/>
      <c r="B129">
        <f>IF($V129="","",INDEX('Per Line'!$B$2:$B$501,$V129)&amp;"")</f>
        <v/>
      </c>
      <c r="C129" s="12" t="n"/>
      <c r="D129">
        <f>IF($V129="","",INDEX('Per Line'!$C$2:$C$501,$V129)&amp;"")</f>
        <v/>
      </c>
      <c r="E129">
        <f>IF($V129="","",INDEX('Per Line'!$D$2:$D$501,$V129)&amp;"")</f>
        <v/>
      </c>
      <c r="F129">
        <f>IF($V129="","",INDEX('Per Line'!$E$2:$E$501,$V129)&amp;"")</f>
        <v/>
      </c>
      <c r="G129">
        <f>IF($V129="","",INDEX('Per Line'!$F$2:$F$501,$V129))</f>
        <v/>
      </c>
      <c r="H129" s="7">
        <f>IF($V129="","",G129*T129/100)</f>
        <v/>
      </c>
      <c r="I129">
        <f>IF($V129="","",INDEX('Per Line'!$M$2:$M$501,$V129)&amp;"")</f>
        <v/>
      </c>
      <c r="J129">
        <f>IF($V129="","",INDEX('Per Line'!$O$2:$O$501,$V129)&amp;"")</f>
        <v/>
      </c>
      <c r="K129">
        <f>IF($V129="","",INDEX('Per Line'!$Q$2:$Q$501,$V129)&amp;"")</f>
        <v/>
      </c>
      <c r="L129">
        <f>IF($V129="","",Settings!$C$7)</f>
        <v/>
      </c>
      <c r="M129" s="7">
        <f>IF($V129="","",SUMIFS('Per Line'!$L$2:$L$501,'Per Line'!$B$2:$B$501,$B129,'Per Line'!$Y$2:$Y$501,0))</f>
        <v/>
      </c>
      <c r="N129" s="7">
        <f>IF($V129="","",M129*L129)</f>
        <v/>
      </c>
      <c r="O129">
        <f>IF($V129="","",Settings!$C$6)</f>
        <v/>
      </c>
      <c r="P129" s="7">
        <f>IF($V129="","",SUMIFS('Per Line'!$L$2:$L$501,'Per Line'!$B$2:$B$501,$B129,'Per Line'!$Y$2:$Y$501,1))</f>
        <v/>
      </c>
      <c r="Q129" s="7">
        <f>IF($V129="","",P129*O129)</f>
        <v/>
      </c>
      <c r="R129" s="7">
        <f>IF($V129="","",Q129+N129)</f>
        <v/>
      </c>
      <c r="S129" s="7">
        <f>IF($V129="","",T129-R129)</f>
        <v/>
      </c>
      <c r="T129" s="7">
        <f>IF($V129="","",M129+P129)</f>
        <v/>
      </c>
      <c r="U129" s="7">
        <f>IF($V129="","",T129-R129-H129)</f>
        <v/>
      </c>
      <c r="V129" s="13">
        <f>IF(ROWS($V$2:$V129)&lt;=MAX('Per Line'!$X$2:$X$501),MATCH(ROWS($V$2:$V129),'Per Line'!$X$2:$X$501,0),"")</f>
        <v/>
      </c>
    </row>
    <row r="130">
      <c r="A130" s="12" t="n"/>
      <c r="B130">
        <f>IF($V130="","",INDEX('Per Line'!$B$2:$B$501,$V130)&amp;"")</f>
        <v/>
      </c>
      <c r="C130" s="12" t="n"/>
      <c r="D130">
        <f>IF($V130="","",INDEX('Per Line'!$C$2:$C$501,$V130)&amp;"")</f>
        <v/>
      </c>
      <c r="E130">
        <f>IF($V130="","",INDEX('Per Line'!$D$2:$D$501,$V130)&amp;"")</f>
        <v/>
      </c>
      <c r="F130">
        <f>IF($V130="","",INDEX('Per Line'!$E$2:$E$501,$V130)&amp;"")</f>
        <v/>
      </c>
      <c r="G130">
        <f>IF($V130="","",INDEX('Per Line'!$F$2:$F$501,$V130))</f>
        <v/>
      </c>
      <c r="H130" s="7">
        <f>IF($V130="","",G130*T130/100)</f>
        <v/>
      </c>
      <c r="I130">
        <f>IF($V130="","",INDEX('Per Line'!$M$2:$M$501,$V130)&amp;"")</f>
        <v/>
      </c>
      <c r="J130">
        <f>IF($V130="","",INDEX('Per Line'!$O$2:$O$501,$V130)&amp;"")</f>
        <v/>
      </c>
      <c r="K130">
        <f>IF($V130="","",INDEX('Per Line'!$Q$2:$Q$501,$V130)&amp;"")</f>
        <v/>
      </c>
      <c r="L130">
        <f>IF($V130="","",Settings!$C$7)</f>
        <v/>
      </c>
      <c r="M130" s="7">
        <f>IF($V130="","",SUMIFS('Per Line'!$L$2:$L$501,'Per Line'!$B$2:$B$501,$B130,'Per Line'!$Y$2:$Y$501,0))</f>
        <v/>
      </c>
      <c r="N130" s="7">
        <f>IF($V130="","",M130*L130)</f>
        <v/>
      </c>
      <c r="O130">
        <f>IF($V130="","",Settings!$C$6)</f>
        <v/>
      </c>
      <c r="P130" s="7">
        <f>IF($V130="","",SUMIFS('Per Line'!$L$2:$L$501,'Per Line'!$B$2:$B$501,$B130,'Per Line'!$Y$2:$Y$501,1))</f>
        <v/>
      </c>
      <c r="Q130" s="7">
        <f>IF($V130="","",P130*O130)</f>
        <v/>
      </c>
      <c r="R130" s="7">
        <f>IF($V130="","",Q130+N130)</f>
        <v/>
      </c>
      <c r="S130" s="7">
        <f>IF($V130="","",T130-R130)</f>
        <v/>
      </c>
      <c r="T130" s="7">
        <f>IF($V130="","",M130+P130)</f>
        <v/>
      </c>
      <c r="U130" s="7">
        <f>IF($V130="","",T130-R130-H130)</f>
        <v/>
      </c>
      <c r="V130" s="13">
        <f>IF(ROWS($V$2:$V130)&lt;=MAX('Per Line'!$X$2:$X$501),MATCH(ROWS($V$2:$V130),'Per Line'!$X$2:$X$501,0),"")</f>
        <v/>
      </c>
    </row>
    <row r="131">
      <c r="A131" s="12" t="n"/>
      <c r="B131">
        <f>IF($V131="","",INDEX('Per Line'!$B$2:$B$501,$V131)&amp;"")</f>
        <v/>
      </c>
      <c r="C131" s="12" t="n"/>
      <c r="D131">
        <f>IF($V131="","",INDEX('Per Line'!$C$2:$C$501,$V131)&amp;"")</f>
        <v/>
      </c>
      <c r="E131">
        <f>IF($V131="","",INDEX('Per Line'!$D$2:$D$501,$V131)&amp;"")</f>
        <v/>
      </c>
      <c r="F131">
        <f>IF($V131="","",INDEX('Per Line'!$E$2:$E$501,$V131)&amp;"")</f>
        <v/>
      </c>
      <c r="G131">
        <f>IF($V131="","",INDEX('Per Line'!$F$2:$F$501,$V131))</f>
        <v/>
      </c>
      <c r="H131" s="7">
        <f>IF($V131="","",G131*T131/100)</f>
        <v/>
      </c>
      <c r="I131">
        <f>IF($V131="","",INDEX('Per Line'!$M$2:$M$501,$V131)&amp;"")</f>
        <v/>
      </c>
      <c r="J131">
        <f>IF($V131="","",INDEX('Per Line'!$O$2:$O$501,$V131)&amp;"")</f>
        <v/>
      </c>
      <c r="K131">
        <f>IF($V131="","",INDEX('Per Line'!$Q$2:$Q$501,$V131)&amp;"")</f>
        <v/>
      </c>
      <c r="L131">
        <f>IF($V131="","",Settings!$C$7)</f>
        <v/>
      </c>
      <c r="M131" s="7">
        <f>IF($V131="","",SUMIFS('Per Line'!$L$2:$L$501,'Per Line'!$B$2:$B$501,$B131,'Per Line'!$Y$2:$Y$501,0))</f>
        <v/>
      </c>
      <c r="N131" s="7">
        <f>IF($V131="","",M131*L131)</f>
        <v/>
      </c>
      <c r="O131">
        <f>IF($V131="","",Settings!$C$6)</f>
        <v/>
      </c>
      <c r="P131" s="7">
        <f>IF($V131="","",SUMIFS('Per Line'!$L$2:$L$501,'Per Line'!$B$2:$B$501,$B131,'Per Line'!$Y$2:$Y$501,1))</f>
        <v/>
      </c>
      <c r="Q131" s="7">
        <f>IF($V131="","",P131*O131)</f>
        <v/>
      </c>
      <c r="R131" s="7">
        <f>IF($V131="","",Q131+N131)</f>
        <v/>
      </c>
      <c r="S131" s="7">
        <f>IF($V131="","",T131-R131)</f>
        <v/>
      </c>
      <c r="T131" s="7">
        <f>IF($V131="","",M131+P131)</f>
        <v/>
      </c>
      <c r="U131" s="7">
        <f>IF($V131="","",T131-R131-H131)</f>
        <v/>
      </c>
      <c r="V131" s="13">
        <f>IF(ROWS($V$2:$V131)&lt;=MAX('Per Line'!$X$2:$X$501),MATCH(ROWS($V$2:$V131),'Per Line'!$X$2:$X$501,0),"")</f>
        <v/>
      </c>
    </row>
    <row r="132">
      <c r="A132" s="12" t="n"/>
      <c r="B132">
        <f>IF($V132="","",INDEX('Per Line'!$B$2:$B$501,$V132)&amp;"")</f>
        <v/>
      </c>
      <c r="C132" s="12" t="n"/>
      <c r="D132">
        <f>IF($V132="","",INDEX('Per Line'!$C$2:$C$501,$V132)&amp;"")</f>
        <v/>
      </c>
      <c r="E132">
        <f>IF($V132="","",INDEX('Per Line'!$D$2:$D$501,$V132)&amp;"")</f>
        <v/>
      </c>
      <c r="F132">
        <f>IF($V132="","",INDEX('Per Line'!$E$2:$E$501,$V132)&amp;"")</f>
        <v/>
      </c>
      <c r="G132">
        <f>IF($V132="","",INDEX('Per Line'!$F$2:$F$501,$V132))</f>
        <v/>
      </c>
      <c r="H132" s="7">
        <f>IF($V132="","",G132*T132/100)</f>
        <v/>
      </c>
      <c r="I132">
        <f>IF($V132="","",INDEX('Per Line'!$M$2:$M$501,$V132)&amp;"")</f>
        <v/>
      </c>
      <c r="J132">
        <f>IF($V132="","",INDEX('Per Line'!$O$2:$O$501,$V132)&amp;"")</f>
        <v/>
      </c>
      <c r="K132">
        <f>IF($V132="","",INDEX('Per Line'!$Q$2:$Q$501,$V132)&amp;"")</f>
        <v/>
      </c>
      <c r="L132">
        <f>IF($V132="","",Settings!$C$7)</f>
        <v/>
      </c>
      <c r="M132" s="7">
        <f>IF($V132="","",SUMIFS('Per Line'!$L$2:$L$501,'Per Line'!$B$2:$B$501,$B132,'Per Line'!$Y$2:$Y$501,0))</f>
        <v/>
      </c>
      <c r="N132" s="7">
        <f>IF($V132="","",M132*L132)</f>
        <v/>
      </c>
      <c r="O132">
        <f>IF($V132="","",Settings!$C$6)</f>
        <v/>
      </c>
      <c r="P132" s="7">
        <f>IF($V132="","",SUMIFS('Per Line'!$L$2:$L$501,'Per Line'!$B$2:$B$501,$B132,'Per Line'!$Y$2:$Y$501,1))</f>
        <v/>
      </c>
      <c r="Q132" s="7">
        <f>IF($V132="","",P132*O132)</f>
        <v/>
      </c>
      <c r="R132" s="7">
        <f>IF($V132="","",Q132+N132)</f>
        <v/>
      </c>
      <c r="S132" s="7">
        <f>IF($V132="","",T132-R132)</f>
        <v/>
      </c>
      <c r="T132" s="7">
        <f>IF($V132="","",M132+P132)</f>
        <v/>
      </c>
      <c r="U132" s="7">
        <f>IF($V132="","",T132-R132-H132)</f>
        <v/>
      </c>
      <c r="V132" s="13">
        <f>IF(ROWS($V$2:$V132)&lt;=MAX('Per Line'!$X$2:$X$501),MATCH(ROWS($V$2:$V132),'Per Line'!$X$2:$X$501,0),"")</f>
        <v/>
      </c>
    </row>
    <row r="133">
      <c r="A133" s="12" t="n"/>
      <c r="B133">
        <f>IF($V133="","",INDEX('Per Line'!$B$2:$B$501,$V133)&amp;"")</f>
        <v/>
      </c>
      <c r="C133" s="12" t="n"/>
      <c r="D133">
        <f>IF($V133="","",INDEX('Per Line'!$C$2:$C$501,$V133)&amp;"")</f>
        <v/>
      </c>
      <c r="E133">
        <f>IF($V133="","",INDEX('Per Line'!$D$2:$D$501,$V133)&amp;"")</f>
        <v/>
      </c>
      <c r="F133">
        <f>IF($V133="","",INDEX('Per Line'!$E$2:$E$501,$V133)&amp;"")</f>
        <v/>
      </c>
      <c r="G133">
        <f>IF($V133="","",INDEX('Per Line'!$F$2:$F$501,$V133))</f>
        <v/>
      </c>
      <c r="H133" s="7">
        <f>IF($V133="","",G133*T133/100)</f>
        <v/>
      </c>
      <c r="I133">
        <f>IF($V133="","",INDEX('Per Line'!$M$2:$M$501,$V133)&amp;"")</f>
        <v/>
      </c>
      <c r="J133">
        <f>IF($V133="","",INDEX('Per Line'!$O$2:$O$501,$V133)&amp;"")</f>
        <v/>
      </c>
      <c r="K133">
        <f>IF($V133="","",INDEX('Per Line'!$Q$2:$Q$501,$V133)&amp;"")</f>
        <v/>
      </c>
      <c r="L133">
        <f>IF($V133="","",Settings!$C$7)</f>
        <v/>
      </c>
      <c r="M133" s="7">
        <f>IF($V133="","",SUMIFS('Per Line'!$L$2:$L$501,'Per Line'!$B$2:$B$501,$B133,'Per Line'!$Y$2:$Y$501,0))</f>
        <v/>
      </c>
      <c r="N133" s="7">
        <f>IF($V133="","",M133*L133)</f>
        <v/>
      </c>
      <c r="O133">
        <f>IF($V133="","",Settings!$C$6)</f>
        <v/>
      </c>
      <c r="P133" s="7">
        <f>IF($V133="","",SUMIFS('Per Line'!$L$2:$L$501,'Per Line'!$B$2:$B$501,$B133,'Per Line'!$Y$2:$Y$501,1))</f>
        <v/>
      </c>
      <c r="Q133" s="7">
        <f>IF($V133="","",P133*O133)</f>
        <v/>
      </c>
      <c r="R133" s="7">
        <f>IF($V133="","",Q133+N133)</f>
        <v/>
      </c>
      <c r="S133" s="7">
        <f>IF($V133="","",T133-R133)</f>
        <v/>
      </c>
      <c r="T133" s="7">
        <f>IF($V133="","",M133+P133)</f>
        <v/>
      </c>
      <c r="U133" s="7">
        <f>IF($V133="","",T133-R133-H133)</f>
        <v/>
      </c>
      <c r="V133" s="13">
        <f>IF(ROWS($V$2:$V133)&lt;=MAX('Per Line'!$X$2:$X$501),MATCH(ROWS($V$2:$V133),'Per Line'!$X$2:$X$501,0),"")</f>
        <v/>
      </c>
    </row>
    <row r="134">
      <c r="A134" s="12" t="n"/>
      <c r="B134">
        <f>IF($V134="","",INDEX('Per Line'!$B$2:$B$501,$V134)&amp;"")</f>
        <v/>
      </c>
      <c r="C134" s="12" t="n"/>
      <c r="D134">
        <f>IF($V134="","",INDEX('Per Line'!$C$2:$C$501,$V134)&amp;"")</f>
        <v/>
      </c>
      <c r="E134">
        <f>IF($V134="","",INDEX('Per Line'!$D$2:$D$501,$V134)&amp;"")</f>
        <v/>
      </c>
      <c r="F134">
        <f>IF($V134="","",INDEX('Per Line'!$E$2:$E$501,$V134)&amp;"")</f>
        <v/>
      </c>
      <c r="G134">
        <f>IF($V134="","",INDEX('Per Line'!$F$2:$F$501,$V134))</f>
        <v/>
      </c>
      <c r="H134" s="7">
        <f>IF($V134="","",G134*T134/100)</f>
        <v/>
      </c>
      <c r="I134">
        <f>IF($V134="","",INDEX('Per Line'!$M$2:$M$501,$V134)&amp;"")</f>
        <v/>
      </c>
      <c r="J134">
        <f>IF($V134="","",INDEX('Per Line'!$O$2:$O$501,$V134)&amp;"")</f>
        <v/>
      </c>
      <c r="K134">
        <f>IF($V134="","",INDEX('Per Line'!$Q$2:$Q$501,$V134)&amp;"")</f>
        <v/>
      </c>
      <c r="L134">
        <f>IF($V134="","",Settings!$C$7)</f>
        <v/>
      </c>
      <c r="M134" s="7">
        <f>IF($V134="","",SUMIFS('Per Line'!$L$2:$L$501,'Per Line'!$B$2:$B$501,$B134,'Per Line'!$Y$2:$Y$501,0))</f>
        <v/>
      </c>
      <c r="N134" s="7">
        <f>IF($V134="","",M134*L134)</f>
        <v/>
      </c>
      <c r="O134">
        <f>IF($V134="","",Settings!$C$6)</f>
        <v/>
      </c>
      <c r="P134" s="7">
        <f>IF($V134="","",SUMIFS('Per Line'!$L$2:$L$501,'Per Line'!$B$2:$B$501,$B134,'Per Line'!$Y$2:$Y$501,1))</f>
        <v/>
      </c>
      <c r="Q134" s="7">
        <f>IF($V134="","",P134*O134)</f>
        <v/>
      </c>
      <c r="R134" s="7">
        <f>IF($V134="","",Q134+N134)</f>
        <v/>
      </c>
      <c r="S134" s="7">
        <f>IF($V134="","",T134-R134)</f>
        <v/>
      </c>
      <c r="T134" s="7">
        <f>IF($V134="","",M134+P134)</f>
        <v/>
      </c>
      <c r="U134" s="7">
        <f>IF($V134="","",T134-R134-H134)</f>
        <v/>
      </c>
      <c r="V134" s="13">
        <f>IF(ROWS($V$2:$V134)&lt;=MAX('Per Line'!$X$2:$X$501),MATCH(ROWS($V$2:$V134),'Per Line'!$X$2:$X$501,0),"")</f>
        <v/>
      </c>
    </row>
    <row r="135">
      <c r="A135" s="12" t="n"/>
      <c r="B135">
        <f>IF($V135="","",INDEX('Per Line'!$B$2:$B$501,$V135)&amp;"")</f>
        <v/>
      </c>
      <c r="C135" s="12" t="n"/>
      <c r="D135">
        <f>IF($V135="","",INDEX('Per Line'!$C$2:$C$501,$V135)&amp;"")</f>
        <v/>
      </c>
      <c r="E135">
        <f>IF($V135="","",INDEX('Per Line'!$D$2:$D$501,$V135)&amp;"")</f>
        <v/>
      </c>
      <c r="F135">
        <f>IF($V135="","",INDEX('Per Line'!$E$2:$E$501,$V135)&amp;"")</f>
        <v/>
      </c>
      <c r="G135">
        <f>IF($V135="","",INDEX('Per Line'!$F$2:$F$501,$V135))</f>
        <v/>
      </c>
      <c r="H135" s="7">
        <f>IF($V135="","",G135*T135/100)</f>
        <v/>
      </c>
      <c r="I135">
        <f>IF($V135="","",INDEX('Per Line'!$M$2:$M$501,$V135)&amp;"")</f>
        <v/>
      </c>
      <c r="J135">
        <f>IF($V135="","",INDEX('Per Line'!$O$2:$O$501,$V135)&amp;"")</f>
        <v/>
      </c>
      <c r="K135">
        <f>IF($V135="","",INDEX('Per Line'!$Q$2:$Q$501,$V135)&amp;"")</f>
        <v/>
      </c>
      <c r="L135">
        <f>IF($V135="","",Settings!$C$7)</f>
        <v/>
      </c>
      <c r="M135" s="7">
        <f>IF($V135="","",SUMIFS('Per Line'!$L$2:$L$501,'Per Line'!$B$2:$B$501,$B135,'Per Line'!$Y$2:$Y$501,0))</f>
        <v/>
      </c>
      <c r="N135" s="7">
        <f>IF($V135="","",M135*L135)</f>
        <v/>
      </c>
      <c r="O135">
        <f>IF($V135="","",Settings!$C$6)</f>
        <v/>
      </c>
      <c r="P135" s="7">
        <f>IF($V135="","",SUMIFS('Per Line'!$L$2:$L$501,'Per Line'!$B$2:$B$501,$B135,'Per Line'!$Y$2:$Y$501,1))</f>
        <v/>
      </c>
      <c r="Q135" s="7">
        <f>IF($V135="","",P135*O135)</f>
        <v/>
      </c>
      <c r="R135" s="7">
        <f>IF($V135="","",Q135+N135)</f>
        <v/>
      </c>
      <c r="S135" s="7">
        <f>IF($V135="","",T135-R135)</f>
        <v/>
      </c>
      <c r="T135" s="7">
        <f>IF($V135="","",M135+P135)</f>
        <v/>
      </c>
      <c r="U135" s="7">
        <f>IF($V135="","",T135-R135-H135)</f>
        <v/>
      </c>
      <c r="V135" s="13">
        <f>IF(ROWS($V$2:$V135)&lt;=MAX('Per Line'!$X$2:$X$501),MATCH(ROWS($V$2:$V135),'Per Line'!$X$2:$X$501,0),"")</f>
        <v/>
      </c>
    </row>
    <row r="136">
      <c r="A136" s="12" t="n"/>
      <c r="B136">
        <f>IF($V136="","",INDEX('Per Line'!$B$2:$B$501,$V136)&amp;"")</f>
        <v/>
      </c>
      <c r="C136" s="12" t="n"/>
      <c r="D136">
        <f>IF($V136="","",INDEX('Per Line'!$C$2:$C$501,$V136)&amp;"")</f>
        <v/>
      </c>
      <c r="E136">
        <f>IF($V136="","",INDEX('Per Line'!$D$2:$D$501,$V136)&amp;"")</f>
        <v/>
      </c>
      <c r="F136">
        <f>IF($V136="","",INDEX('Per Line'!$E$2:$E$501,$V136)&amp;"")</f>
        <v/>
      </c>
      <c r="G136">
        <f>IF($V136="","",INDEX('Per Line'!$F$2:$F$501,$V136))</f>
        <v/>
      </c>
      <c r="H136" s="7">
        <f>IF($V136="","",G136*T136/100)</f>
        <v/>
      </c>
      <c r="I136">
        <f>IF($V136="","",INDEX('Per Line'!$M$2:$M$501,$V136)&amp;"")</f>
        <v/>
      </c>
      <c r="J136">
        <f>IF($V136="","",INDEX('Per Line'!$O$2:$O$501,$V136)&amp;"")</f>
        <v/>
      </c>
      <c r="K136">
        <f>IF($V136="","",INDEX('Per Line'!$Q$2:$Q$501,$V136)&amp;"")</f>
        <v/>
      </c>
      <c r="L136">
        <f>IF($V136="","",Settings!$C$7)</f>
        <v/>
      </c>
      <c r="M136" s="7">
        <f>IF($V136="","",SUMIFS('Per Line'!$L$2:$L$501,'Per Line'!$B$2:$B$501,$B136,'Per Line'!$Y$2:$Y$501,0))</f>
        <v/>
      </c>
      <c r="N136" s="7">
        <f>IF($V136="","",M136*L136)</f>
        <v/>
      </c>
      <c r="O136">
        <f>IF($V136="","",Settings!$C$6)</f>
        <v/>
      </c>
      <c r="P136" s="7">
        <f>IF($V136="","",SUMIFS('Per Line'!$L$2:$L$501,'Per Line'!$B$2:$B$501,$B136,'Per Line'!$Y$2:$Y$501,1))</f>
        <v/>
      </c>
      <c r="Q136" s="7">
        <f>IF($V136="","",P136*O136)</f>
        <v/>
      </c>
      <c r="R136" s="7">
        <f>IF($V136="","",Q136+N136)</f>
        <v/>
      </c>
      <c r="S136" s="7">
        <f>IF($V136="","",T136-R136)</f>
        <v/>
      </c>
      <c r="T136" s="7">
        <f>IF($V136="","",M136+P136)</f>
        <v/>
      </c>
      <c r="U136" s="7">
        <f>IF($V136="","",T136-R136-H136)</f>
        <v/>
      </c>
      <c r="V136" s="13">
        <f>IF(ROWS($V$2:$V136)&lt;=MAX('Per Line'!$X$2:$X$501),MATCH(ROWS($V$2:$V136),'Per Line'!$X$2:$X$501,0),"")</f>
        <v/>
      </c>
    </row>
    <row r="137">
      <c r="A137" s="12" t="n"/>
      <c r="B137">
        <f>IF($V137="","",INDEX('Per Line'!$B$2:$B$501,$V137)&amp;"")</f>
        <v/>
      </c>
      <c r="C137" s="12" t="n"/>
      <c r="D137">
        <f>IF($V137="","",INDEX('Per Line'!$C$2:$C$501,$V137)&amp;"")</f>
        <v/>
      </c>
      <c r="E137">
        <f>IF($V137="","",INDEX('Per Line'!$D$2:$D$501,$V137)&amp;"")</f>
        <v/>
      </c>
      <c r="F137">
        <f>IF($V137="","",INDEX('Per Line'!$E$2:$E$501,$V137)&amp;"")</f>
        <v/>
      </c>
      <c r="G137">
        <f>IF($V137="","",INDEX('Per Line'!$F$2:$F$501,$V137))</f>
        <v/>
      </c>
      <c r="H137" s="7">
        <f>IF($V137="","",G137*T137/100)</f>
        <v/>
      </c>
      <c r="I137">
        <f>IF($V137="","",INDEX('Per Line'!$M$2:$M$501,$V137)&amp;"")</f>
        <v/>
      </c>
      <c r="J137">
        <f>IF($V137="","",INDEX('Per Line'!$O$2:$O$501,$V137)&amp;"")</f>
        <v/>
      </c>
      <c r="K137">
        <f>IF($V137="","",INDEX('Per Line'!$Q$2:$Q$501,$V137)&amp;"")</f>
        <v/>
      </c>
      <c r="L137">
        <f>IF($V137="","",Settings!$C$7)</f>
        <v/>
      </c>
      <c r="M137" s="7">
        <f>IF($V137="","",SUMIFS('Per Line'!$L$2:$L$501,'Per Line'!$B$2:$B$501,$B137,'Per Line'!$Y$2:$Y$501,0))</f>
        <v/>
      </c>
      <c r="N137" s="7">
        <f>IF($V137="","",M137*L137)</f>
        <v/>
      </c>
      <c r="O137">
        <f>IF($V137="","",Settings!$C$6)</f>
        <v/>
      </c>
      <c r="P137" s="7">
        <f>IF($V137="","",SUMIFS('Per Line'!$L$2:$L$501,'Per Line'!$B$2:$B$501,$B137,'Per Line'!$Y$2:$Y$501,1))</f>
        <v/>
      </c>
      <c r="Q137" s="7">
        <f>IF($V137="","",P137*O137)</f>
        <v/>
      </c>
      <c r="R137" s="7">
        <f>IF($V137="","",Q137+N137)</f>
        <v/>
      </c>
      <c r="S137" s="7">
        <f>IF($V137="","",T137-R137)</f>
        <v/>
      </c>
      <c r="T137" s="7">
        <f>IF($V137="","",M137+P137)</f>
        <v/>
      </c>
      <c r="U137" s="7">
        <f>IF($V137="","",T137-R137-H137)</f>
        <v/>
      </c>
      <c r="V137" s="13">
        <f>IF(ROWS($V$2:$V137)&lt;=MAX('Per Line'!$X$2:$X$501),MATCH(ROWS($V$2:$V137),'Per Line'!$X$2:$X$501,0),"")</f>
        <v/>
      </c>
    </row>
    <row r="138">
      <c r="A138" s="12" t="n"/>
      <c r="B138">
        <f>IF($V138="","",INDEX('Per Line'!$B$2:$B$501,$V138)&amp;"")</f>
        <v/>
      </c>
      <c r="C138" s="12" t="n"/>
      <c r="D138">
        <f>IF($V138="","",INDEX('Per Line'!$C$2:$C$501,$V138)&amp;"")</f>
        <v/>
      </c>
      <c r="E138">
        <f>IF($V138="","",INDEX('Per Line'!$D$2:$D$501,$V138)&amp;"")</f>
        <v/>
      </c>
      <c r="F138">
        <f>IF($V138="","",INDEX('Per Line'!$E$2:$E$501,$V138)&amp;"")</f>
        <v/>
      </c>
      <c r="G138">
        <f>IF($V138="","",INDEX('Per Line'!$F$2:$F$501,$V138))</f>
        <v/>
      </c>
      <c r="H138" s="7">
        <f>IF($V138="","",G138*T138/100)</f>
        <v/>
      </c>
      <c r="I138">
        <f>IF($V138="","",INDEX('Per Line'!$M$2:$M$501,$V138)&amp;"")</f>
        <v/>
      </c>
      <c r="J138">
        <f>IF($V138="","",INDEX('Per Line'!$O$2:$O$501,$V138)&amp;"")</f>
        <v/>
      </c>
      <c r="K138">
        <f>IF($V138="","",INDEX('Per Line'!$Q$2:$Q$501,$V138)&amp;"")</f>
        <v/>
      </c>
      <c r="L138">
        <f>IF($V138="","",Settings!$C$7)</f>
        <v/>
      </c>
      <c r="M138" s="7">
        <f>IF($V138="","",SUMIFS('Per Line'!$L$2:$L$501,'Per Line'!$B$2:$B$501,$B138,'Per Line'!$Y$2:$Y$501,0))</f>
        <v/>
      </c>
      <c r="N138" s="7">
        <f>IF($V138="","",M138*L138)</f>
        <v/>
      </c>
      <c r="O138">
        <f>IF($V138="","",Settings!$C$6)</f>
        <v/>
      </c>
      <c r="P138" s="7">
        <f>IF($V138="","",SUMIFS('Per Line'!$L$2:$L$501,'Per Line'!$B$2:$B$501,$B138,'Per Line'!$Y$2:$Y$501,1))</f>
        <v/>
      </c>
      <c r="Q138" s="7">
        <f>IF($V138="","",P138*O138)</f>
        <v/>
      </c>
      <c r="R138" s="7">
        <f>IF($V138="","",Q138+N138)</f>
        <v/>
      </c>
      <c r="S138" s="7">
        <f>IF($V138="","",T138-R138)</f>
        <v/>
      </c>
      <c r="T138" s="7">
        <f>IF($V138="","",M138+P138)</f>
        <v/>
      </c>
      <c r="U138" s="7">
        <f>IF($V138="","",T138-R138-H138)</f>
        <v/>
      </c>
      <c r="V138" s="13">
        <f>IF(ROWS($V$2:$V138)&lt;=MAX('Per Line'!$X$2:$X$501),MATCH(ROWS($V$2:$V138),'Per Line'!$X$2:$X$501,0),"")</f>
        <v/>
      </c>
    </row>
    <row r="139">
      <c r="A139" s="12" t="n"/>
      <c r="B139">
        <f>IF($V139="","",INDEX('Per Line'!$B$2:$B$501,$V139)&amp;"")</f>
        <v/>
      </c>
      <c r="C139" s="12" t="n"/>
      <c r="D139">
        <f>IF($V139="","",INDEX('Per Line'!$C$2:$C$501,$V139)&amp;"")</f>
        <v/>
      </c>
      <c r="E139">
        <f>IF($V139="","",INDEX('Per Line'!$D$2:$D$501,$V139)&amp;"")</f>
        <v/>
      </c>
      <c r="F139">
        <f>IF($V139="","",INDEX('Per Line'!$E$2:$E$501,$V139)&amp;"")</f>
        <v/>
      </c>
      <c r="G139">
        <f>IF($V139="","",INDEX('Per Line'!$F$2:$F$501,$V139))</f>
        <v/>
      </c>
      <c r="H139" s="7">
        <f>IF($V139="","",G139*T139/100)</f>
        <v/>
      </c>
      <c r="I139">
        <f>IF($V139="","",INDEX('Per Line'!$M$2:$M$501,$V139)&amp;"")</f>
        <v/>
      </c>
      <c r="J139">
        <f>IF($V139="","",INDEX('Per Line'!$O$2:$O$501,$V139)&amp;"")</f>
        <v/>
      </c>
      <c r="K139">
        <f>IF($V139="","",INDEX('Per Line'!$Q$2:$Q$501,$V139)&amp;"")</f>
        <v/>
      </c>
      <c r="L139">
        <f>IF($V139="","",Settings!$C$7)</f>
        <v/>
      </c>
      <c r="M139" s="7">
        <f>IF($V139="","",SUMIFS('Per Line'!$L$2:$L$501,'Per Line'!$B$2:$B$501,$B139,'Per Line'!$Y$2:$Y$501,0))</f>
        <v/>
      </c>
      <c r="N139" s="7">
        <f>IF($V139="","",M139*L139)</f>
        <v/>
      </c>
      <c r="O139">
        <f>IF($V139="","",Settings!$C$6)</f>
        <v/>
      </c>
      <c r="P139" s="7">
        <f>IF($V139="","",SUMIFS('Per Line'!$L$2:$L$501,'Per Line'!$B$2:$B$501,$B139,'Per Line'!$Y$2:$Y$501,1))</f>
        <v/>
      </c>
      <c r="Q139" s="7">
        <f>IF($V139="","",P139*O139)</f>
        <v/>
      </c>
      <c r="R139" s="7">
        <f>IF($V139="","",Q139+N139)</f>
        <v/>
      </c>
      <c r="S139" s="7">
        <f>IF($V139="","",T139-R139)</f>
        <v/>
      </c>
      <c r="T139" s="7">
        <f>IF($V139="","",M139+P139)</f>
        <v/>
      </c>
      <c r="U139" s="7">
        <f>IF($V139="","",T139-R139-H139)</f>
        <v/>
      </c>
      <c r="V139" s="13">
        <f>IF(ROWS($V$2:$V139)&lt;=MAX('Per Line'!$X$2:$X$501),MATCH(ROWS($V$2:$V139),'Per Line'!$X$2:$X$501,0),"")</f>
        <v/>
      </c>
    </row>
    <row r="140">
      <c r="A140" s="12" t="n"/>
      <c r="B140">
        <f>IF($V140="","",INDEX('Per Line'!$B$2:$B$501,$V140)&amp;"")</f>
        <v/>
      </c>
      <c r="C140" s="12" t="n"/>
      <c r="D140">
        <f>IF($V140="","",INDEX('Per Line'!$C$2:$C$501,$V140)&amp;"")</f>
        <v/>
      </c>
      <c r="E140">
        <f>IF($V140="","",INDEX('Per Line'!$D$2:$D$501,$V140)&amp;"")</f>
        <v/>
      </c>
      <c r="F140">
        <f>IF($V140="","",INDEX('Per Line'!$E$2:$E$501,$V140)&amp;"")</f>
        <v/>
      </c>
      <c r="G140">
        <f>IF($V140="","",INDEX('Per Line'!$F$2:$F$501,$V140))</f>
        <v/>
      </c>
      <c r="H140" s="7">
        <f>IF($V140="","",G140*T140/100)</f>
        <v/>
      </c>
      <c r="I140">
        <f>IF($V140="","",INDEX('Per Line'!$M$2:$M$501,$V140)&amp;"")</f>
        <v/>
      </c>
      <c r="J140">
        <f>IF($V140="","",INDEX('Per Line'!$O$2:$O$501,$V140)&amp;"")</f>
        <v/>
      </c>
      <c r="K140">
        <f>IF($V140="","",INDEX('Per Line'!$Q$2:$Q$501,$V140)&amp;"")</f>
        <v/>
      </c>
      <c r="L140">
        <f>IF($V140="","",Settings!$C$7)</f>
        <v/>
      </c>
      <c r="M140" s="7">
        <f>IF($V140="","",SUMIFS('Per Line'!$L$2:$L$501,'Per Line'!$B$2:$B$501,$B140,'Per Line'!$Y$2:$Y$501,0))</f>
        <v/>
      </c>
      <c r="N140" s="7">
        <f>IF($V140="","",M140*L140)</f>
        <v/>
      </c>
      <c r="O140">
        <f>IF($V140="","",Settings!$C$6)</f>
        <v/>
      </c>
      <c r="P140" s="7">
        <f>IF($V140="","",SUMIFS('Per Line'!$L$2:$L$501,'Per Line'!$B$2:$B$501,$B140,'Per Line'!$Y$2:$Y$501,1))</f>
        <v/>
      </c>
      <c r="Q140" s="7">
        <f>IF($V140="","",P140*O140)</f>
        <v/>
      </c>
      <c r="R140" s="7">
        <f>IF($V140="","",Q140+N140)</f>
        <v/>
      </c>
      <c r="S140" s="7">
        <f>IF($V140="","",T140-R140)</f>
        <v/>
      </c>
      <c r="T140" s="7">
        <f>IF($V140="","",M140+P140)</f>
        <v/>
      </c>
      <c r="U140" s="7">
        <f>IF($V140="","",T140-R140-H140)</f>
        <v/>
      </c>
      <c r="V140" s="13">
        <f>IF(ROWS($V$2:$V140)&lt;=MAX('Per Line'!$X$2:$X$501),MATCH(ROWS($V$2:$V140),'Per Line'!$X$2:$X$501,0),"")</f>
        <v/>
      </c>
    </row>
    <row r="141">
      <c r="A141" s="12" t="n"/>
      <c r="B141">
        <f>IF($V141="","",INDEX('Per Line'!$B$2:$B$501,$V141)&amp;"")</f>
        <v/>
      </c>
      <c r="C141" s="12" t="n"/>
      <c r="D141">
        <f>IF($V141="","",INDEX('Per Line'!$C$2:$C$501,$V141)&amp;"")</f>
        <v/>
      </c>
      <c r="E141">
        <f>IF($V141="","",INDEX('Per Line'!$D$2:$D$501,$V141)&amp;"")</f>
        <v/>
      </c>
      <c r="F141">
        <f>IF($V141="","",INDEX('Per Line'!$E$2:$E$501,$V141)&amp;"")</f>
        <v/>
      </c>
      <c r="G141">
        <f>IF($V141="","",INDEX('Per Line'!$F$2:$F$501,$V141))</f>
        <v/>
      </c>
      <c r="H141" s="7">
        <f>IF($V141="","",G141*T141/100)</f>
        <v/>
      </c>
      <c r="I141">
        <f>IF($V141="","",INDEX('Per Line'!$M$2:$M$501,$V141)&amp;"")</f>
        <v/>
      </c>
      <c r="J141">
        <f>IF($V141="","",INDEX('Per Line'!$O$2:$O$501,$V141)&amp;"")</f>
        <v/>
      </c>
      <c r="K141">
        <f>IF($V141="","",INDEX('Per Line'!$Q$2:$Q$501,$V141)&amp;"")</f>
        <v/>
      </c>
      <c r="L141">
        <f>IF($V141="","",Settings!$C$7)</f>
        <v/>
      </c>
      <c r="M141" s="7">
        <f>IF($V141="","",SUMIFS('Per Line'!$L$2:$L$501,'Per Line'!$B$2:$B$501,$B141,'Per Line'!$Y$2:$Y$501,0))</f>
        <v/>
      </c>
      <c r="N141" s="7">
        <f>IF($V141="","",M141*L141)</f>
        <v/>
      </c>
      <c r="O141">
        <f>IF($V141="","",Settings!$C$6)</f>
        <v/>
      </c>
      <c r="P141" s="7">
        <f>IF($V141="","",SUMIFS('Per Line'!$L$2:$L$501,'Per Line'!$B$2:$B$501,$B141,'Per Line'!$Y$2:$Y$501,1))</f>
        <v/>
      </c>
      <c r="Q141" s="7">
        <f>IF($V141="","",P141*O141)</f>
        <v/>
      </c>
      <c r="R141" s="7">
        <f>IF($V141="","",Q141+N141)</f>
        <v/>
      </c>
      <c r="S141" s="7">
        <f>IF($V141="","",T141-R141)</f>
        <v/>
      </c>
      <c r="T141" s="7">
        <f>IF($V141="","",M141+P141)</f>
        <v/>
      </c>
      <c r="U141" s="7">
        <f>IF($V141="","",T141-R141-H141)</f>
        <v/>
      </c>
      <c r="V141" s="13">
        <f>IF(ROWS($V$2:$V141)&lt;=MAX('Per Line'!$X$2:$X$501),MATCH(ROWS($V$2:$V141),'Per Line'!$X$2:$X$501,0),"")</f>
        <v/>
      </c>
    </row>
    <row r="142">
      <c r="A142" s="12" t="n"/>
      <c r="B142">
        <f>IF($V142="","",INDEX('Per Line'!$B$2:$B$501,$V142)&amp;"")</f>
        <v/>
      </c>
      <c r="C142" s="12" t="n"/>
      <c r="D142">
        <f>IF($V142="","",INDEX('Per Line'!$C$2:$C$501,$V142)&amp;"")</f>
        <v/>
      </c>
      <c r="E142">
        <f>IF($V142="","",INDEX('Per Line'!$D$2:$D$501,$V142)&amp;"")</f>
        <v/>
      </c>
      <c r="F142">
        <f>IF($V142="","",INDEX('Per Line'!$E$2:$E$501,$V142)&amp;"")</f>
        <v/>
      </c>
      <c r="G142">
        <f>IF($V142="","",INDEX('Per Line'!$F$2:$F$501,$V142))</f>
        <v/>
      </c>
      <c r="H142" s="7">
        <f>IF($V142="","",G142*T142/100)</f>
        <v/>
      </c>
      <c r="I142">
        <f>IF($V142="","",INDEX('Per Line'!$M$2:$M$501,$V142)&amp;"")</f>
        <v/>
      </c>
      <c r="J142">
        <f>IF($V142="","",INDEX('Per Line'!$O$2:$O$501,$V142)&amp;"")</f>
        <v/>
      </c>
      <c r="K142">
        <f>IF($V142="","",INDEX('Per Line'!$Q$2:$Q$501,$V142)&amp;"")</f>
        <v/>
      </c>
      <c r="L142">
        <f>IF($V142="","",Settings!$C$7)</f>
        <v/>
      </c>
      <c r="M142" s="7">
        <f>IF($V142="","",SUMIFS('Per Line'!$L$2:$L$501,'Per Line'!$B$2:$B$501,$B142,'Per Line'!$Y$2:$Y$501,0))</f>
        <v/>
      </c>
      <c r="N142" s="7">
        <f>IF($V142="","",M142*L142)</f>
        <v/>
      </c>
      <c r="O142">
        <f>IF($V142="","",Settings!$C$6)</f>
        <v/>
      </c>
      <c r="P142" s="7">
        <f>IF($V142="","",SUMIFS('Per Line'!$L$2:$L$501,'Per Line'!$B$2:$B$501,$B142,'Per Line'!$Y$2:$Y$501,1))</f>
        <v/>
      </c>
      <c r="Q142" s="7">
        <f>IF($V142="","",P142*O142)</f>
        <v/>
      </c>
      <c r="R142" s="7">
        <f>IF($V142="","",Q142+N142)</f>
        <v/>
      </c>
      <c r="S142" s="7">
        <f>IF($V142="","",T142-R142)</f>
        <v/>
      </c>
      <c r="T142" s="7">
        <f>IF($V142="","",M142+P142)</f>
        <v/>
      </c>
      <c r="U142" s="7">
        <f>IF($V142="","",T142-R142-H142)</f>
        <v/>
      </c>
      <c r="V142" s="13">
        <f>IF(ROWS($V$2:$V142)&lt;=MAX('Per Line'!$X$2:$X$501),MATCH(ROWS($V$2:$V142),'Per Line'!$X$2:$X$501,0),"")</f>
        <v/>
      </c>
    </row>
    <row r="143">
      <c r="A143" s="12" t="n"/>
      <c r="B143">
        <f>IF($V143="","",INDEX('Per Line'!$B$2:$B$501,$V143)&amp;"")</f>
        <v/>
      </c>
      <c r="C143" s="12" t="n"/>
      <c r="D143">
        <f>IF($V143="","",INDEX('Per Line'!$C$2:$C$501,$V143)&amp;"")</f>
        <v/>
      </c>
      <c r="E143">
        <f>IF($V143="","",INDEX('Per Line'!$D$2:$D$501,$V143)&amp;"")</f>
        <v/>
      </c>
      <c r="F143">
        <f>IF($V143="","",INDEX('Per Line'!$E$2:$E$501,$V143)&amp;"")</f>
        <v/>
      </c>
      <c r="G143">
        <f>IF($V143="","",INDEX('Per Line'!$F$2:$F$501,$V143))</f>
        <v/>
      </c>
      <c r="H143" s="7">
        <f>IF($V143="","",G143*T143/100)</f>
        <v/>
      </c>
      <c r="I143">
        <f>IF($V143="","",INDEX('Per Line'!$M$2:$M$501,$V143)&amp;"")</f>
        <v/>
      </c>
      <c r="J143">
        <f>IF($V143="","",INDEX('Per Line'!$O$2:$O$501,$V143)&amp;"")</f>
        <v/>
      </c>
      <c r="K143">
        <f>IF($V143="","",INDEX('Per Line'!$Q$2:$Q$501,$V143)&amp;"")</f>
        <v/>
      </c>
      <c r="L143">
        <f>IF($V143="","",Settings!$C$7)</f>
        <v/>
      </c>
      <c r="M143" s="7">
        <f>IF($V143="","",SUMIFS('Per Line'!$L$2:$L$501,'Per Line'!$B$2:$B$501,$B143,'Per Line'!$Y$2:$Y$501,0))</f>
        <v/>
      </c>
      <c r="N143" s="7">
        <f>IF($V143="","",M143*L143)</f>
        <v/>
      </c>
      <c r="O143">
        <f>IF($V143="","",Settings!$C$6)</f>
        <v/>
      </c>
      <c r="P143" s="7">
        <f>IF($V143="","",SUMIFS('Per Line'!$L$2:$L$501,'Per Line'!$B$2:$B$501,$B143,'Per Line'!$Y$2:$Y$501,1))</f>
        <v/>
      </c>
      <c r="Q143" s="7">
        <f>IF($V143="","",P143*O143)</f>
        <v/>
      </c>
      <c r="R143" s="7">
        <f>IF($V143="","",Q143+N143)</f>
        <v/>
      </c>
      <c r="S143" s="7">
        <f>IF($V143="","",T143-R143)</f>
        <v/>
      </c>
      <c r="T143" s="7">
        <f>IF($V143="","",M143+P143)</f>
        <v/>
      </c>
      <c r="U143" s="7">
        <f>IF($V143="","",T143-R143-H143)</f>
        <v/>
      </c>
      <c r="V143" s="13">
        <f>IF(ROWS($V$2:$V143)&lt;=MAX('Per Line'!$X$2:$X$501),MATCH(ROWS($V$2:$V143),'Per Line'!$X$2:$X$501,0),"")</f>
        <v/>
      </c>
    </row>
    <row r="144">
      <c r="A144" s="12" t="n"/>
      <c r="B144">
        <f>IF($V144="","",INDEX('Per Line'!$B$2:$B$501,$V144)&amp;"")</f>
        <v/>
      </c>
      <c r="C144" s="12" t="n"/>
      <c r="D144">
        <f>IF($V144="","",INDEX('Per Line'!$C$2:$C$501,$V144)&amp;"")</f>
        <v/>
      </c>
      <c r="E144">
        <f>IF($V144="","",INDEX('Per Line'!$D$2:$D$501,$V144)&amp;"")</f>
        <v/>
      </c>
      <c r="F144">
        <f>IF($V144="","",INDEX('Per Line'!$E$2:$E$501,$V144)&amp;"")</f>
        <v/>
      </c>
      <c r="G144">
        <f>IF($V144="","",INDEX('Per Line'!$F$2:$F$501,$V144))</f>
        <v/>
      </c>
      <c r="H144" s="7">
        <f>IF($V144="","",G144*T144/100)</f>
        <v/>
      </c>
      <c r="I144">
        <f>IF($V144="","",INDEX('Per Line'!$M$2:$M$501,$V144)&amp;"")</f>
        <v/>
      </c>
      <c r="J144">
        <f>IF($V144="","",INDEX('Per Line'!$O$2:$O$501,$V144)&amp;"")</f>
        <v/>
      </c>
      <c r="K144">
        <f>IF($V144="","",INDEX('Per Line'!$Q$2:$Q$501,$V144)&amp;"")</f>
        <v/>
      </c>
      <c r="L144">
        <f>IF($V144="","",Settings!$C$7)</f>
        <v/>
      </c>
      <c r="M144" s="7">
        <f>IF($V144="","",SUMIFS('Per Line'!$L$2:$L$501,'Per Line'!$B$2:$B$501,$B144,'Per Line'!$Y$2:$Y$501,0))</f>
        <v/>
      </c>
      <c r="N144" s="7">
        <f>IF($V144="","",M144*L144)</f>
        <v/>
      </c>
      <c r="O144">
        <f>IF($V144="","",Settings!$C$6)</f>
        <v/>
      </c>
      <c r="P144" s="7">
        <f>IF($V144="","",SUMIFS('Per Line'!$L$2:$L$501,'Per Line'!$B$2:$B$501,$B144,'Per Line'!$Y$2:$Y$501,1))</f>
        <v/>
      </c>
      <c r="Q144" s="7">
        <f>IF($V144="","",P144*O144)</f>
        <v/>
      </c>
      <c r="R144" s="7">
        <f>IF($V144="","",Q144+N144)</f>
        <v/>
      </c>
      <c r="S144" s="7">
        <f>IF($V144="","",T144-R144)</f>
        <v/>
      </c>
      <c r="T144" s="7">
        <f>IF($V144="","",M144+P144)</f>
        <v/>
      </c>
      <c r="U144" s="7">
        <f>IF($V144="","",T144-R144-H144)</f>
        <v/>
      </c>
      <c r="V144" s="13">
        <f>IF(ROWS($V$2:$V144)&lt;=MAX('Per Line'!$X$2:$X$501),MATCH(ROWS($V$2:$V144),'Per Line'!$X$2:$X$501,0),"")</f>
        <v/>
      </c>
    </row>
    <row r="145">
      <c r="A145" s="12" t="n"/>
      <c r="B145">
        <f>IF($V145="","",INDEX('Per Line'!$B$2:$B$501,$V145)&amp;"")</f>
        <v/>
      </c>
      <c r="C145" s="12" t="n"/>
      <c r="D145">
        <f>IF($V145="","",INDEX('Per Line'!$C$2:$C$501,$V145)&amp;"")</f>
        <v/>
      </c>
      <c r="E145">
        <f>IF($V145="","",INDEX('Per Line'!$D$2:$D$501,$V145)&amp;"")</f>
        <v/>
      </c>
      <c r="F145">
        <f>IF($V145="","",INDEX('Per Line'!$E$2:$E$501,$V145)&amp;"")</f>
        <v/>
      </c>
      <c r="G145">
        <f>IF($V145="","",INDEX('Per Line'!$F$2:$F$501,$V145))</f>
        <v/>
      </c>
      <c r="H145" s="7">
        <f>IF($V145="","",G145*T145/100)</f>
        <v/>
      </c>
      <c r="I145">
        <f>IF($V145="","",INDEX('Per Line'!$M$2:$M$501,$V145)&amp;"")</f>
        <v/>
      </c>
      <c r="J145">
        <f>IF($V145="","",INDEX('Per Line'!$O$2:$O$501,$V145)&amp;"")</f>
        <v/>
      </c>
      <c r="K145">
        <f>IF($V145="","",INDEX('Per Line'!$Q$2:$Q$501,$V145)&amp;"")</f>
        <v/>
      </c>
      <c r="L145">
        <f>IF($V145="","",Settings!$C$7)</f>
        <v/>
      </c>
      <c r="M145" s="7">
        <f>IF($V145="","",SUMIFS('Per Line'!$L$2:$L$501,'Per Line'!$B$2:$B$501,$B145,'Per Line'!$Y$2:$Y$501,0))</f>
        <v/>
      </c>
      <c r="N145" s="7">
        <f>IF($V145="","",M145*L145)</f>
        <v/>
      </c>
      <c r="O145">
        <f>IF($V145="","",Settings!$C$6)</f>
        <v/>
      </c>
      <c r="P145" s="7">
        <f>IF($V145="","",SUMIFS('Per Line'!$L$2:$L$501,'Per Line'!$B$2:$B$501,$B145,'Per Line'!$Y$2:$Y$501,1))</f>
        <v/>
      </c>
      <c r="Q145" s="7">
        <f>IF($V145="","",P145*O145)</f>
        <v/>
      </c>
      <c r="R145" s="7">
        <f>IF($V145="","",Q145+N145)</f>
        <v/>
      </c>
      <c r="S145" s="7">
        <f>IF($V145="","",T145-R145)</f>
        <v/>
      </c>
      <c r="T145" s="7">
        <f>IF($V145="","",M145+P145)</f>
        <v/>
      </c>
      <c r="U145" s="7">
        <f>IF($V145="","",T145-R145-H145)</f>
        <v/>
      </c>
      <c r="V145" s="13">
        <f>IF(ROWS($V$2:$V145)&lt;=MAX('Per Line'!$X$2:$X$501),MATCH(ROWS($V$2:$V145),'Per Line'!$X$2:$X$501,0),"")</f>
        <v/>
      </c>
    </row>
    <row r="146">
      <c r="A146" s="12" t="n"/>
      <c r="B146">
        <f>IF($V146="","",INDEX('Per Line'!$B$2:$B$501,$V146)&amp;"")</f>
        <v/>
      </c>
      <c r="C146" s="12" t="n"/>
      <c r="D146">
        <f>IF($V146="","",INDEX('Per Line'!$C$2:$C$501,$V146)&amp;"")</f>
        <v/>
      </c>
      <c r="E146">
        <f>IF($V146="","",INDEX('Per Line'!$D$2:$D$501,$V146)&amp;"")</f>
        <v/>
      </c>
      <c r="F146">
        <f>IF($V146="","",INDEX('Per Line'!$E$2:$E$501,$V146)&amp;"")</f>
        <v/>
      </c>
      <c r="G146">
        <f>IF($V146="","",INDEX('Per Line'!$F$2:$F$501,$V146))</f>
        <v/>
      </c>
      <c r="H146" s="7">
        <f>IF($V146="","",G146*T146/100)</f>
        <v/>
      </c>
      <c r="I146">
        <f>IF($V146="","",INDEX('Per Line'!$M$2:$M$501,$V146)&amp;"")</f>
        <v/>
      </c>
      <c r="J146">
        <f>IF($V146="","",INDEX('Per Line'!$O$2:$O$501,$V146)&amp;"")</f>
        <v/>
      </c>
      <c r="K146">
        <f>IF($V146="","",INDEX('Per Line'!$Q$2:$Q$501,$V146)&amp;"")</f>
        <v/>
      </c>
      <c r="L146">
        <f>IF($V146="","",Settings!$C$7)</f>
        <v/>
      </c>
      <c r="M146" s="7">
        <f>IF($V146="","",SUMIFS('Per Line'!$L$2:$L$501,'Per Line'!$B$2:$B$501,$B146,'Per Line'!$Y$2:$Y$501,0))</f>
        <v/>
      </c>
      <c r="N146" s="7">
        <f>IF($V146="","",M146*L146)</f>
        <v/>
      </c>
      <c r="O146">
        <f>IF($V146="","",Settings!$C$6)</f>
        <v/>
      </c>
      <c r="P146" s="7">
        <f>IF($V146="","",SUMIFS('Per Line'!$L$2:$L$501,'Per Line'!$B$2:$B$501,$B146,'Per Line'!$Y$2:$Y$501,1))</f>
        <v/>
      </c>
      <c r="Q146" s="7">
        <f>IF($V146="","",P146*O146)</f>
        <v/>
      </c>
      <c r="R146" s="7">
        <f>IF($V146="","",Q146+N146)</f>
        <v/>
      </c>
      <c r="S146" s="7">
        <f>IF($V146="","",T146-R146)</f>
        <v/>
      </c>
      <c r="T146" s="7">
        <f>IF($V146="","",M146+P146)</f>
        <v/>
      </c>
      <c r="U146" s="7">
        <f>IF($V146="","",T146-R146-H146)</f>
        <v/>
      </c>
      <c r="V146" s="13">
        <f>IF(ROWS($V$2:$V146)&lt;=MAX('Per Line'!$X$2:$X$501),MATCH(ROWS($V$2:$V146),'Per Line'!$X$2:$X$501,0),"")</f>
        <v/>
      </c>
    </row>
    <row r="147">
      <c r="A147" s="12" t="n"/>
      <c r="B147">
        <f>IF($V147="","",INDEX('Per Line'!$B$2:$B$501,$V147)&amp;"")</f>
        <v/>
      </c>
      <c r="C147" s="12" t="n"/>
      <c r="D147">
        <f>IF($V147="","",INDEX('Per Line'!$C$2:$C$501,$V147)&amp;"")</f>
        <v/>
      </c>
      <c r="E147">
        <f>IF($V147="","",INDEX('Per Line'!$D$2:$D$501,$V147)&amp;"")</f>
        <v/>
      </c>
      <c r="F147">
        <f>IF($V147="","",INDEX('Per Line'!$E$2:$E$501,$V147)&amp;"")</f>
        <v/>
      </c>
      <c r="G147">
        <f>IF($V147="","",INDEX('Per Line'!$F$2:$F$501,$V147))</f>
        <v/>
      </c>
      <c r="H147" s="7">
        <f>IF($V147="","",G147*T147/100)</f>
        <v/>
      </c>
      <c r="I147">
        <f>IF($V147="","",INDEX('Per Line'!$M$2:$M$501,$V147)&amp;"")</f>
        <v/>
      </c>
      <c r="J147">
        <f>IF($V147="","",INDEX('Per Line'!$O$2:$O$501,$V147)&amp;"")</f>
        <v/>
      </c>
      <c r="K147">
        <f>IF($V147="","",INDEX('Per Line'!$Q$2:$Q$501,$V147)&amp;"")</f>
        <v/>
      </c>
      <c r="L147">
        <f>IF($V147="","",Settings!$C$7)</f>
        <v/>
      </c>
      <c r="M147" s="7">
        <f>IF($V147="","",SUMIFS('Per Line'!$L$2:$L$501,'Per Line'!$B$2:$B$501,$B147,'Per Line'!$Y$2:$Y$501,0))</f>
        <v/>
      </c>
      <c r="N147" s="7">
        <f>IF($V147="","",M147*L147)</f>
        <v/>
      </c>
      <c r="O147">
        <f>IF($V147="","",Settings!$C$6)</f>
        <v/>
      </c>
      <c r="P147" s="7">
        <f>IF($V147="","",SUMIFS('Per Line'!$L$2:$L$501,'Per Line'!$B$2:$B$501,$B147,'Per Line'!$Y$2:$Y$501,1))</f>
        <v/>
      </c>
      <c r="Q147" s="7">
        <f>IF($V147="","",P147*O147)</f>
        <v/>
      </c>
      <c r="R147" s="7">
        <f>IF($V147="","",Q147+N147)</f>
        <v/>
      </c>
      <c r="S147" s="7">
        <f>IF($V147="","",T147-R147)</f>
        <v/>
      </c>
      <c r="T147" s="7">
        <f>IF($V147="","",M147+P147)</f>
        <v/>
      </c>
      <c r="U147" s="7">
        <f>IF($V147="","",T147-R147-H147)</f>
        <v/>
      </c>
      <c r="V147" s="13">
        <f>IF(ROWS($V$2:$V147)&lt;=MAX('Per Line'!$X$2:$X$501),MATCH(ROWS($V$2:$V147),'Per Line'!$X$2:$X$501,0),"")</f>
        <v/>
      </c>
    </row>
    <row r="148">
      <c r="A148" s="12" t="n"/>
      <c r="B148">
        <f>IF($V148="","",INDEX('Per Line'!$B$2:$B$501,$V148)&amp;"")</f>
        <v/>
      </c>
      <c r="C148" s="12" t="n"/>
      <c r="D148">
        <f>IF($V148="","",INDEX('Per Line'!$C$2:$C$501,$V148)&amp;"")</f>
        <v/>
      </c>
      <c r="E148">
        <f>IF($V148="","",INDEX('Per Line'!$D$2:$D$501,$V148)&amp;"")</f>
        <v/>
      </c>
      <c r="F148">
        <f>IF($V148="","",INDEX('Per Line'!$E$2:$E$501,$V148)&amp;"")</f>
        <v/>
      </c>
      <c r="G148">
        <f>IF($V148="","",INDEX('Per Line'!$F$2:$F$501,$V148))</f>
        <v/>
      </c>
      <c r="H148" s="7">
        <f>IF($V148="","",G148*T148/100)</f>
        <v/>
      </c>
      <c r="I148">
        <f>IF($V148="","",INDEX('Per Line'!$M$2:$M$501,$V148)&amp;"")</f>
        <v/>
      </c>
      <c r="J148">
        <f>IF($V148="","",INDEX('Per Line'!$O$2:$O$501,$V148)&amp;"")</f>
        <v/>
      </c>
      <c r="K148">
        <f>IF($V148="","",INDEX('Per Line'!$Q$2:$Q$501,$V148)&amp;"")</f>
        <v/>
      </c>
      <c r="L148">
        <f>IF($V148="","",Settings!$C$7)</f>
        <v/>
      </c>
      <c r="M148" s="7">
        <f>IF($V148="","",SUMIFS('Per Line'!$L$2:$L$501,'Per Line'!$B$2:$B$501,$B148,'Per Line'!$Y$2:$Y$501,0))</f>
        <v/>
      </c>
      <c r="N148" s="7">
        <f>IF($V148="","",M148*L148)</f>
        <v/>
      </c>
      <c r="O148">
        <f>IF($V148="","",Settings!$C$6)</f>
        <v/>
      </c>
      <c r="P148" s="7">
        <f>IF($V148="","",SUMIFS('Per Line'!$L$2:$L$501,'Per Line'!$B$2:$B$501,$B148,'Per Line'!$Y$2:$Y$501,1))</f>
        <v/>
      </c>
      <c r="Q148" s="7">
        <f>IF($V148="","",P148*O148)</f>
        <v/>
      </c>
      <c r="R148" s="7">
        <f>IF($V148="","",Q148+N148)</f>
        <v/>
      </c>
      <c r="S148" s="7">
        <f>IF($V148="","",T148-R148)</f>
        <v/>
      </c>
      <c r="T148" s="7">
        <f>IF($V148="","",M148+P148)</f>
        <v/>
      </c>
      <c r="U148" s="7">
        <f>IF($V148="","",T148-R148-H148)</f>
        <v/>
      </c>
      <c r="V148" s="13">
        <f>IF(ROWS($V$2:$V148)&lt;=MAX('Per Line'!$X$2:$X$501),MATCH(ROWS($V$2:$V148),'Per Line'!$X$2:$X$501,0),"")</f>
        <v/>
      </c>
    </row>
    <row r="149">
      <c r="A149" s="12" t="n"/>
      <c r="B149">
        <f>IF($V149="","",INDEX('Per Line'!$B$2:$B$501,$V149)&amp;"")</f>
        <v/>
      </c>
      <c r="C149" s="12" t="n"/>
      <c r="D149">
        <f>IF($V149="","",INDEX('Per Line'!$C$2:$C$501,$V149)&amp;"")</f>
        <v/>
      </c>
      <c r="E149">
        <f>IF($V149="","",INDEX('Per Line'!$D$2:$D$501,$V149)&amp;"")</f>
        <v/>
      </c>
      <c r="F149">
        <f>IF($V149="","",INDEX('Per Line'!$E$2:$E$501,$V149)&amp;"")</f>
        <v/>
      </c>
      <c r="G149">
        <f>IF($V149="","",INDEX('Per Line'!$F$2:$F$501,$V149))</f>
        <v/>
      </c>
      <c r="H149" s="7">
        <f>IF($V149="","",G149*T149/100)</f>
        <v/>
      </c>
      <c r="I149">
        <f>IF($V149="","",INDEX('Per Line'!$M$2:$M$501,$V149)&amp;"")</f>
        <v/>
      </c>
      <c r="J149">
        <f>IF($V149="","",INDEX('Per Line'!$O$2:$O$501,$V149)&amp;"")</f>
        <v/>
      </c>
      <c r="K149">
        <f>IF($V149="","",INDEX('Per Line'!$Q$2:$Q$501,$V149)&amp;"")</f>
        <v/>
      </c>
      <c r="L149">
        <f>IF($V149="","",Settings!$C$7)</f>
        <v/>
      </c>
      <c r="M149" s="7">
        <f>IF($V149="","",SUMIFS('Per Line'!$L$2:$L$501,'Per Line'!$B$2:$B$501,$B149,'Per Line'!$Y$2:$Y$501,0))</f>
        <v/>
      </c>
      <c r="N149" s="7">
        <f>IF($V149="","",M149*L149)</f>
        <v/>
      </c>
      <c r="O149">
        <f>IF($V149="","",Settings!$C$6)</f>
        <v/>
      </c>
      <c r="P149" s="7">
        <f>IF($V149="","",SUMIFS('Per Line'!$L$2:$L$501,'Per Line'!$B$2:$B$501,$B149,'Per Line'!$Y$2:$Y$501,1))</f>
        <v/>
      </c>
      <c r="Q149" s="7">
        <f>IF($V149="","",P149*O149)</f>
        <v/>
      </c>
      <c r="R149" s="7">
        <f>IF($V149="","",Q149+N149)</f>
        <v/>
      </c>
      <c r="S149" s="7">
        <f>IF($V149="","",T149-R149)</f>
        <v/>
      </c>
      <c r="T149" s="7">
        <f>IF($V149="","",M149+P149)</f>
        <v/>
      </c>
      <c r="U149" s="7">
        <f>IF($V149="","",T149-R149-H149)</f>
        <v/>
      </c>
      <c r="V149" s="13">
        <f>IF(ROWS($V$2:$V149)&lt;=MAX('Per Line'!$X$2:$X$501),MATCH(ROWS($V$2:$V149),'Per Line'!$X$2:$X$501,0),"")</f>
        <v/>
      </c>
    </row>
    <row r="150">
      <c r="A150" s="12" t="n"/>
      <c r="B150">
        <f>IF($V150="","",INDEX('Per Line'!$B$2:$B$501,$V150)&amp;"")</f>
        <v/>
      </c>
      <c r="C150" s="12" t="n"/>
      <c r="D150">
        <f>IF($V150="","",INDEX('Per Line'!$C$2:$C$501,$V150)&amp;"")</f>
        <v/>
      </c>
      <c r="E150">
        <f>IF($V150="","",INDEX('Per Line'!$D$2:$D$501,$V150)&amp;"")</f>
        <v/>
      </c>
      <c r="F150">
        <f>IF($V150="","",INDEX('Per Line'!$E$2:$E$501,$V150)&amp;"")</f>
        <v/>
      </c>
      <c r="G150">
        <f>IF($V150="","",INDEX('Per Line'!$F$2:$F$501,$V150))</f>
        <v/>
      </c>
      <c r="H150" s="7">
        <f>IF($V150="","",G150*T150/100)</f>
        <v/>
      </c>
      <c r="I150">
        <f>IF($V150="","",INDEX('Per Line'!$M$2:$M$501,$V150)&amp;"")</f>
        <v/>
      </c>
      <c r="J150">
        <f>IF($V150="","",INDEX('Per Line'!$O$2:$O$501,$V150)&amp;"")</f>
        <v/>
      </c>
      <c r="K150">
        <f>IF($V150="","",INDEX('Per Line'!$Q$2:$Q$501,$V150)&amp;"")</f>
        <v/>
      </c>
      <c r="L150">
        <f>IF($V150="","",Settings!$C$7)</f>
        <v/>
      </c>
      <c r="M150" s="7">
        <f>IF($V150="","",SUMIFS('Per Line'!$L$2:$L$501,'Per Line'!$B$2:$B$501,$B150,'Per Line'!$Y$2:$Y$501,0))</f>
        <v/>
      </c>
      <c r="N150" s="7">
        <f>IF($V150="","",M150*L150)</f>
        <v/>
      </c>
      <c r="O150">
        <f>IF($V150="","",Settings!$C$6)</f>
        <v/>
      </c>
      <c r="P150" s="7">
        <f>IF($V150="","",SUMIFS('Per Line'!$L$2:$L$501,'Per Line'!$B$2:$B$501,$B150,'Per Line'!$Y$2:$Y$501,1))</f>
        <v/>
      </c>
      <c r="Q150" s="7">
        <f>IF($V150="","",P150*O150)</f>
        <v/>
      </c>
      <c r="R150" s="7">
        <f>IF($V150="","",Q150+N150)</f>
        <v/>
      </c>
      <c r="S150" s="7">
        <f>IF($V150="","",T150-R150)</f>
        <v/>
      </c>
      <c r="T150" s="7">
        <f>IF($V150="","",M150+P150)</f>
        <v/>
      </c>
      <c r="U150" s="7">
        <f>IF($V150="","",T150-R150-H150)</f>
        <v/>
      </c>
      <c r="V150" s="13">
        <f>IF(ROWS($V$2:$V150)&lt;=MAX('Per Line'!$X$2:$X$501),MATCH(ROWS($V$2:$V150),'Per Line'!$X$2:$X$501,0),"")</f>
        <v/>
      </c>
    </row>
    <row r="151">
      <c r="A151" s="12" t="n"/>
      <c r="B151">
        <f>IF($V151="","",INDEX('Per Line'!$B$2:$B$501,$V151)&amp;"")</f>
        <v/>
      </c>
      <c r="C151" s="12" t="n"/>
      <c r="D151">
        <f>IF($V151="","",INDEX('Per Line'!$C$2:$C$501,$V151)&amp;"")</f>
        <v/>
      </c>
      <c r="E151">
        <f>IF($V151="","",INDEX('Per Line'!$D$2:$D$501,$V151)&amp;"")</f>
        <v/>
      </c>
      <c r="F151">
        <f>IF($V151="","",INDEX('Per Line'!$E$2:$E$501,$V151)&amp;"")</f>
        <v/>
      </c>
      <c r="G151">
        <f>IF($V151="","",INDEX('Per Line'!$F$2:$F$501,$V151))</f>
        <v/>
      </c>
      <c r="H151" s="7">
        <f>IF($V151="","",G151*T151/100)</f>
        <v/>
      </c>
      <c r="I151">
        <f>IF($V151="","",INDEX('Per Line'!$M$2:$M$501,$V151)&amp;"")</f>
        <v/>
      </c>
      <c r="J151">
        <f>IF($V151="","",INDEX('Per Line'!$O$2:$O$501,$V151)&amp;"")</f>
        <v/>
      </c>
      <c r="K151">
        <f>IF($V151="","",INDEX('Per Line'!$Q$2:$Q$501,$V151)&amp;"")</f>
        <v/>
      </c>
      <c r="L151">
        <f>IF($V151="","",Settings!$C$7)</f>
        <v/>
      </c>
      <c r="M151" s="7">
        <f>IF($V151="","",SUMIFS('Per Line'!$L$2:$L$501,'Per Line'!$B$2:$B$501,$B151,'Per Line'!$Y$2:$Y$501,0))</f>
        <v/>
      </c>
      <c r="N151" s="7">
        <f>IF($V151="","",M151*L151)</f>
        <v/>
      </c>
      <c r="O151">
        <f>IF($V151="","",Settings!$C$6)</f>
        <v/>
      </c>
      <c r="P151" s="7">
        <f>IF($V151="","",SUMIFS('Per Line'!$L$2:$L$501,'Per Line'!$B$2:$B$501,$B151,'Per Line'!$Y$2:$Y$501,1))</f>
        <v/>
      </c>
      <c r="Q151" s="7">
        <f>IF($V151="","",P151*O151)</f>
        <v/>
      </c>
      <c r="R151" s="7">
        <f>IF($V151="","",Q151+N151)</f>
        <v/>
      </c>
      <c r="S151" s="7">
        <f>IF($V151="","",T151-R151)</f>
        <v/>
      </c>
      <c r="T151" s="7">
        <f>IF($V151="","",M151+P151)</f>
        <v/>
      </c>
      <c r="U151" s="7">
        <f>IF($V151="","",T151-R151-H151)</f>
        <v/>
      </c>
      <c r="V151" s="13">
        <f>IF(ROWS($V$2:$V151)&lt;=MAX('Per Line'!$X$2:$X$501),MATCH(ROWS($V$2:$V151),'Per Line'!$X$2:$X$501,0),"")</f>
        <v/>
      </c>
    </row>
    <row r="152">
      <c r="A152" s="12" t="n"/>
      <c r="B152">
        <f>IF($V152="","",INDEX('Per Line'!$B$2:$B$501,$V152)&amp;"")</f>
        <v/>
      </c>
      <c r="C152" s="12" t="n"/>
      <c r="D152">
        <f>IF($V152="","",INDEX('Per Line'!$C$2:$C$501,$V152)&amp;"")</f>
        <v/>
      </c>
      <c r="E152">
        <f>IF($V152="","",INDEX('Per Line'!$D$2:$D$501,$V152)&amp;"")</f>
        <v/>
      </c>
      <c r="F152">
        <f>IF($V152="","",INDEX('Per Line'!$E$2:$E$501,$V152)&amp;"")</f>
        <v/>
      </c>
      <c r="G152">
        <f>IF($V152="","",INDEX('Per Line'!$F$2:$F$501,$V152))</f>
        <v/>
      </c>
      <c r="H152" s="7">
        <f>IF($V152="","",G152*T152/100)</f>
        <v/>
      </c>
      <c r="I152">
        <f>IF($V152="","",INDEX('Per Line'!$M$2:$M$501,$V152)&amp;"")</f>
        <v/>
      </c>
      <c r="J152">
        <f>IF($V152="","",INDEX('Per Line'!$O$2:$O$501,$V152)&amp;"")</f>
        <v/>
      </c>
      <c r="K152">
        <f>IF($V152="","",INDEX('Per Line'!$Q$2:$Q$501,$V152)&amp;"")</f>
        <v/>
      </c>
      <c r="L152">
        <f>IF($V152="","",Settings!$C$7)</f>
        <v/>
      </c>
      <c r="M152" s="7">
        <f>IF($V152="","",SUMIFS('Per Line'!$L$2:$L$501,'Per Line'!$B$2:$B$501,$B152,'Per Line'!$Y$2:$Y$501,0))</f>
        <v/>
      </c>
      <c r="N152" s="7">
        <f>IF($V152="","",M152*L152)</f>
        <v/>
      </c>
      <c r="O152">
        <f>IF($V152="","",Settings!$C$6)</f>
        <v/>
      </c>
      <c r="P152" s="7">
        <f>IF($V152="","",SUMIFS('Per Line'!$L$2:$L$501,'Per Line'!$B$2:$B$501,$B152,'Per Line'!$Y$2:$Y$501,1))</f>
        <v/>
      </c>
      <c r="Q152" s="7">
        <f>IF($V152="","",P152*O152)</f>
        <v/>
      </c>
      <c r="R152" s="7">
        <f>IF($V152="","",Q152+N152)</f>
        <v/>
      </c>
      <c r="S152" s="7">
        <f>IF($V152="","",T152-R152)</f>
        <v/>
      </c>
      <c r="T152" s="7">
        <f>IF($V152="","",M152+P152)</f>
        <v/>
      </c>
      <c r="U152" s="7">
        <f>IF($V152="","",T152-R152-H152)</f>
        <v/>
      </c>
      <c r="V152" s="13">
        <f>IF(ROWS($V$2:$V152)&lt;=MAX('Per Line'!$X$2:$X$501),MATCH(ROWS($V$2:$V152),'Per Line'!$X$2:$X$501,0),"")</f>
        <v/>
      </c>
    </row>
    <row r="153">
      <c r="A153" s="12" t="n"/>
      <c r="B153">
        <f>IF($V153="","",INDEX('Per Line'!$B$2:$B$501,$V153)&amp;"")</f>
        <v/>
      </c>
      <c r="C153" s="12" t="n"/>
      <c r="D153">
        <f>IF($V153="","",INDEX('Per Line'!$C$2:$C$501,$V153)&amp;"")</f>
        <v/>
      </c>
      <c r="E153">
        <f>IF($V153="","",INDEX('Per Line'!$D$2:$D$501,$V153)&amp;"")</f>
        <v/>
      </c>
      <c r="F153">
        <f>IF($V153="","",INDEX('Per Line'!$E$2:$E$501,$V153)&amp;"")</f>
        <v/>
      </c>
      <c r="G153">
        <f>IF($V153="","",INDEX('Per Line'!$F$2:$F$501,$V153))</f>
        <v/>
      </c>
      <c r="H153" s="7">
        <f>IF($V153="","",G153*T153/100)</f>
        <v/>
      </c>
      <c r="I153">
        <f>IF($V153="","",INDEX('Per Line'!$M$2:$M$501,$V153)&amp;"")</f>
        <v/>
      </c>
      <c r="J153">
        <f>IF($V153="","",INDEX('Per Line'!$O$2:$O$501,$V153)&amp;"")</f>
        <v/>
      </c>
      <c r="K153">
        <f>IF($V153="","",INDEX('Per Line'!$Q$2:$Q$501,$V153)&amp;"")</f>
        <v/>
      </c>
      <c r="L153">
        <f>IF($V153="","",Settings!$C$7)</f>
        <v/>
      </c>
      <c r="M153" s="7">
        <f>IF($V153="","",SUMIFS('Per Line'!$L$2:$L$501,'Per Line'!$B$2:$B$501,$B153,'Per Line'!$Y$2:$Y$501,0))</f>
        <v/>
      </c>
      <c r="N153" s="7">
        <f>IF($V153="","",M153*L153)</f>
        <v/>
      </c>
      <c r="O153">
        <f>IF($V153="","",Settings!$C$6)</f>
        <v/>
      </c>
      <c r="P153" s="7">
        <f>IF($V153="","",SUMIFS('Per Line'!$L$2:$L$501,'Per Line'!$B$2:$B$501,$B153,'Per Line'!$Y$2:$Y$501,1))</f>
        <v/>
      </c>
      <c r="Q153" s="7">
        <f>IF($V153="","",P153*O153)</f>
        <v/>
      </c>
      <c r="R153" s="7">
        <f>IF($V153="","",Q153+N153)</f>
        <v/>
      </c>
      <c r="S153" s="7">
        <f>IF($V153="","",T153-R153)</f>
        <v/>
      </c>
      <c r="T153" s="7">
        <f>IF($V153="","",M153+P153)</f>
        <v/>
      </c>
      <c r="U153" s="7">
        <f>IF($V153="","",T153-R153-H153)</f>
        <v/>
      </c>
      <c r="V153" s="13">
        <f>IF(ROWS($V$2:$V153)&lt;=MAX('Per Line'!$X$2:$X$501),MATCH(ROWS($V$2:$V153),'Per Line'!$X$2:$X$501,0),"")</f>
        <v/>
      </c>
    </row>
    <row r="154">
      <c r="A154" s="12" t="n"/>
      <c r="B154">
        <f>IF($V154="","",INDEX('Per Line'!$B$2:$B$501,$V154)&amp;"")</f>
        <v/>
      </c>
      <c r="C154" s="12" t="n"/>
      <c r="D154">
        <f>IF($V154="","",INDEX('Per Line'!$C$2:$C$501,$V154)&amp;"")</f>
        <v/>
      </c>
      <c r="E154">
        <f>IF($V154="","",INDEX('Per Line'!$D$2:$D$501,$V154)&amp;"")</f>
        <v/>
      </c>
      <c r="F154">
        <f>IF($V154="","",INDEX('Per Line'!$E$2:$E$501,$V154)&amp;"")</f>
        <v/>
      </c>
      <c r="G154">
        <f>IF($V154="","",INDEX('Per Line'!$F$2:$F$501,$V154))</f>
        <v/>
      </c>
      <c r="H154" s="7">
        <f>IF($V154="","",G154*T154/100)</f>
        <v/>
      </c>
      <c r="I154">
        <f>IF($V154="","",INDEX('Per Line'!$M$2:$M$501,$V154)&amp;"")</f>
        <v/>
      </c>
      <c r="J154">
        <f>IF($V154="","",INDEX('Per Line'!$O$2:$O$501,$V154)&amp;"")</f>
        <v/>
      </c>
      <c r="K154">
        <f>IF($V154="","",INDEX('Per Line'!$Q$2:$Q$501,$V154)&amp;"")</f>
        <v/>
      </c>
      <c r="L154">
        <f>IF($V154="","",Settings!$C$7)</f>
        <v/>
      </c>
      <c r="M154" s="7">
        <f>IF($V154="","",SUMIFS('Per Line'!$L$2:$L$501,'Per Line'!$B$2:$B$501,$B154,'Per Line'!$Y$2:$Y$501,0))</f>
        <v/>
      </c>
      <c r="N154" s="7">
        <f>IF($V154="","",M154*L154)</f>
        <v/>
      </c>
      <c r="O154">
        <f>IF($V154="","",Settings!$C$6)</f>
        <v/>
      </c>
      <c r="P154" s="7">
        <f>IF($V154="","",SUMIFS('Per Line'!$L$2:$L$501,'Per Line'!$B$2:$B$501,$B154,'Per Line'!$Y$2:$Y$501,1))</f>
        <v/>
      </c>
      <c r="Q154" s="7">
        <f>IF($V154="","",P154*O154)</f>
        <v/>
      </c>
      <c r="R154" s="7">
        <f>IF($V154="","",Q154+N154)</f>
        <v/>
      </c>
      <c r="S154" s="7">
        <f>IF($V154="","",T154-R154)</f>
        <v/>
      </c>
      <c r="T154" s="7">
        <f>IF($V154="","",M154+P154)</f>
        <v/>
      </c>
      <c r="U154" s="7">
        <f>IF($V154="","",T154-R154-H154)</f>
        <v/>
      </c>
      <c r="V154" s="13">
        <f>IF(ROWS($V$2:$V154)&lt;=MAX('Per Line'!$X$2:$X$501),MATCH(ROWS($V$2:$V154),'Per Line'!$X$2:$X$501,0),"")</f>
        <v/>
      </c>
    </row>
    <row r="155">
      <c r="A155" s="12" t="n"/>
      <c r="B155">
        <f>IF($V155="","",INDEX('Per Line'!$B$2:$B$501,$V155)&amp;"")</f>
        <v/>
      </c>
      <c r="C155" s="12" t="n"/>
      <c r="D155">
        <f>IF($V155="","",INDEX('Per Line'!$C$2:$C$501,$V155)&amp;"")</f>
        <v/>
      </c>
      <c r="E155">
        <f>IF($V155="","",INDEX('Per Line'!$D$2:$D$501,$V155)&amp;"")</f>
        <v/>
      </c>
      <c r="F155">
        <f>IF($V155="","",INDEX('Per Line'!$E$2:$E$501,$V155)&amp;"")</f>
        <v/>
      </c>
      <c r="G155">
        <f>IF($V155="","",INDEX('Per Line'!$F$2:$F$501,$V155))</f>
        <v/>
      </c>
      <c r="H155" s="7">
        <f>IF($V155="","",G155*T155/100)</f>
        <v/>
      </c>
      <c r="I155">
        <f>IF($V155="","",INDEX('Per Line'!$M$2:$M$501,$V155)&amp;"")</f>
        <v/>
      </c>
      <c r="J155">
        <f>IF($V155="","",INDEX('Per Line'!$O$2:$O$501,$V155)&amp;"")</f>
        <v/>
      </c>
      <c r="K155">
        <f>IF($V155="","",INDEX('Per Line'!$Q$2:$Q$501,$V155)&amp;"")</f>
        <v/>
      </c>
      <c r="L155">
        <f>IF($V155="","",Settings!$C$7)</f>
        <v/>
      </c>
      <c r="M155" s="7">
        <f>IF($V155="","",SUMIFS('Per Line'!$L$2:$L$501,'Per Line'!$B$2:$B$501,$B155,'Per Line'!$Y$2:$Y$501,0))</f>
        <v/>
      </c>
      <c r="N155" s="7">
        <f>IF($V155="","",M155*L155)</f>
        <v/>
      </c>
      <c r="O155">
        <f>IF($V155="","",Settings!$C$6)</f>
        <v/>
      </c>
      <c r="P155" s="7">
        <f>IF($V155="","",SUMIFS('Per Line'!$L$2:$L$501,'Per Line'!$B$2:$B$501,$B155,'Per Line'!$Y$2:$Y$501,1))</f>
        <v/>
      </c>
      <c r="Q155" s="7">
        <f>IF($V155="","",P155*O155)</f>
        <v/>
      </c>
      <c r="R155" s="7">
        <f>IF($V155="","",Q155+N155)</f>
        <v/>
      </c>
      <c r="S155" s="7">
        <f>IF($V155="","",T155-R155)</f>
        <v/>
      </c>
      <c r="T155" s="7">
        <f>IF($V155="","",M155+P155)</f>
        <v/>
      </c>
      <c r="U155" s="7">
        <f>IF($V155="","",T155-R155-H155)</f>
        <v/>
      </c>
      <c r="V155" s="13">
        <f>IF(ROWS($V$2:$V155)&lt;=MAX('Per Line'!$X$2:$X$501),MATCH(ROWS($V$2:$V155),'Per Line'!$X$2:$X$501,0),"")</f>
        <v/>
      </c>
    </row>
    <row r="156">
      <c r="A156" s="12" t="n"/>
      <c r="B156">
        <f>IF($V156="","",INDEX('Per Line'!$B$2:$B$501,$V156)&amp;"")</f>
        <v/>
      </c>
      <c r="C156" s="12" t="n"/>
      <c r="D156">
        <f>IF($V156="","",INDEX('Per Line'!$C$2:$C$501,$V156)&amp;"")</f>
        <v/>
      </c>
      <c r="E156">
        <f>IF($V156="","",INDEX('Per Line'!$D$2:$D$501,$V156)&amp;"")</f>
        <v/>
      </c>
      <c r="F156">
        <f>IF($V156="","",INDEX('Per Line'!$E$2:$E$501,$V156)&amp;"")</f>
        <v/>
      </c>
      <c r="G156">
        <f>IF($V156="","",INDEX('Per Line'!$F$2:$F$501,$V156))</f>
        <v/>
      </c>
      <c r="H156" s="7">
        <f>IF($V156="","",G156*T156/100)</f>
        <v/>
      </c>
      <c r="I156">
        <f>IF($V156="","",INDEX('Per Line'!$M$2:$M$501,$V156)&amp;"")</f>
        <v/>
      </c>
      <c r="J156">
        <f>IF($V156="","",INDEX('Per Line'!$O$2:$O$501,$V156)&amp;"")</f>
        <v/>
      </c>
      <c r="K156">
        <f>IF($V156="","",INDEX('Per Line'!$Q$2:$Q$501,$V156)&amp;"")</f>
        <v/>
      </c>
      <c r="L156">
        <f>IF($V156="","",Settings!$C$7)</f>
        <v/>
      </c>
      <c r="M156" s="7">
        <f>IF($V156="","",SUMIFS('Per Line'!$L$2:$L$501,'Per Line'!$B$2:$B$501,$B156,'Per Line'!$Y$2:$Y$501,0))</f>
        <v/>
      </c>
      <c r="N156" s="7">
        <f>IF($V156="","",M156*L156)</f>
        <v/>
      </c>
      <c r="O156">
        <f>IF($V156="","",Settings!$C$6)</f>
        <v/>
      </c>
      <c r="P156" s="7">
        <f>IF($V156="","",SUMIFS('Per Line'!$L$2:$L$501,'Per Line'!$B$2:$B$501,$B156,'Per Line'!$Y$2:$Y$501,1))</f>
        <v/>
      </c>
      <c r="Q156" s="7">
        <f>IF($V156="","",P156*O156)</f>
        <v/>
      </c>
      <c r="R156" s="7">
        <f>IF($V156="","",Q156+N156)</f>
        <v/>
      </c>
      <c r="S156" s="7">
        <f>IF($V156="","",T156-R156)</f>
        <v/>
      </c>
      <c r="T156" s="7">
        <f>IF($V156="","",M156+P156)</f>
        <v/>
      </c>
      <c r="U156" s="7">
        <f>IF($V156="","",T156-R156-H156)</f>
        <v/>
      </c>
      <c r="V156" s="13">
        <f>IF(ROWS($V$2:$V156)&lt;=MAX('Per Line'!$X$2:$X$501),MATCH(ROWS($V$2:$V156),'Per Line'!$X$2:$X$501,0),"")</f>
        <v/>
      </c>
    </row>
    <row r="157">
      <c r="A157" s="12" t="n"/>
      <c r="B157">
        <f>IF($V157="","",INDEX('Per Line'!$B$2:$B$501,$V157)&amp;"")</f>
        <v/>
      </c>
      <c r="C157" s="12" t="n"/>
      <c r="D157">
        <f>IF($V157="","",INDEX('Per Line'!$C$2:$C$501,$V157)&amp;"")</f>
        <v/>
      </c>
      <c r="E157">
        <f>IF($V157="","",INDEX('Per Line'!$D$2:$D$501,$V157)&amp;"")</f>
        <v/>
      </c>
      <c r="F157">
        <f>IF($V157="","",INDEX('Per Line'!$E$2:$E$501,$V157)&amp;"")</f>
        <v/>
      </c>
      <c r="G157">
        <f>IF($V157="","",INDEX('Per Line'!$F$2:$F$501,$V157))</f>
        <v/>
      </c>
      <c r="H157" s="7">
        <f>IF($V157="","",G157*T157/100)</f>
        <v/>
      </c>
      <c r="I157">
        <f>IF($V157="","",INDEX('Per Line'!$M$2:$M$501,$V157)&amp;"")</f>
        <v/>
      </c>
      <c r="J157">
        <f>IF($V157="","",INDEX('Per Line'!$O$2:$O$501,$V157)&amp;"")</f>
        <v/>
      </c>
      <c r="K157">
        <f>IF($V157="","",INDEX('Per Line'!$Q$2:$Q$501,$V157)&amp;"")</f>
        <v/>
      </c>
      <c r="L157">
        <f>IF($V157="","",Settings!$C$7)</f>
        <v/>
      </c>
      <c r="M157" s="7">
        <f>IF($V157="","",SUMIFS('Per Line'!$L$2:$L$501,'Per Line'!$B$2:$B$501,$B157,'Per Line'!$Y$2:$Y$501,0))</f>
        <v/>
      </c>
      <c r="N157" s="7">
        <f>IF($V157="","",M157*L157)</f>
        <v/>
      </c>
      <c r="O157">
        <f>IF($V157="","",Settings!$C$6)</f>
        <v/>
      </c>
      <c r="P157" s="7">
        <f>IF($V157="","",SUMIFS('Per Line'!$L$2:$L$501,'Per Line'!$B$2:$B$501,$B157,'Per Line'!$Y$2:$Y$501,1))</f>
        <v/>
      </c>
      <c r="Q157" s="7">
        <f>IF($V157="","",P157*O157)</f>
        <v/>
      </c>
      <c r="R157" s="7">
        <f>IF($V157="","",Q157+N157)</f>
        <v/>
      </c>
      <c r="S157" s="7">
        <f>IF($V157="","",T157-R157)</f>
        <v/>
      </c>
      <c r="T157" s="7">
        <f>IF($V157="","",M157+P157)</f>
        <v/>
      </c>
      <c r="U157" s="7">
        <f>IF($V157="","",T157-R157-H157)</f>
        <v/>
      </c>
      <c r="V157" s="13">
        <f>IF(ROWS($V$2:$V157)&lt;=MAX('Per Line'!$X$2:$X$501),MATCH(ROWS($V$2:$V157),'Per Line'!$X$2:$X$501,0),"")</f>
        <v/>
      </c>
    </row>
    <row r="158">
      <c r="A158" s="12" t="n"/>
      <c r="B158">
        <f>IF($V158="","",INDEX('Per Line'!$B$2:$B$501,$V158)&amp;"")</f>
        <v/>
      </c>
      <c r="C158" s="12" t="n"/>
      <c r="D158">
        <f>IF($V158="","",INDEX('Per Line'!$C$2:$C$501,$V158)&amp;"")</f>
        <v/>
      </c>
      <c r="E158">
        <f>IF($V158="","",INDEX('Per Line'!$D$2:$D$501,$V158)&amp;"")</f>
        <v/>
      </c>
      <c r="F158">
        <f>IF($V158="","",INDEX('Per Line'!$E$2:$E$501,$V158)&amp;"")</f>
        <v/>
      </c>
      <c r="G158">
        <f>IF($V158="","",INDEX('Per Line'!$F$2:$F$501,$V158))</f>
        <v/>
      </c>
      <c r="H158" s="7">
        <f>IF($V158="","",G158*T158/100)</f>
        <v/>
      </c>
      <c r="I158">
        <f>IF($V158="","",INDEX('Per Line'!$M$2:$M$501,$V158)&amp;"")</f>
        <v/>
      </c>
      <c r="J158">
        <f>IF($V158="","",INDEX('Per Line'!$O$2:$O$501,$V158)&amp;"")</f>
        <v/>
      </c>
      <c r="K158">
        <f>IF($V158="","",INDEX('Per Line'!$Q$2:$Q$501,$V158)&amp;"")</f>
        <v/>
      </c>
      <c r="L158">
        <f>IF($V158="","",Settings!$C$7)</f>
        <v/>
      </c>
      <c r="M158" s="7">
        <f>IF($V158="","",SUMIFS('Per Line'!$L$2:$L$501,'Per Line'!$B$2:$B$501,$B158,'Per Line'!$Y$2:$Y$501,0))</f>
        <v/>
      </c>
      <c r="N158" s="7">
        <f>IF($V158="","",M158*L158)</f>
        <v/>
      </c>
      <c r="O158">
        <f>IF($V158="","",Settings!$C$6)</f>
        <v/>
      </c>
      <c r="P158" s="7">
        <f>IF($V158="","",SUMIFS('Per Line'!$L$2:$L$501,'Per Line'!$B$2:$B$501,$B158,'Per Line'!$Y$2:$Y$501,1))</f>
        <v/>
      </c>
      <c r="Q158" s="7">
        <f>IF($V158="","",P158*O158)</f>
        <v/>
      </c>
      <c r="R158" s="7">
        <f>IF($V158="","",Q158+N158)</f>
        <v/>
      </c>
      <c r="S158" s="7">
        <f>IF($V158="","",T158-R158)</f>
        <v/>
      </c>
      <c r="T158" s="7">
        <f>IF($V158="","",M158+P158)</f>
        <v/>
      </c>
      <c r="U158" s="7">
        <f>IF($V158="","",T158-R158-H158)</f>
        <v/>
      </c>
      <c r="V158" s="13">
        <f>IF(ROWS($V$2:$V158)&lt;=MAX('Per Line'!$X$2:$X$501),MATCH(ROWS($V$2:$V158),'Per Line'!$X$2:$X$501,0),"")</f>
        <v/>
      </c>
    </row>
    <row r="159">
      <c r="A159" s="12" t="n"/>
      <c r="B159">
        <f>IF($V159="","",INDEX('Per Line'!$B$2:$B$501,$V159)&amp;"")</f>
        <v/>
      </c>
      <c r="C159" s="12" t="n"/>
      <c r="D159">
        <f>IF($V159="","",INDEX('Per Line'!$C$2:$C$501,$V159)&amp;"")</f>
        <v/>
      </c>
      <c r="E159">
        <f>IF($V159="","",INDEX('Per Line'!$D$2:$D$501,$V159)&amp;"")</f>
        <v/>
      </c>
      <c r="F159">
        <f>IF($V159="","",INDEX('Per Line'!$E$2:$E$501,$V159)&amp;"")</f>
        <v/>
      </c>
      <c r="G159">
        <f>IF($V159="","",INDEX('Per Line'!$F$2:$F$501,$V159))</f>
        <v/>
      </c>
      <c r="H159" s="7">
        <f>IF($V159="","",G159*T159/100)</f>
        <v/>
      </c>
      <c r="I159">
        <f>IF($V159="","",INDEX('Per Line'!$M$2:$M$501,$V159)&amp;"")</f>
        <v/>
      </c>
      <c r="J159">
        <f>IF($V159="","",INDEX('Per Line'!$O$2:$O$501,$V159)&amp;"")</f>
        <v/>
      </c>
      <c r="K159">
        <f>IF($V159="","",INDEX('Per Line'!$Q$2:$Q$501,$V159)&amp;"")</f>
        <v/>
      </c>
      <c r="L159">
        <f>IF($V159="","",Settings!$C$7)</f>
        <v/>
      </c>
      <c r="M159" s="7">
        <f>IF($V159="","",SUMIFS('Per Line'!$L$2:$L$501,'Per Line'!$B$2:$B$501,$B159,'Per Line'!$Y$2:$Y$501,0))</f>
        <v/>
      </c>
      <c r="N159" s="7">
        <f>IF($V159="","",M159*L159)</f>
        <v/>
      </c>
      <c r="O159">
        <f>IF($V159="","",Settings!$C$6)</f>
        <v/>
      </c>
      <c r="P159" s="7">
        <f>IF($V159="","",SUMIFS('Per Line'!$L$2:$L$501,'Per Line'!$B$2:$B$501,$B159,'Per Line'!$Y$2:$Y$501,1))</f>
        <v/>
      </c>
      <c r="Q159" s="7">
        <f>IF($V159="","",P159*O159)</f>
        <v/>
      </c>
      <c r="R159" s="7">
        <f>IF($V159="","",Q159+N159)</f>
        <v/>
      </c>
      <c r="S159" s="7">
        <f>IF($V159="","",T159-R159)</f>
        <v/>
      </c>
      <c r="T159" s="7">
        <f>IF($V159="","",M159+P159)</f>
        <v/>
      </c>
      <c r="U159" s="7">
        <f>IF($V159="","",T159-R159-H159)</f>
        <v/>
      </c>
      <c r="V159" s="13">
        <f>IF(ROWS($V$2:$V159)&lt;=MAX('Per Line'!$X$2:$X$501),MATCH(ROWS($V$2:$V159),'Per Line'!$X$2:$X$501,0),"")</f>
        <v/>
      </c>
    </row>
    <row r="160">
      <c r="A160" s="12" t="n"/>
      <c r="B160">
        <f>IF($V160="","",INDEX('Per Line'!$B$2:$B$501,$V160)&amp;"")</f>
        <v/>
      </c>
      <c r="C160" s="12" t="n"/>
      <c r="D160">
        <f>IF($V160="","",INDEX('Per Line'!$C$2:$C$501,$V160)&amp;"")</f>
        <v/>
      </c>
      <c r="E160">
        <f>IF($V160="","",INDEX('Per Line'!$D$2:$D$501,$V160)&amp;"")</f>
        <v/>
      </c>
      <c r="F160">
        <f>IF($V160="","",INDEX('Per Line'!$E$2:$E$501,$V160)&amp;"")</f>
        <v/>
      </c>
      <c r="G160">
        <f>IF($V160="","",INDEX('Per Line'!$F$2:$F$501,$V160))</f>
        <v/>
      </c>
      <c r="H160" s="7">
        <f>IF($V160="","",G160*T160/100)</f>
        <v/>
      </c>
      <c r="I160">
        <f>IF($V160="","",INDEX('Per Line'!$M$2:$M$501,$V160)&amp;"")</f>
        <v/>
      </c>
      <c r="J160">
        <f>IF($V160="","",INDEX('Per Line'!$O$2:$O$501,$V160)&amp;"")</f>
        <v/>
      </c>
      <c r="K160">
        <f>IF($V160="","",INDEX('Per Line'!$Q$2:$Q$501,$V160)&amp;"")</f>
        <v/>
      </c>
      <c r="L160">
        <f>IF($V160="","",Settings!$C$7)</f>
        <v/>
      </c>
      <c r="M160" s="7">
        <f>IF($V160="","",SUMIFS('Per Line'!$L$2:$L$501,'Per Line'!$B$2:$B$501,$B160,'Per Line'!$Y$2:$Y$501,0))</f>
        <v/>
      </c>
      <c r="N160" s="7">
        <f>IF($V160="","",M160*L160)</f>
        <v/>
      </c>
      <c r="O160">
        <f>IF($V160="","",Settings!$C$6)</f>
        <v/>
      </c>
      <c r="P160" s="7">
        <f>IF($V160="","",SUMIFS('Per Line'!$L$2:$L$501,'Per Line'!$B$2:$B$501,$B160,'Per Line'!$Y$2:$Y$501,1))</f>
        <v/>
      </c>
      <c r="Q160" s="7">
        <f>IF($V160="","",P160*O160)</f>
        <v/>
      </c>
      <c r="R160" s="7">
        <f>IF($V160="","",Q160+N160)</f>
        <v/>
      </c>
      <c r="S160" s="7">
        <f>IF($V160="","",T160-R160)</f>
        <v/>
      </c>
      <c r="T160" s="7">
        <f>IF($V160="","",M160+P160)</f>
        <v/>
      </c>
      <c r="U160" s="7">
        <f>IF($V160="","",T160-R160-H160)</f>
        <v/>
      </c>
      <c r="V160" s="13">
        <f>IF(ROWS($V$2:$V160)&lt;=MAX('Per Line'!$X$2:$X$501),MATCH(ROWS($V$2:$V160),'Per Line'!$X$2:$X$501,0),"")</f>
        <v/>
      </c>
    </row>
    <row r="161">
      <c r="A161" s="12" t="n"/>
      <c r="B161">
        <f>IF($V161="","",INDEX('Per Line'!$B$2:$B$501,$V161)&amp;"")</f>
        <v/>
      </c>
      <c r="C161" s="12" t="n"/>
      <c r="D161">
        <f>IF($V161="","",INDEX('Per Line'!$C$2:$C$501,$V161)&amp;"")</f>
        <v/>
      </c>
      <c r="E161">
        <f>IF($V161="","",INDEX('Per Line'!$D$2:$D$501,$V161)&amp;"")</f>
        <v/>
      </c>
      <c r="F161">
        <f>IF($V161="","",INDEX('Per Line'!$E$2:$E$501,$V161)&amp;"")</f>
        <v/>
      </c>
      <c r="G161">
        <f>IF($V161="","",INDEX('Per Line'!$F$2:$F$501,$V161))</f>
        <v/>
      </c>
      <c r="H161" s="7">
        <f>IF($V161="","",G161*T161/100)</f>
        <v/>
      </c>
      <c r="I161">
        <f>IF($V161="","",INDEX('Per Line'!$M$2:$M$501,$V161)&amp;"")</f>
        <v/>
      </c>
      <c r="J161">
        <f>IF($V161="","",INDEX('Per Line'!$O$2:$O$501,$V161)&amp;"")</f>
        <v/>
      </c>
      <c r="K161">
        <f>IF($V161="","",INDEX('Per Line'!$Q$2:$Q$501,$V161)&amp;"")</f>
        <v/>
      </c>
      <c r="L161">
        <f>IF($V161="","",Settings!$C$7)</f>
        <v/>
      </c>
      <c r="M161" s="7">
        <f>IF($V161="","",SUMIFS('Per Line'!$L$2:$L$501,'Per Line'!$B$2:$B$501,$B161,'Per Line'!$Y$2:$Y$501,0))</f>
        <v/>
      </c>
      <c r="N161" s="7">
        <f>IF($V161="","",M161*L161)</f>
        <v/>
      </c>
      <c r="O161">
        <f>IF($V161="","",Settings!$C$6)</f>
        <v/>
      </c>
      <c r="P161" s="7">
        <f>IF($V161="","",SUMIFS('Per Line'!$L$2:$L$501,'Per Line'!$B$2:$B$501,$B161,'Per Line'!$Y$2:$Y$501,1))</f>
        <v/>
      </c>
      <c r="Q161" s="7">
        <f>IF($V161="","",P161*O161)</f>
        <v/>
      </c>
      <c r="R161" s="7">
        <f>IF($V161="","",Q161+N161)</f>
        <v/>
      </c>
      <c r="S161" s="7">
        <f>IF($V161="","",T161-R161)</f>
        <v/>
      </c>
      <c r="T161" s="7">
        <f>IF($V161="","",M161+P161)</f>
        <v/>
      </c>
      <c r="U161" s="7">
        <f>IF($V161="","",T161-R161-H161)</f>
        <v/>
      </c>
      <c r="V161" s="13">
        <f>IF(ROWS($V$2:$V161)&lt;=MAX('Per Line'!$X$2:$X$501),MATCH(ROWS($V$2:$V161),'Per Line'!$X$2:$X$501,0),"")</f>
        <v/>
      </c>
    </row>
    <row r="162">
      <c r="A162" s="12" t="n"/>
      <c r="B162">
        <f>IF($V162="","",INDEX('Per Line'!$B$2:$B$501,$V162)&amp;"")</f>
        <v/>
      </c>
      <c r="C162" s="12" t="n"/>
      <c r="D162">
        <f>IF($V162="","",INDEX('Per Line'!$C$2:$C$501,$V162)&amp;"")</f>
        <v/>
      </c>
      <c r="E162">
        <f>IF($V162="","",INDEX('Per Line'!$D$2:$D$501,$V162)&amp;"")</f>
        <v/>
      </c>
      <c r="F162">
        <f>IF($V162="","",INDEX('Per Line'!$E$2:$E$501,$V162)&amp;"")</f>
        <v/>
      </c>
      <c r="G162">
        <f>IF($V162="","",INDEX('Per Line'!$F$2:$F$501,$V162))</f>
        <v/>
      </c>
      <c r="H162" s="7">
        <f>IF($V162="","",G162*T162/100)</f>
        <v/>
      </c>
      <c r="I162">
        <f>IF($V162="","",INDEX('Per Line'!$M$2:$M$501,$V162)&amp;"")</f>
        <v/>
      </c>
      <c r="J162">
        <f>IF($V162="","",INDEX('Per Line'!$O$2:$O$501,$V162)&amp;"")</f>
        <v/>
      </c>
      <c r="K162">
        <f>IF($V162="","",INDEX('Per Line'!$Q$2:$Q$501,$V162)&amp;"")</f>
        <v/>
      </c>
      <c r="L162">
        <f>IF($V162="","",Settings!$C$7)</f>
        <v/>
      </c>
      <c r="M162" s="7">
        <f>IF($V162="","",SUMIFS('Per Line'!$L$2:$L$501,'Per Line'!$B$2:$B$501,$B162,'Per Line'!$Y$2:$Y$501,0))</f>
        <v/>
      </c>
      <c r="N162" s="7">
        <f>IF($V162="","",M162*L162)</f>
        <v/>
      </c>
      <c r="O162">
        <f>IF($V162="","",Settings!$C$6)</f>
        <v/>
      </c>
      <c r="P162" s="7">
        <f>IF($V162="","",SUMIFS('Per Line'!$L$2:$L$501,'Per Line'!$B$2:$B$501,$B162,'Per Line'!$Y$2:$Y$501,1))</f>
        <v/>
      </c>
      <c r="Q162" s="7">
        <f>IF($V162="","",P162*O162)</f>
        <v/>
      </c>
      <c r="R162" s="7">
        <f>IF($V162="","",Q162+N162)</f>
        <v/>
      </c>
      <c r="S162" s="7">
        <f>IF($V162="","",T162-R162)</f>
        <v/>
      </c>
      <c r="T162" s="7">
        <f>IF($V162="","",M162+P162)</f>
        <v/>
      </c>
      <c r="U162" s="7">
        <f>IF($V162="","",T162-R162-H162)</f>
        <v/>
      </c>
      <c r="V162" s="13">
        <f>IF(ROWS($V$2:$V162)&lt;=MAX('Per Line'!$X$2:$X$501),MATCH(ROWS($V$2:$V162),'Per Line'!$X$2:$X$501,0),"")</f>
        <v/>
      </c>
    </row>
    <row r="163">
      <c r="A163" s="12" t="n"/>
      <c r="B163">
        <f>IF($V163="","",INDEX('Per Line'!$B$2:$B$501,$V163)&amp;"")</f>
        <v/>
      </c>
      <c r="C163" s="12" t="n"/>
      <c r="D163">
        <f>IF($V163="","",INDEX('Per Line'!$C$2:$C$501,$V163)&amp;"")</f>
        <v/>
      </c>
      <c r="E163">
        <f>IF($V163="","",INDEX('Per Line'!$D$2:$D$501,$V163)&amp;"")</f>
        <v/>
      </c>
      <c r="F163">
        <f>IF($V163="","",INDEX('Per Line'!$E$2:$E$501,$V163)&amp;"")</f>
        <v/>
      </c>
      <c r="G163">
        <f>IF($V163="","",INDEX('Per Line'!$F$2:$F$501,$V163))</f>
        <v/>
      </c>
      <c r="H163" s="7">
        <f>IF($V163="","",G163*T163/100)</f>
        <v/>
      </c>
      <c r="I163">
        <f>IF($V163="","",INDEX('Per Line'!$M$2:$M$501,$V163)&amp;"")</f>
        <v/>
      </c>
      <c r="J163">
        <f>IF($V163="","",INDEX('Per Line'!$O$2:$O$501,$V163)&amp;"")</f>
        <v/>
      </c>
      <c r="K163">
        <f>IF($V163="","",INDEX('Per Line'!$Q$2:$Q$501,$V163)&amp;"")</f>
        <v/>
      </c>
      <c r="L163">
        <f>IF($V163="","",Settings!$C$7)</f>
        <v/>
      </c>
      <c r="M163" s="7">
        <f>IF($V163="","",SUMIFS('Per Line'!$L$2:$L$501,'Per Line'!$B$2:$B$501,$B163,'Per Line'!$Y$2:$Y$501,0))</f>
        <v/>
      </c>
      <c r="N163" s="7">
        <f>IF($V163="","",M163*L163)</f>
        <v/>
      </c>
      <c r="O163">
        <f>IF($V163="","",Settings!$C$6)</f>
        <v/>
      </c>
      <c r="P163" s="7">
        <f>IF($V163="","",SUMIFS('Per Line'!$L$2:$L$501,'Per Line'!$B$2:$B$501,$B163,'Per Line'!$Y$2:$Y$501,1))</f>
        <v/>
      </c>
      <c r="Q163" s="7">
        <f>IF($V163="","",P163*O163)</f>
        <v/>
      </c>
      <c r="R163" s="7">
        <f>IF($V163="","",Q163+N163)</f>
        <v/>
      </c>
      <c r="S163" s="7">
        <f>IF($V163="","",T163-R163)</f>
        <v/>
      </c>
      <c r="T163" s="7">
        <f>IF($V163="","",M163+P163)</f>
        <v/>
      </c>
      <c r="U163" s="7">
        <f>IF($V163="","",T163-R163-H163)</f>
        <v/>
      </c>
      <c r="V163" s="13">
        <f>IF(ROWS($V$2:$V163)&lt;=MAX('Per Line'!$X$2:$X$501),MATCH(ROWS($V$2:$V163),'Per Line'!$X$2:$X$501,0),"")</f>
        <v/>
      </c>
    </row>
    <row r="164">
      <c r="A164" s="12" t="n"/>
      <c r="B164">
        <f>IF($V164="","",INDEX('Per Line'!$B$2:$B$501,$V164)&amp;"")</f>
        <v/>
      </c>
      <c r="C164" s="12" t="n"/>
      <c r="D164">
        <f>IF($V164="","",INDEX('Per Line'!$C$2:$C$501,$V164)&amp;"")</f>
        <v/>
      </c>
      <c r="E164">
        <f>IF($V164="","",INDEX('Per Line'!$D$2:$D$501,$V164)&amp;"")</f>
        <v/>
      </c>
      <c r="F164">
        <f>IF($V164="","",INDEX('Per Line'!$E$2:$E$501,$V164)&amp;"")</f>
        <v/>
      </c>
      <c r="G164">
        <f>IF($V164="","",INDEX('Per Line'!$F$2:$F$501,$V164))</f>
        <v/>
      </c>
      <c r="H164" s="7">
        <f>IF($V164="","",G164*T164/100)</f>
        <v/>
      </c>
      <c r="I164">
        <f>IF($V164="","",INDEX('Per Line'!$M$2:$M$501,$V164)&amp;"")</f>
        <v/>
      </c>
      <c r="J164">
        <f>IF($V164="","",INDEX('Per Line'!$O$2:$O$501,$V164)&amp;"")</f>
        <v/>
      </c>
      <c r="K164">
        <f>IF($V164="","",INDEX('Per Line'!$Q$2:$Q$501,$V164)&amp;"")</f>
        <v/>
      </c>
      <c r="L164">
        <f>IF($V164="","",Settings!$C$7)</f>
        <v/>
      </c>
      <c r="M164" s="7">
        <f>IF($V164="","",SUMIFS('Per Line'!$L$2:$L$501,'Per Line'!$B$2:$B$501,$B164,'Per Line'!$Y$2:$Y$501,0))</f>
        <v/>
      </c>
      <c r="N164" s="7">
        <f>IF($V164="","",M164*L164)</f>
        <v/>
      </c>
      <c r="O164">
        <f>IF($V164="","",Settings!$C$6)</f>
        <v/>
      </c>
      <c r="P164" s="7">
        <f>IF($V164="","",SUMIFS('Per Line'!$L$2:$L$501,'Per Line'!$B$2:$B$501,$B164,'Per Line'!$Y$2:$Y$501,1))</f>
        <v/>
      </c>
      <c r="Q164" s="7">
        <f>IF($V164="","",P164*O164)</f>
        <v/>
      </c>
      <c r="R164" s="7">
        <f>IF($V164="","",Q164+N164)</f>
        <v/>
      </c>
      <c r="S164" s="7">
        <f>IF($V164="","",T164-R164)</f>
        <v/>
      </c>
      <c r="T164" s="7">
        <f>IF($V164="","",M164+P164)</f>
        <v/>
      </c>
      <c r="U164" s="7">
        <f>IF($V164="","",T164-R164-H164)</f>
        <v/>
      </c>
      <c r="V164" s="13">
        <f>IF(ROWS($V$2:$V164)&lt;=MAX('Per Line'!$X$2:$X$501),MATCH(ROWS($V$2:$V164),'Per Line'!$X$2:$X$501,0),"")</f>
        <v/>
      </c>
    </row>
    <row r="165">
      <c r="A165" s="12" t="n"/>
      <c r="B165">
        <f>IF($V165="","",INDEX('Per Line'!$B$2:$B$501,$V165)&amp;"")</f>
        <v/>
      </c>
      <c r="C165" s="12" t="n"/>
      <c r="D165">
        <f>IF($V165="","",INDEX('Per Line'!$C$2:$C$501,$V165)&amp;"")</f>
        <v/>
      </c>
      <c r="E165">
        <f>IF($V165="","",INDEX('Per Line'!$D$2:$D$501,$V165)&amp;"")</f>
        <v/>
      </c>
      <c r="F165">
        <f>IF($V165="","",INDEX('Per Line'!$E$2:$E$501,$V165)&amp;"")</f>
        <v/>
      </c>
      <c r="G165">
        <f>IF($V165="","",INDEX('Per Line'!$F$2:$F$501,$V165))</f>
        <v/>
      </c>
      <c r="H165" s="7">
        <f>IF($V165="","",G165*T165/100)</f>
        <v/>
      </c>
      <c r="I165">
        <f>IF($V165="","",INDEX('Per Line'!$M$2:$M$501,$V165)&amp;"")</f>
        <v/>
      </c>
      <c r="J165">
        <f>IF($V165="","",INDEX('Per Line'!$O$2:$O$501,$V165)&amp;"")</f>
        <v/>
      </c>
      <c r="K165">
        <f>IF($V165="","",INDEX('Per Line'!$Q$2:$Q$501,$V165)&amp;"")</f>
        <v/>
      </c>
      <c r="L165">
        <f>IF($V165="","",Settings!$C$7)</f>
        <v/>
      </c>
      <c r="M165" s="7">
        <f>IF($V165="","",SUMIFS('Per Line'!$L$2:$L$501,'Per Line'!$B$2:$B$501,$B165,'Per Line'!$Y$2:$Y$501,0))</f>
        <v/>
      </c>
      <c r="N165" s="7">
        <f>IF($V165="","",M165*L165)</f>
        <v/>
      </c>
      <c r="O165">
        <f>IF($V165="","",Settings!$C$6)</f>
        <v/>
      </c>
      <c r="P165" s="7">
        <f>IF($V165="","",SUMIFS('Per Line'!$L$2:$L$501,'Per Line'!$B$2:$B$501,$B165,'Per Line'!$Y$2:$Y$501,1))</f>
        <v/>
      </c>
      <c r="Q165" s="7">
        <f>IF($V165="","",P165*O165)</f>
        <v/>
      </c>
      <c r="R165" s="7">
        <f>IF($V165="","",Q165+N165)</f>
        <v/>
      </c>
      <c r="S165" s="7">
        <f>IF($V165="","",T165-R165)</f>
        <v/>
      </c>
      <c r="T165" s="7">
        <f>IF($V165="","",M165+P165)</f>
        <v/>
      </c>
      <c r="U165" s="7">
        <f>IF($V165="","",T165-R165-H165)</f>
        <v/>
      </c>
      <c r="V165" s="13">
        <f>IF(ROWS($V$2:$V165)&lt;=MAX('Per Line'!$X$2:$X$501),MATCH(ROWS($V$2:$V165),'Per Line'!$X$2:$X$501,0),"")</f>
        <v/>
      </c>
    </row>
    <row r="166">
      <c r="A166" s="12" t="n"/>
      <c r="B166">
        <f>IF($V166="","",INDEX('Per Line'!$B$2:$B$501,$V166)&amp;"")</f>
        <v/>
      </c>
      <c r="C166" s="12" t="n"/>
      <c r="D166">
        <f>IF($V166="","",INDEX('Per Line'!$C$2:$C$501,$V166)&amp;"")</f>
        <v/>
      </c>
      <c r="E166">
        <f>IF($V166="","",INDEX('Per Line'!$D$2:$D$501,$V166)&amp;"")</f>
        <v/>
      </c>
      <c r="F166">
        <f>IF($V166="","",INDEX('Per Line'!$E$2:$E$501,$V166)&amp;"")</f>
        <v/>
      </c>
      <c r="G166">
        <f>IF($V166="","",INDEX('Per Line'!$F$2:$F$501,$V166))</f>
        <v/>
      </c>
      <c r="H166" s="7">
        <f>IF($V166="","",G166*T166/100)</f>
        <v/>
      </c>
      <c r="I166">
        <f>IF($V166="","",INDEX('Per Line'!$M$2:$M$501,$V166)&amp;"")</f>
        <v/>
      </c>
      <c r="J166">
        <f>IF($V166="","",INDEX('Per Line'!$O$2:$O$501,$V166)&amp;"")</f>
        <v/>
      </c>
      <c r="K166">
        <f>IF($V166="","",INDEX('Per Line'!$Q$2:$Q$501,$V166)&amp;"")</f>
        <v/>
      </c>
      <c r="L166">
        <f>IF($V166="","",Settings!$C$7)</f>
        <v/>
      </c>
      <c r="M166" s="7">
        <f>IF($V166="","",SUMIFS('Per Line'!$L$2:$L$501,'Per Line'!$B$2:$B$501,$B166,'Per Line'!$Y$2:$Y$501,0))</f>
        <v/>
      </c>
      <c r="N166" s="7">
        <f>IF($V166="","",M166*L166)</f>
        <v/>
      </c>
      <c r="O166">
        <f>IF($V166="","",Settings!$C$6)</f>
        <v/>
      </c>
      <c r="P166" s="7">
        <f>IF($V166="","",SUMIFS('Per Line'!$L$2:$L$501,'Per Line'!$B$2:$B$501,$B166,'Per Line'!$Y$2:$Y$501,1))</f>
        <v/>
      </c>
      <c r="Q166" s="7">
        <f>IF($V166="","",P166*O166)</f>
        <v/>
      </c>
      <c r="R166" s="7">
        <f>IF($V166="","",Q166+N166)</f>
        <v/>
      </c>
      <c r="S166" s="7">
        <f>IF($V166="","",T166-R166)</f>
        <v/>
      </c>
      <c r="T166" s="7">
        <f>IF($V166="","",M166+P166)</f>
        <v/>
      </c>
      <c r="U166" s="7">
        <f>IF($V166="","",T166-R166-H166)</f>
        <v/>
      </c>
      <c r="V166" s="13">
        <f>IF(ROWS($V$2:$V166)&lt;=MAX('Per Line'!$X$2:$X$501),MATCH(ROWS($V$2:$V166),'Per Line'!$X$2:$X$501,0),"")</f>
        <v/>
      </c>
    </row>
    <row r="167">
      <c r="A167" s="12" t="n"/>
      <c r="B167">
        <f>IF($V167="","",INDEX('Per Line'!$B$2:$B$501,$V167)&amp;"")</f>
        <v/>
      </c>
      <c r="C167" s="12" t="n"/>
      <c r="D167">
        <f>IF($V167="","",INDEX('Per Line'!$C$2:$C$501,$V167)&amp;"")</f>
        <v/>
      </c>
      <c r="E167">
        <f>IF($V167="","",INDEX('Per Line'!$D$2:$D$501,$V167)&amp;"")</f>
        <v/>
      </c>
      <c r="F167">
        <f>IF($V167="","",INDEX('Per Line'!$E$2:$E$501,$V167)&amp;"")</f>
        <v/>
      </c>
      <c r="G167">
        <f>IF($V167="","",INDEX('Per Line'!$F$2:$F$501,$V167))</f>
        <v/>
      </c>
      <c r="H167" s="7">
        <f>IF($V167="","",G167*T167/100)</f>
        <v/>
      </c>
      <c r="I167">
        <f>IF($V167="","",INDEX('Per Line'!$M$2:$M$501,$V167)&amp;"")</f>
        <v/>
      </c>
      <c r="J167">
        <f>IF($V167="","",INDEX('Per Line'!$O$2:$O$501,$V167)&amp;"")</f>
        <v/>
      </c>
      <c r="K167">
        <f>IF($V167="","",INDEX('Per Line'!$Q$2:$Q$501,$V167)&amp;"")</f>
        <v/>
      </c>
      <c r="L167">
        <f>IF($V167="","",Settings!$C$7)</f>
        <v/>
      </c>
      <c r="M167" s="7">
        <f>IF($V167="","",SUMIFS('Per Line'!$L$2:$L$501,'Per Line'!$B$2:$B$501,$B167,'Per Line'!$Y$2:$Y$501,0))</f>
        <v/>
      </c>
      <c r="N167" s="7">
        <f>IF($V167="","",M167*L167)</f>
        <v/>
      </c>
      <c r="O167">
        <f>IF($V167="","",Settings!$C$6)</f>
        <v/>
      </c>
      <c r="P167" s="7">
        <f>IF($V167="","",SUMIFS('Per Line'!$L$2:$L$501,'Per Line'!$B$2:$B$501,$B167,'Per Line'!$Y$2:$Y$501,1))</f>
        <v/>
      </c>
      <c r="Q167" s="7">
        <f>IF($V167="","",P167*O167)</f>
        <v/>
      </c>
      <c r="R167" s="7">
        <f>IF($V167="","",Q167+N167)</f>
        <v/>
      </c>
      <c r="S167" s="7">
        <f>IF($V167="","",T167-R167)</f>
        <v/>
      </c>
      <c r="T167" s="7">
        <f>IF($V167="","",M167+P167)</f>
        <v/>
      </c>
      <c r="U167" s="7">
        <f>IF($V167="","",T167-R167-H167)</f>
        <v/>
      </c>
      <c r="V167" s="13">
        <f>IF(ROWS($V$2:$V167)&lt;=MAX('Per Line'!$X$2:$X$501),MATCH(ROWS($V$2:$V167),'Per Line'!$X$2:$X$501,0),"")</f>
        <v/>
      </c>
    </row>
    <row r="168">
      <c r="A168" s="12" t="n"/>
      <c r="B168">
        <f>IF($V168="","",INDEX('Per Line'!$B$2:$B$501,$V168)&amp;"")</f>
        <v/>
      </c>
      <c r="C168" s="12" t="n"/>
      <c r="D168">
        <f>IF($V168="","",INDEX('Per Line'!$C$2:$C$501,$V168)&amp;"")</f>
        <v/>
      </c>
      <c r="E168">
        <f>IF($V168="","",INDEX('Per Line'!$D$2:$D$501,$V168)&amp;"")</f>
        <v/>
      </c>
      <c r="F168">
        <f>IF($V168="","",INDEX('Per Line'!$E$2:$E$501,$V168)&amp;"")</f>
        <v/>
      </c>
      <c r="G168">
        <f>IF($V168="","",INDEX('Per Line'!$F$2:$F$501,$V168))</f>
        <v/>
      </c>
      <c r="H168" s="7">
        <f>IF($V168="","",G168*T168/100)</f>
        <v/>
      </c>
      <c r="I168">
        <f>IF($V168="","",INDEX('Per Line'!$M$2:$M$501,$V168)&amp;"")</f>
        <v/>
      </c>
      <c r="J168">
        <f>IF($V168="","",INDEX('Per Line'!$O$2:$O$501,$V168)&amp;"")</f>
        <v/>
      </c>
      <c r="K168">
        <f>IF($V168="","",INDEX('Per Line'!$Q$2:$Q$501,$V168)&amp;"")</f>
        <v/>
      </c>
      <c r="L168">
        <f>IF($V168="","",Settings!$C$7)</f>
        <v/>
      </c>
      <c r="M168" s="7">
        <f>IF($V168="","",SUMIFS('Per Line'!$L$2:$L$501,'Per Line'!$B$2:$B$501,$B168,'Per Line'!$Y$2:$Y$501,0))</f>
        <v/>
      </c>
      <c r="N168" s="7">
        <f>IF($V168="","",M168*L168)</f>
        <v/>
      </c>
      <c r="O168">
        <f>IF($V168="","",Settings!$C$6)</f>
        <v/>
      </c>
      <c r="P168" s="7">
        <f>IF($V168="","",SUMIFS('Per Line'!$L$2:$L$501,'Per Line'!$B$2:$B$501,$B168,'Per Line'!$Y$2:$Y$501,1))</f>
        <v/>
      </c>
      <c r="Q168" s="7">
        <f>IF($V168="","",P168*O168)</f>
        <v/>
      </c>
      <c r="R168" s="7">
        <f>IF($V168="","",Q168+N168)</f>
        <v/>
      </c>
      <c r="S168" s="7">
        <f>IF($V168="","",T168-R168)</f>
        <v/>
      </c>
      <c r="T168" s="7">
        <f>IF($V168="","",M168+P168)</f>
        <v/>
      </c>
      <c r="U168" s="7">
        <f>IF($V168="","",T168-R168-H168)</f>
        <v/>
      </c>
      <c r="V168" s="13">
        <f>IF(ROWS($V$2:$V168)&lt;=MAX('Per Line'!$X$2:$X$501),MATCH(ROWS($V$2:$V168),'Per Line'!$X$2:$X$501,0),"")</f>
        <v/>
      </c>
    </row>
    <row r="169">
      <c r="A169" s="12" t="n"/>
      <c r="B169">
        <f>IF($V169="","",INDEX('Per Line'!$B$2:$B$501,$V169)&amp;"")</f>
        <v/>
      </c>
      <c r="C169" s="12" t="n"/>
      <c r="D169">
        <f>IF($V169="","",INDEX('Per Line'!$C$2:$C$501,$V169)&amp;"")</f>
        <v/>
      </c>
      <c r="E169">
        <f>IF($V169="","",INDEX('Per Line'!$D$2:$D$501,$V169)&amp;"")</f>
        <v/>
      </c>
      <c r="F169">
        <f>IF($V169="","",INDEX('Per Line'!$E$2:$E$501,$V169)&amp;"")</f>
        <v/>
      </c>
      <c r="G169">
        <f>IF($V169="","",INDEX('Per Line'!$F$2:$F$501,$V169))</f>
        <v/>
      </c>
      <c r="H169" s="7">
        <f>IF($V169="","",G169*T169/100)</f>
        <v/>
      </c>
      <c r="I169">
        <f>IF($V169="","",INDEX('Per Line'!$M$2:$M$501,$V169)&amp;"")</f>
        <v/>
      </c>
      <c r="J169">
        <f>IF($V169="","",INDEX('Per Line'!$O$2:$O$501,$V169)&amp;"")</f>
        <v/>
      </c>
      <c r="K169">
        <f>IF($V169="","",INDEX('Per Line'!$Q$2:$Q$501,$V169)&amp;"")</f>
        <v/>
      </c>
      <c r="L169">
        <f>IF($V169="","",Settings!$C$7)</f>
        <v/>
      </c>
      <c r="M169" s="7">
        <f>IF($V169="","",SUMIFS('Per Line'!$L$2:$L$501,'Per Line'!$B$2:$B$501,$B169,'Per Line'!$Y$2:$Y$501,0))</f>
        <v/>
      </c>
      <c r="N169" s="7">
        <f>IF($V169="","",M169*L169)</f>
        <v/>
      </c>
      <c r="O169">
        <f>IF($V169="","",Settings!$C$6)</f>
        <v/>
      </c>
      <c r="P169" s="7">
        <f>IF($V169="","",SUMIFS('Per Line'!$L$2:$L$501,'Per Line'!$B$2:$B$501,$B169,'Per Line'!$Y$2:$Y$501,1))</f>
        <v/>
      </c>
      <c r="Q169" s="7">
        <f>IF($V169="","",P169*O169)</f>
        <v/>
      </c>
      <c r="R169" s="7">
        <f>IF($V169="","",Q169+N169)</f>
        <v/>
      </c>
      <c r="S169" s="7">
        <f>IF($V169="","",T169-R169)</f>
        <v/>
      </c>
      <c r="T169" s="7">
        <f>IF($V169="","",M169+P169)</f>
        <v/>
      </c>
      <c r="U169" s="7">
        <f>IF($V169="","",T169-R169-H169)</f>
        <v/>
      </c>
      <c r="V169" s="13">
        <f>IF(ROWS($V$2:$V169)&lt;=MAX('Per Line'!$X$2:$X$501),MATCH(ROWS($V$2:$V169),'Per Line'!$X$2:$X$501,0),"")</f>
        <v/>
      </c>
    </row>
    <row r="170">
      <c r="A170" s="12" t="n"/>
      <c r="B170">
        <f>IF($V170="","",INDEX('Per Line'!$B$2:$B$501,$V170)&amp;"")</f>
        <v/>
      </c>
      <c r="C170" s="12" t="n"/>
      <c r="D170">
        <f>IF($V170="","",INDEX('Per Line'!$C$2:$C$501,$V170)&amp;"")</f>
        <v/>
      </c>
      <c r="E170">
        <f>IF($V170="","",INDEX('Per Line'!$D$2:$D$501,$V170)&amp;"")</f>
        <v/>
      </c>
      <c r="F170">
        <f>IF($V170="","",INDEX('Per Line'!$E$2:$E$501,$V170)&amp;"")</f>
        <v/>
      </c>
      <c r="G170">
        <f>IF($V170="","",INDEX('Per Line'!$F$2:$F$501,$V170))</f>
        <v/>
      </c>
      <c r="H170" s="7">
        <f>IF($V170="","",G170*T170/100)</f>
        <v/>
      </c>
      <c r="I170">
        <f>IF($V170="","",INDEX('Per Line'!$M$2:$M$501,$V170)&amp;"")</f>
        <v/>
      </c>
      <c r="J170">
        <f>IF($V170="","",INDEX('Per Line'!$O$2:$O$501,$V170)&amp;"")</f>
        <v/>
      </c>
      <c r="K170">
        <f>IF($V170="","",INDEX('Per Line'!$Q$2:$Q$501,$V170)&amp;"")</f>
        <v/>
      </c>
      <c r="L170">
        <f>IF($V170="","",Settings!$C$7)</f>
        <v/>
      </c>
      <c r="M170" s="7">
        <f>IF($V170="","",SUMIFS('Per Line'!$L$2:$L$501,'Per Line'!$B$2:$B$501,$B170,'Per Line'!$Y$2:$Y$501,0))</f>
        <v/>
      </c>
      <c r="N170" s="7">
        <f>IF($V170="","",M170*L170)</f>
        <v/>
      </c>
      <c r="O170">
        <f>IF($V170="","",Settings!$C$6)</f>
        <v/>
      </c>
      <c r="P170" s="7">
        <f>IF($V170="","",SUMIFS('Per Line'!$L$2:$L$501,'Per Line'!$B$2:$B$501,$B170,'Per Line'!$Y$2:$Y$501,1))</f>
        <v/>
      </c>
      <c r="Q170" s="7">
        <f>IF($V170="","",P170*O170)</f>
        <v/>
      </c>
      <c r="R170" s="7">
        <f>IF($V170="","",Q170+N170)</f>
        <v/>
      </c>
      <c r="S170" s="7">
        <f>IF($V170="","",T170-R170)</f>
        <v/>
      </c>
      <c r="T170" s="7">
        <f>IF($V170="","",M170+P170)</f>
        <v/>
      </c>
      <c r="U170" s="7">
        <f>IF($V170="","",T170-R170-H170)</f>
        <v/>
      </c>
      <c r="V170" s="13">
        <f>IF(ROWS($V$2:$V170)&lt;=MAX('Per Line'!$X$2:$X$501),MATCH(ROWS($V$2:$V170),'Per Line'!$X$2:$X$501,0),"")</f>
        <v/>
      </c>
    </row>
    <row r="171">
      <c r="A171" s="12" t="n"/>
      <c r="B171">
        <f>IF($V171="","",INDEX('Per Line'!$B$2:$B$501,$V171)&amp;"")</f>
        <v/>
      </c>
      <c r="C171" s="12" t="n"/>
      <c r="D171">
        <f>IF($V171="","",INDEX('Per Line'!$C$2:$C$501,$V171)&amp;"")</f>
        <v/>
      </c>
      <c r="E171">
        <f>IF($V171="","",INDEX('Per Line'!$D$2:$D$501,$V171)&amp;"")</f>
        <v/>
      </c>
      <c r="F171">
        <f>IF($V171="","",INDEX('Per Line'!$E$2:$E$501,$V171)&amp;"")</f>
        <v/>
      </c>
      <c r="G171">
        <f>IF($V171="","",INDEX('Per Line'!$F$2:$F$501,$V171))</f>
        <v/>
      </c>
      <c r="H171" s="7">
        <f>IF($V171="","",G171*T171/100)</f>
        <v/>
      </c>
      <c r="I171">
        <f>IF($V171="","",INDEX('Per Line'!$M$2:$M$501,$V171)&amp;"")</f>
        <v/>
      </c>
      <c r="J171">
        <f>IF($V171="","",INDEX('Per Line'!$O$2:$O$501,$V171)&amp;"")</f>
        <v/>
      </c>
      <c r="K171">
        <f>IF($V171="","",INDEX('Per Line'!$Q$2:$Q$501,$V171)&amp;"")</f>
        <v/>
      </c>
      <c r="L171">
        <f>IF($V171="","",Settings!$C$7)</f>
        <v/>
      </c>
      <c r="M171" s="7">
        <f>IF($V171="","",SUMIFS('Per Line'!$L$2:$L$501,'Per Line'!$B$2:$B$501,$B171,'Per Line'!$Y$2:$Y$501,0))</f>
        <v/>
      </c>
      <c r="N171" s="7">
        <f>IF($V171="","",M171*L171)</f>
        <v/>
      </c>
      <c r="O171">
        <f>IF($V171="","",Settings!$C$6)</f>
        <v/>
      </c>
      <c r="P171" s="7">
        <f>IF($V171="","",SUMIFS('Per Line'!$L$2:$L$501,'Per Line'!$B$2:$B$501,$B171,'Per Line'!$Y$2:$Y$501,1))</f>
        <v/>
      </c>
      <c r="Q171" s="7">
        <f>IF($V171="","",P171*O171)</f>
        <v/>
      </c>
      <c r="R171" s="7">
        <f>IF($V171="","",Q171+N171)</f>
        <v/>
      </c>
      <c r="S171" s="7">
        <f>IF($V171="","",T171-R171)</f>
        <v/>
      </c>
      <c r="T171" s="7">
        <f>IF($V171="","",M171+P171)</f>
        <v/>
      </c>
      <c r="U171" s="7">
        <f>IF($V171="","",T171-R171-H171)</f>
        <v/>
      </c>
      <c r="V171" s="13">
        <f>IF(ROWS($V$2:$V171)&lt;=MAX('Per Line'!$X$2:$X$501),MATCH(ROWS($V$2:$V171),'Per Line'!$X$2:$X$501,0),"")</f>
        <v/>
      </c>
    </row>
    <row r="172">
      <c r="A172" s="12" t="n"/>
      <c r="B172">
        <f>IF($V172="","",INDEX('Per Line'!$B$2:$B$501,$V172)&amp;"")</f>
        <v/>
      </c>
      <c r="C172" s="12" t="n"/>
      <c r="D172">
        <f>IF($V172="","",INDEX('Per Line'!$C$2:$C$501,$V172)&amp;"")</f>
        <v/>
      </c>
      <c r="E172">
        <f>IF($V172="","",INDEX('Per Line'!$D$2:$D$501,$V172)&amp;"")</f>
        <v/>
      </c>
      <c r="F172">
        <f>IF($V172="","",INDEX('Per Line'!$E$2:$E$501,$V172)&amp;"")</f>
        <v/>
      </c>
      <c r="G172">
        <f>IF($V172="","",INDEX('Per Line'!$F$2:$F$501,$V172))</f>
        <v/>
      </c>
      <c r="H172" s="7">
        <f>IF($V172="","",G172*T172/100)</f>
        <v/>
      </c>
      <c r="I172">
        <f>IF($V172="","",INDEX('Per Line'!$M$2:$M$501,$V172)&amp;"")</f>
        <v/>
      </c>
      <c r="J172">
        <f>IF($V172="","",INDEX('Per Line'!$O$2:$O$501,$V172)&amp;"")</f>
        <v/>
      </c>
      <c r="K172">
        <f>IF($V172="","",INDEX('Per Line'!$Q$2:$Q$501,$V172)&amp;"")</f>
        <v/>
      </c>
      <c r="L172">
        <f>IF($V172="","",Settings!$C$7)</f>
        <v/>
      </c>
      <c r="M172" s="7">
        <f>IF($V172="","",SUMIFS('Per Line'!$L$2:$L$501,'Per Line'!$B$2:$B$501,$B172,'Per Line'!$Y$2:$Y$501,0))</f>
        <v/>
      </c>
      <c r="N172" s="7">
        <f>IF($V172="","",M172*L172)</f>
        <v/>
      </c>
      <c r="O172">
        <f>IF($V172="","",Settings!$C$6)</f>
        <v/>
      </c>
      <c r="P172" s="7">
        <f>IF($V172="","",SUMIFS('Per Line'!$L$2:$L$501,'Per Line'!$B$2:$B$501,$B172,'Per Line'!$Y$2:$Y$501,1))</f>
        <v/>
      </c>
      <c r="Q172" s="7">
        <f>IF($V172="","",P172*O172)</f>
        <v/>
      </c>
      <c r="R172" s="7">
        <f>IF($V172="","",Q172+N172)</f>
        <v/>
      </c>
      <c r="S172" s="7">
        <f>IF($V172="","",T172-R172)</f>
        <v/>
      </c>
      <c r="T172" s="7">
        <f>IF($V172="","",M172+P172)</f>
        <v/>
      </c>
      <c r="U172" s="7">
        <f>IF($V172="","",T172-R172-H172)</f>
        <v/>
      </c>
      <c r="V172" s="13">
        <f>IF(ROWS($V$2:$V172)&lt;=MAX('Per Line'!$X$2:$X$501),MATCH(ROWS($V$2:$V172),'Per Line'!$X$2:$X$501,0),"")</f>
        <v/>
      </c>
    </row>
    <row r="173">
      <c r="A173" s="12" t="n"/>
      <c r="B173">
        <f>IF($V173="","",INDEX('Per Line'!$B$2:$B$501,$V173)&amp;"")</f>
        <v/>
      </c>
      <c r="C173" s="12" t="n"/>
      <c r="D173">
        <f>IF($V173="","",INDEX('Per Line'!$C$2:$C$501,$V173)&amp;"")</f>
        <v/>
      </c>
      <c r="E173">
        <f>IF($V173="","",INDEX('Per Line'!$D$2:$D$501,$V173)&amp;"")</f>
        <v/>
      </c>
      <c r="F173">
        <f>IF($V173="","",INDEX('Per Line'!$E$2:$E$501,$V173)&amp;"")</f>
        <v/>
      </c>
      <c r="G173">
        <f>IF($V173="","",INDEX('Per Line'!$F$2:$F$501,$V173))</f>
        <v/>
      </c>
      <c r="H173" s="7">
        <f>IF($V173="","",G173*T173/100)</f>
        <v/>
      </c>
      <c r="I173">
        <f>IF($V173="","",INDEX('Per Line'!$M$2:$M$501,$V173)&amp;"")</f>
        <v/>
      </c>
      <c r="J173">
        <f>IF($V173="","",INDEX('Per Line'!$O$2:$O$501,$V173)&amp;"")</f>
        <v/>
      </c>
      <c r="K173">
        <f>IF($V173="","",INDEX('Per Line'!$Q$2:$Q$501,$V173)&amp;"")</f>
        <v/>
      </c>
      <c r="L173">
        <f>IF($V173="","",Settings!$C$7)</f>
        <v/>
      </c>
      <c r="M173" s="7">
        <f>IF($V173="","",SUMIFS('Per Line'!$L$2:$L$501,'Per Line'!$B$2:$B$501,$B173,'Per Line'!$Y$2:$Y$501,0))</f>
        <v/>
      </c>
      <c r="N173" s="7">
        <f>IF($V173="","",M173*L173)</f>
        <v/>
      </c>
      <c r="O173">
        <f>IF($V173="","",Settings!$C$6)</f>
        <v/>
      </c>
      <c r="P173" s="7">
        <f>IF($V173="","",SUMIFS('Per Line'!$L$2:$L$501,'Per Line'!$B$2:$B$501,$B173,'Per Line'!$Y$2:$Y$501,1))</f>
        <v/>
      </c>
      <c r="Q173" s="7">
        <f>IF($V173="","",P173*O173)</f>
        <v/>
      </c>
      <c r="R173" s="7">
        <f>IF($V173="","",Q173+N173)</f>
        <v/>
      </c>
      <c r="S173" s="7">
        <f>IF($V173="","",T173-R173)</f>
        <v/>
      </c>
      <c r="T173" s="7">
        <f>IF($V173="","",M173+P173)</f>
        <v/>
      </c>
      <c r="U173" s="7">
        <f>IF($V173="","",T173-R173-H173)</f>
        <v/>
      </c>
      <c r="V173" s="13">
        <f>IF(ROWS($V$2:$V173)&lt;=MAX('Per Line'!$X$2:$X$501),MATCH(ROWS($V$2:$V173),'Per Line'!$X$2:$X$501,0),"")</f>
        <v/>
      </c>
    </row>
    <row r="174">
      <c r="A174" s="12" t="n"/>
      <c r="B174">
        <f>IF($V174="","",INDEX('Per Line'!$B$2:$B$501,$V174)&amp;"")</f>
        <v/>
      </c>
      <c r="C174" s="12" t="n"/>
      <c r="D174">
        <f>IF($V174="","",INDEX('Per Line'!$C$2:$C$501,$V174)&amp;"")</f>
        <v/>
      </c>
      <c r="E174">
        <f>IF($V174="","",INDEX('Per Line'!$D$2:$D$501,$V174)&amp;"")</f>
        <v/>
      </c>
      <c r="F174">
        <f>IF($V174="","",INDEX('Per Line'!$E$2:$E$501,$V174)&amp;"")</f>
        <v/>
      </c>
      <c r="G174">
        <f>IF($V174="","",INDEX('Per Line'!$F$2:$F$501,$V174))</f>
        <v/>
      </c>
      <c r="H174" s="7">
        <f>IF($V174="","",G174*T174/100)</f>
        <v/>
      </c>
      <c r="I174">
        <f>IF($V174="","",INDEX('Per Line'!$M$2:$M$501,$V174)&amp;"")</f>
        <v/>
      </c>
      <c r="J174">
        <f>IF($V174="","",INDEX('Per Line'!$O$2:$O$501,$V174)&amp;"")</f>
        <v/>
      </c>
      <c r="K174">
        <f>IF($V174="","",INDEX('Per Line'!$Q$2:$Q$501,$V174)&amp;"")</f>
        <v/>
      </c>
      <c r="L174">
        <f>IF($V174="","",Settings!$C$7)</f>
        <v/>
      </c>
      <c r="M174" s="7">
        <f>IF($V174="","",SUMIFS('Per Line'!$L$2:$L$501,'Per Line'!$B$2:$B$501,$B174,'Per Line'!$Y$2:$Y$501,0))</f>
        <v/>
      </c>
      <c r="N174" s="7">
        <f>IF($V174="","",M174*L174)</f>
        <v/>
      </c>
      <c r="O174">
        <f>IF($V174="","",Settings!$C$6)</f>
        <v/>
      </c>
      <c r="P174" s="7">
        <f>IF($V174="","",SUMIFS('Per Line'!$L$2:$L$501,'Per Line'!$B$2:$B$501,$B174,'Per Line'!$Y$2:$Y$501,1))</f>
        <v/>
      </c>
      <c r="Q174" s="7">
        <f>IF($V174="","",P174*O174)</f>
        <v/>
      </c>
      <c r="R174" s="7">
        <f>IF($V174="","",Q174+N174)</f>
        <v/>
      </c>
      <c r="S174" s="7">
        <f>IF($V174="","",T174-R174)</f>
        <v/>
      </c>
      <c r="T174" s="7">
        <f>IF($V174="","",M174+P174)</f>
        <v/>
      </c>
      <c r="U174" s="7">
        <f>IF($V174="","",T174-R174-H174)</f>
        <v/>
      </c>
      <c r="V174" s="13">
        <f>IF(ROWS($V$2:$V174)&lt;=MAX('Per Line'!$X$2:$X$501),MATCH(ROWS($V$2:$V174),'Per Line'!$X$2:$X$501,0),"")</f>
        <v/>
      </c>
    </row>
    <row r="175">
      <c r="A175" s="12" t="n"/>
      <c r="B175">
        <f>IF($V175="","",INDEX('Per Line'!$B$2:$B$501,$V175)&amp;"")</f>
        <v/>
      </c>
      <c r="C175" s="12" t="n"/>
      <c r="D175">
        <f>IF($V175="","",INDEX('Per Line'!$C$2:$C$501,$V175)&amp;"")</f>
        <v/>
      </c>
      <c r="E175">
        <f>IF($V175="","",INDEX('Per Line'!$D$2:$D$501,$V175)&amp;"")</f>
        <v/>
      </c>
      <c r="F175">
        <f>IF($V175="","",INDEX('Per Line'!$E$2:$E$501,$V175)&amp;"")</f>
        <v/>
      </c>
      <c r="G175">
        <f>IF($V175="","",INDEX('Per Line'!$F$2:$F$501,$V175))</f>
        <v/>
      </c>
      <c r="H175" s="7">
        <f>IF($V175="","",G175*T175/100)</f>
        <v/>
      </c>
      <c r="I175">
        <f>IF($V175="","",INDEX('Per Line'!$M$2:$M$501,$V175)&amp;"")</f>
        <v/>
      </c>
      <c r="J175">
        <f>IF($V175="","",INDEX('Per Line'!$O$2:$O$501,$V175)&amp;"")</f>
        <v/>
      </c>
      <c r="K175">
        <f>IF($V175="","",INDEX('Per Line'!$Q$2:$Q$501,$V175)&amp;"")</f>
        <v/>
      </c>
      <c r="L175">
        <f>IF($V175="","",Settings!$C$7)</f>
        <v/>
      </c>
      <c r="M175" s="7">
        <f>IF($V175="","",SUMIFS('Per Line'!$L$2:$L$501,'Per Line'!$B$2:$B$501,$B175,'Per Line'!$Y$2:$Y$501,0))</f>
        <v/>
      </c>
      <c r="N175" s="7">
        <f>IF($V175="","",M175*L175)</f>
        <v/>
      </c>
      <c r="O175">
        <f>IF($V175="","",Settings!$C$6)</f>
        <v/>
      </c>
      <c r="P175" s="7">
        <f>IF($V175="","",SUMIFS('Per Line'!$L$2:$L$501,'Per Line'!$B$2:$B$501,$B175,'Per Line'!$Y$2:$Y$501,1))</f>
        <v/>
      </c>
      <c r="Q175" s="7">
        <f>IF($V175="","",P175*O175)</f>
        <v/>
      </c>
      <c r="R175" s="7">
        <f>IF($V175="","",Q175+N175)</f>
        <v/>
      </c>
      <c r="S175" s="7">
        <f>IF($V175="","",T175-R175)</f>
        <v/>
      </c>
      <c r="T175" s="7">
        <f>IF($V175="","",M175+P175)</f>
        <v/>
      </c>
      <c r="U175" s="7">
        <f>IF($V175="","",T175-R175-H175)</f>
        <v/>
      </c>
      <c r="V175" s="13">
        <f>IF(ROWS($V$2:$V175)&lt;=MAX('Per Line'!$X$2:$X$501),MATCH(ROWS($V$2:$V175),'Per Line'!$X$2:$X$501,0),"")</f>
        <v/>
      </c>
    </row>
    <row r="176">
      <c r="A176" s="12" t="n"/>
      <c r="B176">
        <f>IF($V176="","",INDEX('Per Line'!$B$2:$B$501,$V176)&amp;"")</f>
        <v/>
      </c>
      <c r="C176" s="12" t="n"/>
      <c r="D176">
        <f>IF($V176="","",INDEX('Per Line'!$C$2:$C$501,$V176)&amp;"")</f>
        <v/>
      </c>
      <c r="E176">
        <f>IF($V176="","",INDEX('Per Line'!$D$2:$D$501,$V176)&amp;"")</f>
        <v/>
      </c>
      <c r="F176">
        <f>IF($V176="","",INDEX('Per Line'!$E$2:$E$501,$V176)&amp;"")</f>
        <v/>
      </c>
      <c r="G176">
        <f>IF($V176="","",INDEX('Per Line'!$F$2:$F$501,$V176))</f>
        <v/>
      </c>
      <c r="H176" s="7">
        <f>IF($V176="","",G176*T176/100)</f>
        <v/>
      </c>
      <c r="I176">
        <f>IF($V176="","",INDEX('Per Line'!$M$2:$M$501,$V176)&amp;"")</f>
        <v/>
      </c>
      <c r="J176">
        <f>IF($V176="","",INDEX('Per Line'!$O$2:$O$501,$V176)&amp;"")</f>
        <v/>
      </c>
      <c r="K176">
        <f>IF($V176="","",INDEX('Per Line'!$Q$2:$Q$501,$V176)&amp;"")</f>
        <v/>
      </c>
      <c r="L176">
        <f>IF($V176="","",Settings!$C$7)</f>
        <v/>
      </c>
      <c r="M176" s="7">
        <f>IF($V176="","",SUMIFS('Per Line'!$L$2:$L$501,'Per Line'!$B$2:$B$501,$B176,'Per Line'!$Y$2:$Y$501,0))</f>
        <v/>
      </c>
      <c r="N176" s="7">
        <f>IF($V176="","",M176*L176)</f>
        <v/>
      </c>
      <c r="O176">
        <f>IF($V176="","",Settings!$C$6)</f>
        <v/>
      </c>
      <c r="P176" s="7">
        <f>IF($V176="","",SUMIFS('Per Line'!$L$2:$L$501,'Per Line'!$B$2:$B$501,$B176,'Per Line'!$Y$2:$Y$501,1))</f>
        <v/>
      </c>
      <c r="Q176" s="7">
        <f>IF($V176="","",P176*O176)</f>
        <v/>
      </c>
      <c r="R176" s="7">
        <f>IF($V176="","",Q176+N176)</f>
        <v/>
      </c>
      <c r="S176" s="7">
        <f>IF($V176="","",T176-R176)</f>
        <v/>
      </c>
      <c r="T176" s="7">
        <f>IF($V176="","",M176+P176)</f>
        <v/>
      </c>
      <c r="U176" s="7">
        <f>IF($V176="","",T176-R176-H176)</f>
        <v/>
      </c>
      <c r="V176" s="13">
        <f>IF(ROWS($V$2:$V176)&lt;=MAX('Per Line'!$X$2:$X$501),MATCH(ROWS($V$2:$V176),'Per Line'!$X$2:$X$501,0),"")</f>
        <v/>
      </c>
    </row>
    <row r="177">
      <c r="A177" s="12" t="n"/>
      <c r="B177">
        <f>IF($V177="","",INDEX('Per Line'!$B$2:$B$501,$V177)&amp;"")</f>
        <v/>
      </c>
      <c r="C177" s="12" t="n"/>
      <c r="D177">
        <f>IF($V177="","",INDEX('Per Line'!$C$2:$C$501,$V177)&amp;"")</f>
        <v/>
      </c>
      <c r="E177">
        <f>IF($V177="","",INDEX('Per Line'!$D$2:$D$501,$V177)&amp;"")</f>
        <v/>
      </c>
      <c r="F177">
        <f>IF($V177="","",INDEX('Per Line'!$E$2:$E$501,$V177)&amp;"")</f>
        <v/>
      </c>
      <c r="G177">
        <f>IF($V177="","",INDEX('Per Line'!$F$2:$F$501,$V177))</f>
        <v/>
      </c>
      <c r="H177" s="7">
        <f>IF($V177="","",G177*T177/100)</f>
        <v/>
      </c>
      <c r="I177">
        <f>IF($V177="","",INDEX('Per Line'!$M$2:$M$501,$V177)&amp;"")</f>
        <v/>
      </c>
      <c r="J177">
        <f>IF($V177="","",INDEX('Per Line'!$O$2:$O$501,$V177)&amp;"")</f>
        <v/>
      </c>
      <c r="K177">
        <f>IF($V177="","",INDEX('Per Line'!$Q$2:$Q$501,$V177)&amp;"")</f>
        <v/>
      </c>
      <c r="L177">
        <f>IF($V177="","",Settings!$C$7)</f>
        <v/>
      </c>
      <c r="M177" s="7">
        <f>IF($V177="","",SUMIFS('Per Line'!$L$2:$L$501,'Per Line'!$B$2:$B$501,$B177,'Per Line'!$Y$2:$Y$501,0))</f>
        <v/>
      </c>
      <c r="N177" s="7">
        <f>IF($V177="","",M177*L177)</f>
        <v/>
      </c>
      <c r="O177">
        <f>IF($V177="","",Settings!$C$6)</f>
        <v/>
      </c>
      <c r="P177" s="7">
        <f>IF($V177="","",SUMIFS('Per Line'!$L$2:$L$501,'Per Line'!$B$2:$B$501,$B177,'Per Line'!$Y$2:$Y$501,1))</f>
        <v/>
      </c>
      <c r="Q177" s="7">
        <f>IF($V177="","",P177*O177)</f>
        <v/>
      </c>
      <c r="R177" s="7">
        <f>IF($V177="","",Q177+N177)</f>
        <v/>
      </c>
      <c r="S177" s="7">
        <f>IF($V177="","",T177-R177)</f>
        <v/>
      </c>
      <c r="T177" s="7">
        <f>IF($V177="","",M177+P177)</f>
        <v/>
      </c>
      <c r="U177" s="7">
        <f>IF($V177="","",T177-R177-H177)</f>
        <v/>
      </c>
      <c r="V177" s="13">
        <f>IF(ROWS($V$2:$V177)&lt;=MAX('Per Line'!$X$2:$X$501),MATCH(ROWS($V$2:$V177),'Per Line'!$X$2:$X$501,0),"")</f>
        <v/>
      </c>
    </row>
    <row r="178">
      <c r="A178" s="12" t="n"/>
      <c r="B178">
        <f>IF($V178="","",INDEX('Per Line'!$B$2:$B$501,$V178)&amp;"")</f>
        <v/>
      </c>
      <c r="C178" s="12" t="n"/>
      <c r="D178">
        <f>IF($V178="","",INDEX('Per Line'!$C$2:$C$501,$V178)&amp;"")</f>
        <v/>
      </c>
      <c r="E178">
        <f>IF($V178="","",INDEX('Per Line'!$D$2:$D$501,$V178)&amp;"")</f>
        <v/>
      </c>
      <c r="F178">
        <f>IF($V178="","",INDEX('Per Line'!$E$2:$E$501,$V178)&amp;"")</f>
        <v/>
      </c>
      <c r="G178">
        <f>IF($V178="","",INDEX('Per Line'!$F$2:$F$501,$V178))</f>
        <v/>
      </c>
      <c r="H178" s="7">
        <f>IF($V178="","",G178*T178/100)</f>
        <v/>
      </c>
      <c r="I178">
        <f>IF($V178="","",INDEX('Per Line'!$M$2:$M$501,$V178)&amp;"")</f>
        <v/>
      </c>
      <c r="J178">
        <f>IF($V178="","",INDEX('Per Line'!$O$2:$O$501,$V178)&amp;"")</f>
        <v/>
      </c>
      <c r="K178">
        <f>IF($V178="","",INDEX('Per Line'!$Q$2:$Q$501,$V178)&amp;"")</f>
        <v/>
      </c>
      <c r="L178">
        <f>IF($V178="","",Settings!$C$7)</f>
        <v/>
      </c>
      <c r="M178" s="7">
        <f>IF($V178="","",SUMIFS('Per Line'!$L$2:$L$501,'Per Line'!$B$2:$B$501,$B178,'Per Line'!$Y$2:$Y$501,0))</f>
        <v/>
      </c>
      <c r="N178" s="7">
        <f>IF($V178="","",M178*L178)</f>
        <v/>
      </c>
      <c r="O178">
        <f>IF($V178="","",Settings!$C$6)</f>
        <v/>
      </c>
      <c r="P178" s="7">
        <f>IF($V178="","",SUMIFS('Per Line'!$L$2:$L$501,'Per Line'!$B$2:$B$501,$B178,'Per Line'!$Y$2:$Y$501,1))</f>
        <v/>
      </c>
      <c r="Q178" s="7">
        <f>IF($V178="","",P178*O178)</f>
        <v/>
      </c>
      <c r="R178" s="7">
        <f>IF($V178="","",Q178+N178)</f>
        <v/>
      </c>
      <c r="S178" s="7">
        <f>IF($V178="","",T178-R178)</f>
        <v/>
      </c>
      <c r="T178" s="7">
        <f>IF($V178="","",M178+P178)</f>
        <v/>
      </c>
      <c r="U178" s="7">
        <f>IF($V178="","",T178-R178-H178)</f>
        <v/>
      </c>
      <c r="V178" s="13">
        <f>IF(ROWS($V$2:$V178)&lt;=MAX('Per Line'!$X$2:$X$501),MATCH(ROWS($V$2:$V178),'Per Line'!$X$2:$X$501,0),"")</f>
        <v/>
      </c>
    </row>
    <row r="179">
      <c r="A179" s="12" t="n"/>
      <c r="B179">
        <f>IF($V179="","",INDEX('Per Line'!$B$2:$B$501,$V179)&amp;"")</f>
        <v/>
      </c>
      <c r="C179" s="12" t="n"/>
      <c r="D179">
        <f>IF($V179="","",INDEX('Per Line'!$C$2:$C$501,$V179)&amp;"")</f>
        <v/>
      </c>
      <c r="E179">
        <f>IF($V179="","",INDEX('Per Line'!$D$2:$D$501,$V179)&amp;"")</f>
        <v/>
      </c>
      <c r="F179">
        <f>IF($V179="","",INDEX('Per Line'!$E$2:$E$501,$V179)&amp;"")</f>
        <v/>
      </c>
      <c r="G179">
        <f>IF($V179="","",INDEX('Per Line'!$F$2:$F$501,$V179))</f>
        <v/>
      </c>
      <c r="H179" s="7">
        <f>IF($V179="","",G179*T179/100)</f>
        <v/>
      </c>
      <c r="I179">
        <f>IF($V179="","",INDEX('Per Line'!$M$2:$M$501,$V179)&amp;"")</f>
        <v/>
      </c>
      <c r="J179">
        <f>IF($V179="","",INDEX('Per Line'!$O$2:$O$501,$V179)&amp;"")</f>
        <v/>
      </c>
      <c r="K179">
        <f>IF($V179="","",INDEX('Per Line'!$Q$2:$Q$501,$V179)&amp;"")</f>
        <v/>
      </c>
      <c r="L179">
        <f>IF($V179="","",Settings!$C$7)</f>
        <v/>
      </c>
      <c r="M179" s="7">
        <f>IF($V179="","",SUMIFS('Per Line'!$L$2:$L$501,'Per Line'!$B$2:$B$501,$B179,'Per Line'!$Y$2:$Y$501,0))</f>
        <v/>
      </c>
      <c r="N179" s="7">
        <f>IF($V179="","",M179*L179)</f>
        <v/>
      </c>
      <c r="O179">
        <f>IF($V179="","",Settings!$C$6)</f>
        <v/>
      </c>
      <c r="P179" s="7">
        <f>IF($V179="","",SUMIFS('Per Line'!$L$2:$L$501,'Per Line'!$B$2:$B$501,$B179,'Per Line'!$Y$2:$Y$501,1))</f>
        <v/>
      </c>
      <c r="Q179" s="7">
        <f>IF($V179="","",P179*O179)</f>
        <v/>
      </c>
      <c r="R179" s="7">
        <f>IF($V179="","",Q179+N179)</f>
        <v/>
      </c>
      <c r="S179" s="7">
        <f>IF($V179="","",T179-R179)</f>
        <v/>
      </c>
      <c r="T179" s="7">
        <f>IF($V179="","",M179+P179)</f>
        <v/>
      </c>
      <c r="U179" s="7">
        <f>IF($V179="","",T179-R179-H179)</f>
        <v/>
      </c>
      <c r="V179" s="13">
        <f>IF(ROWS($V$2:$V179)&lt;=MAX('Per Line'!$X$2:$X$501),MATCH(ROWS($V$2:$V179),'Per Line'!$X$2:$X$501,0),"")</f>
        <v/>
      </c>
    </row>
    <row r="180">
      <c r="A180" s="12" t="n"/>
      <c r="B180">
        <f>IF($V180="","",INDEX('Per Line'!$B$2:$B$501,$V180)&amp;"")</f>
        <v/>
      </c>
      <c r="C180" s="12" t="n"/>
      <c r="D180">
        <f>IF($V180="","",INDEX('Per Line'!$C$2:$C$501,$V180)&amp;"")</f>
        <v/>
      </c>
      <c r="E180">
        <f>IF($V180="","",INDEX('Per Line'!$D$2:$D$501,$V180)&amp;"")</f>
        <v/>
      </c>
      <c r="F180">
        <f>IF($V180="","",INDEX('Per Line'!$E$2:$E$501,$V180)&amp;"")</f>
        <v/>
      </c>
      <c r="G180">
        <f>IF($V180="","",INDEX('Per Line'!$F$2:$F$501,$V180))</f>
        <v/>
      </c>
      <c r="H180" s="7">
        <f>IF($V180="","",G180*T180/100)</f>
        <v/>
      </c>
      <c r="I180">
        <f>IF($V180="","",INDEX('Per Line'!$M$2:$M$501,$V180)&amp;"")</f>
        <v/>
      </c>
      <c r="J180">
        <f>IF($V180="","",INDEX('Per Line'!$O$2:$O$501,$V180)&amp;"")</f>
        <v/>
      </c>
      <c r="K180">
        <f>IF($V180="","",INDEX('Per Line'!$Q$2:$Q$501,$V180)&amp;"")</f>
        <v/>
      </c>
      <c r="L180">
        <f>IF($V180="","",Settings!$C$7)</f>
        <v/>
      </c>
      <c r="M180" s="7">
        <f>IF($V180="","",SUMIFS('Per Line'!$L$2:$L$501,'Per Line'!$B$2:$B$501,$B180,'Per Line'!$Y$2:$Y$501,0))</f>
        <v/>
      </c>
      <c r="N180" s="7">
        <f>IF($V180="","",M180*L180)</f>
        <v/>
      </c>
      <c r="O180">
        <f>IF($V180="","",Settings!$C$6)</f>
        <v/>
      </c>
      <c r="P180" s="7">
        <f>IF($V180="","",SUMIFS('Per Line'!$L$2:$L$501,'Per Line'!$B$2:$B$501,$B180,'Per Line'!$Y$2:$Y$501,1))</f>
        <v/>
      </c>
      <c r="Q180" s="7">
        <f>IF($V180="","",P180*O180)</f>
        <v/>
      </c>
      <c r="R180" s="7">
        <f>IF($V180="","",Q180+N180)</f>
        <v/>
      </c>
      <c r="S180" s="7">
        <f>IF($V180="","",T180-R180)</f>
        <v/>
      </c>
      <c r="T180" s="7">
        <f>IF($V180="","",M180+P180)</f>
        <v/>
      </c>
      <c r="U180" s="7">
        <f>IF($V180="","",T180-R180-H180)</f>
        <v/>
      </c>
      <c r="V180" s="13">
        <f>IF(ROWS($V$2:$V180)&lt;=MAX('Per Line'!$X$2:$X$501),MATCH(ROWS($V$2:$V180),'Per Line'!$X$2:$X$501,0),"")</f>
        <v/>
      </c>
    </row>
    <row r="181">
      <c r="A181" s="12" t="n"/>
      <c r="B181">
        <f>IF($V181="","",INDEX('Per Line'!$B$2:$B$501,$V181)&amp;"")</f>
        <v/>
      </c>
      <c r="C181" s="12" t="n"/>
      <c r="D181">
        <f>IF($V181="","",INDEX('Per Line'!$C$2:$C$501,$V181)&amp;"")</f>
        <v/>
      </c>
      <c r="E181">
        <f>IF($V181="","",INDEX('Per Line'!$D$2:$D$501,$V181)&amp;"")</f>
        <v/>
      </c>
      <c r="F181">
        <f>IF($V181="","",INDEX('Per Line'!$E$2:$E$501,$V181)&amp;"")</f>
        <v/>
      </c>
      <c r="G181">
        <f>IF($V181="","",INDEX('Per Line'!$F$2:$F$501,$V181))</f>
        <v/>
      </c>
      <c r="H181" s="7">
        <f>IF($V181="","",G181*T181/100)</f>
        <v/>
      </c>
      <c r="I181">
        <f>IF($V181="","",INDEX('Per Line'!$M$2:$M$501,$V181)&amp;"")</f>
        <v/>
      </c>
      <c r="J181">
        <f>IF($V181="","",INDEX('Per Line'!$O$2:$O$501,$V181)&amp;"")</f>
        <v/>
      </c>
      <c r="K181">
        <f>IF($V181="","",INDEX('Per Line'!$Q$2:$Q$501,$V181)&amp;"")</f>
        <v/>
      </c>
      <c r="L181">
        <f>IF($V181="","",Settings!$C$7)</f>
        <v/>
      </c>
      <c r="M181" s="7">
        <f>IF($V181="","",SUMIFS('Per Line'!$L$2:$L$501,'Per Line'!$B$2:$B$501,$B181,'Per Line'!$Y$2:$Y$501,0))</f>
        <v/>
      </c>
      <c r="N181" s="7">
        <f>IF($V181="","",M181*L181)</f>
        <v/>
      </c>
      <c r="O181">
        <f>IF($V181="","",Settings!$C$6)</f>
        <v/>
      </c>
      <c r="P181" s="7">
        <f>IF($V181="","",SUMIFS('Per Line'!$L$2:$L$501,'Per Line'!$B$2:$B$501,$B181,'Per Line'!$Y$2:$Y$501,1))</f>
        <v/>
      </c>
      <c r="Q181" s="7">
        <f>IF($V181="","",P181*O181)</f>
        <v/>
      </c>
      <c r="R181" s="7">
        <f>IF($V181="","",Q181+N181)</f>
        <v/>
      </c>
      <c r="S181" s="7">
        <f>IF($V181="","",T181-R181)</f>
        <v/>
      </c>
      <c r="T181" s="7">
        <f>IF($V181="","",M181+P181)</f>
        <v/>
      </c>
      <c r="U181" s="7">
        <f>IF($V181="","",T181-R181-H181)</f>
        <v/>
      </c>
      <c r="V181" s="13">
        <f>IF(ROWS($V$2:$V181)&lt;=MAX('Per Line'!$X$2:$X$501),MATCH(ROWS($V$2:$V181),'Per Line'!$X$2:$X$501,0),"")</f>
        <v/>
      </c>
    </row>
    <row r="182">
      <c r="A182" s="12" t="n"/>
      <c r="B182">
        <f>IF($V182="","",INDEX('Per Line'!$B$2:$B$501,$V182)&amp;"")</f>
        <v/>
      </c>
      <c r="C182" s="12" t="n"/>
      <c r="D182">
        <f>IF($V182="","",INDEX('Per Line'!$C$2:$C$501,$V182)&amp;"")</f>
        <v/>
      </c>
      <c r="E182">
        <f>IF($V182="","",INDEX('Per Line'!$D$2:$D$501,$V182)&amp;"")</f>
        <v/>
      </c>
      <c r="F182">
        <f>IF($V182="","",INDEX('Per Line'!$E$2:$E$501,$V182)&amp;"")</f>
        <v/>
      </c>
      <c r="G182">
        <f>IF($V182="","",INDEX('Per Line'!$F$2:$F$501,$V182))</f>
        <v/>
      </c>
      <c r="H182" s="7">
        <f>IF($V182="","",G182*T182/100)</f>
        <v/>
      </c>
      <c r="I182">
        <f>IF($V182="","",INDEX('Per Line'!$M$2:$M$501,$V182)&amp;"")</f>
        <v/>
      </c>
      <c r="J182">
        <f>IF($V182="","",INDEX('Per Line'!$O$2:$O$501,$V182)&amp;"")</f>
        <v/>
      </c>
      <c r="K182">
        <f>IF($V182="","",INDEX('Per Line'!$Q$2:$Q$501,$V182)&amp;"")</f>
        <v/>
      </c>
      <c r="L182">
        <f>IF($V182="","",Settings!$C$7)</f>
        <v/>
      </c>
      <c r="M182" s="7">
        <f>IF($V182="","",SUMIFS('Per Line'!$L$2:$L$501,'Per Line'!$B$2:$B$501,$B182,'Per Line'!$Y$2:$Y$501,0))</f>
        <v/>
      </c>
      <c r="N182" s="7">
        <f>IF($V182="","",M182*L182)</f>
        <v/>
      </c>
      <c r="O182">
        <f>IF($V182="","",Settings!$C$6)</f>
        <v/>
      </c>
      <c r="P182" s="7">
        <f>IF($V182="","",SUMIFS('Per Line'!$L$2:$L$501,'Per Line'!$B$2:$B$501,$B182,'Per Line'!$Y$2:$Y$501,1))</f>
        <v/>
      </c>
      <c r="Q182" s="7">
        <f>IF($V182="","",P182*O182)</f>
        <v/>
      </c>
      <c r="R182" s="7">
        <f>IF($V182="","",Q182+N182)</f>
        <v/>
      </c>
      <c r="S182" s="7">
        <f>IF($V182="","",T182-R182)</f>
        <v/>
      </c>
      <c r="T182" s="7">
        <f>IF($V182="","",M182+P182)</f>
        <v/>
      </c>
      <c r="U182" s="7">
        <f>IF($V182="","",T182-R182-H182)</f>
        <v/>
      </c>
      <c r="V182" s="13">
        <f>IF(ROWS($V$2:$V182)&lt;=MAX('Per Line'!$X$2:$X$501),MATCH(ROWS($V$2:$V182),'Per Line'!$X$2:$X$501,0),"")</f>
        <v/>
      </c>
    </row>
    <row r="183">
      <c r="A183" s="12" t="n"/>
      <c r="B183">
        <f>IF($V183="","",INDEX('Per Line'!$B$2:$B$501,$V183)&amp;"")</f>
        <v/>
      </c>
      <c r="C183" s="12" t="n"/>
      <c r="D183">
        <f>IF($V183="","",INDEX('Per Line'!$C$2:$C$501,$V183)&amp;"")</f>
        <v/>
      </c>
      <c r="E183">
        <f>IF($V183="","",INDEX('Per Line'!$D$2:$D$501,$V183)&amp;"")</f>
        <v/>
      </c>
      <c r="F183">
        <f>IF($V183="","",INDEX('Per Line'!$E$2:$E$501,$V183)&amp;"")</f>
        <v/>
      </c>
      <c r="G183">
        <f>IF($V183="","",INDEX('Per Line'!$F$2:$F$501,$V183))</f>
        <v/>
      </c>
      <c r="H183" s="7">
        <f>IF($V183="","",G183*T183/100)</f>
        <v/>
      </c>
      <c r="I183">
        <f>IF($V183="","",INDEX('Per Line'!$M$2:$M$501,$V183)&amp;"")</f>
        <v/>
      </c>
      <c r="J183">
        <f>IF($V183="","",INDEX('Per Line'!$O$2:$O$501,$V183)&amp;"")</f>
        <v/>
      </c>
      <c r="K183">
        <f>IF($V183="","",INDEX('Per Line'!$Q$2:$Q$501,$V183)&amp;"")</f>
        <v/>
      </c>
      <c r="L183">
        <f>IF($V183="","",Settings!$C$7)</f>
        <v/>
      </c>
      <c r="M183" s="7">
        <f>IF($V183="","",SUMIFS('Per Line'!$L$2:$L$501,'Per Line'!$B$2:$B$501,$B183,'Per Line'!$Y$2:$Y$501,0))</f>
        <v/>
      </c>
      <c r="N183" s="7">
        <f>IF($V183="","",M183*L183)</f>
        <v/>
      </c>
      <c r="O183">
        <f>IF($V183="","",Settings!$C$6)</f>
        <v/>
      </c>
      <c r="P183" s="7">
        <f>IF($V183="","",SUMIFS('Per Line'!$L$2:$L$501,'Per Line'!$B$2:$B$501,$B183,'Per Line'!$Y$2:$Y$501,1))</f>
        <v/>
      </c>
      <c r="Q183" s="7">
        <f>IF($V183="","",P183*O183)</f>
        <v/>
      </c>
      <c r="R183" s="7">
        <f>IF($V183="","",Q183+N183)</f>
        <v/>
      </c>
      <c r="S183" s="7">
        <f>IF($V183="","",T183-R183)</f>
        <v/>
      </c>
      <c r="T183" s="7">
        <f>IF($V183="","",M183+P183)</f>
        <v/>
      </c>
      <c r="U183" s="7">
        <f>IF($V183="","",T183-R183-H183)</f>
        <v/>
      </c>
      <c r="V183" s="13">
        <f>IF(ROWS($V$2:$V183)&lt;=MAX('Per Line'!$X$2:$X$501),MATCH(ROWS($V$2:$V183),'Per Line'!$X$2:$X$501,0),"")</f>
        <v/>
      </c>
    </row>
    <row r="184">
      <c r="A184" s="12" t="n"/>
      <c r="B184">
        <f>IF($V184="","",INDEX('Per Line'!$B$2:$B$501,$V184)&amp;"")</f>
        <v/>
      </c>
      <c r="C184" s="12" t="n"/>
      <c r="D184">
        <f>IF($V184="","",INDEX('Per Line'!$C$2:$C$501,$V184)&amp;"")</f>
        <v/>
      </c>
      <c r="E184">
        <f>IF($V184="","",INDEX('Per Line'!$D$2:$D$501,$V184)&amp;"")</f>
        <v/>
      </c>
      <c r="F184">
        <f>IF($V184="","",INDEX('Per Line'!$E$2:$E$501,$V184)&amp;"")</f>
        <v/>
      </c>
      <c r="G184">
        <f>IF($V184="","",INDEX('Per Line'!$F$2:$F$501,$V184))</f>
        <v/>
      </c>
      <c r="H184" s="7">
        <f>IF($V184="","",G184*T184/100)</f>
        <v/>
      </c>
      <c r="I184">
        <f>IF($V184="","",INDEX('Per Line'!$M$2:$M$501,$V184)&amp;"")</f>
        <v/>
      </c>
      <c r="J184">
        <f>IF($V184="","",INDEX('Per Line'!$O$2:$O$501,$V184)&amp;"")</f>
        <v/>
      </c>
      <c r="K184">
        <f>IF($V184="","",INDEX('Per Line'!$Q$2:$Q$501,$V184)&amp;"")</f>
        <v/>
      </c>
      <c r="L184">
        <f>IF($V184="","",Settings!$C$7)</f>
        <v/>
      </c>
      <c r="M184" s="7">
        <f>IF($V184="","",SUMIFS('Per Line'!$L$2:$L$501,'Per Line'!$B$2:$B$501,$B184,'Per Line'!$Y$2:$Y$501,0))</f>
        <v/>
      </c>
      <c r="N184" s="7">
        <f>IF($V184="","",M184*L184)</f>
        <v/>
      </c>
      <c r="O184">
        <f>IF($V184="","",Settings!$C$6)</f>
        <v/>
      </c>
      <c r="P184" s="7">
        <f>IF($V184="","",SUMIFS('Per Line'!$L$2:$L$501,'Per Line'!$B$2:$B$501,$B184,'Per Line'!$Y$2:$Y$501,1))</f>
        <v/>
      </c>
      <c r="Q184" s="7">
        <f>IF($V184="","",P184*O184)</f>
        <v/>
      </c>
      <c r="R184" s="7">
        <f>IF($V184="","",Q184+N184)</f>
        <v/>
      </c>
      <c r="S184" s="7">
        <f>IF($V184="","",T184-R184)</f>
        <v/>
      </c>
      <c r="T184" s="7">
        <f>IF($V184="","",M184+P184)</f>
        <v/>
      </c>
      <c r="U184" s="7">
        <f>IF($V184="","",T184-R184-H184)</f>
        <v/>
      </c>
      <c r="V184" s="13">
        <f>IF(ROWS($V$2:$V184)&lt;=MAX('Per Line'!$X$2:$X$501),MATCH(ROWS($V$2:$V184),'Per Line'!$X$2:$X$501,0),"")</f>
        <v/>
      </c>
    </row>
    <row r="185">
      <c r="A185" s="12" t="n"/>
      <c r="B185">
        <f>IF($V185="","",INDEX('Per Line'!$B$2:$B$501,$V185)&amp;"")</f>
        <v/>
      </c>
      <c r="C185" s="12" t="n"/>
      <c r="D185">
        <f>IF($V185="","",INDEX('Per Line'!$C$2:$C$501,$V185)&amp;"")</f>
        <v/>
      </c>
      <c r="E185">
        <f>IF($V185="","",INDEX('Per Line'!$D$2:$D$501,$V185)&amp;"")</f>
        <v/>
      </c>
      <c r="F185">
        <f>IF($V185="","",INDEX('Per Line'!$E$2:$E$501,$V185)&amp;"")</f>
        <v/>
      </c>
      <c r="G185">
        <f>IF($V185="","",INDEX('Per Line'!$F$2:$F$501,$V185))</f>
        <v/>
      </c>
      <c r="H185" s="7">
        <f>IF($V185="","",G185*T185/100)</f>
        <v/>
      </c>
      <c r="I185">
        <f>IF($V185="","",INDEX('Per Line'!$M$2:$M$501,$V185)&amp;"")</f>
        <v/>
      </c>
      <c r="J185">
        <f>IF($V185="","",INDEX('Per Line'!$O$2:$O$501,$V185)&amp;"")</f>
        <v/>
      </c>
      <c r="K185">
        <f>IF($V185="","",INDEX('Per Line'!$Q$2:$Q$501,$V185)&amp;"")</f>
        <v/>
      </c>
      <c r="L185">
        <f>IF($V185="","",Settings!$C$7)</f>
        <v/>
      </c>
      <c r="M185" s="7">
        <f>IF($V185="","",SUMIFS('Per Line'!$L$2:$L$501,'Per Line'!$B$2:$B$501,$B185,'Per Line'!$Y$2:$Y$501,0))</f>
        <v/>
      </c>
      <c r="N185" s="7">
        <f>IF($V185="","",M185*L185)</f>
        <v/>
      </c>
      <c r="O185">
        <f>IF($V185="","",Settings!$C$6)</f>
        <v/>
      </c>
      <c r="P185" s="7">
        <f>IF($V185="","",SUMIFS('Per Line'!$L$2:$L$501,'Per Line'!$B$2:$B$501,$B185,'Per Line'!$Y$2:$Y$501,1))</f>
        <v/>
      </c>
      <c r="Q185" s="7">
        <f>IF($V185="","",P185*O185)</f>
        <v/>
      </c>
      <c r="R185" s="7">
        <f>IF($V185="","",Q185+N185)</f>
        <v/>
      </c>
      <c r="S185" s="7">
        <f>IF($V185="","",T185-R185)</f>
        <v/>
      </c>
      <c r="T185" s="7">
        <f>IF($V185="","",M185+P185)</f>
        <v/>
      </c>
      <c r="U185" s="7">
        <f>IF($V185="","",T185-R185-H185)</f>
        <v/>
      </c>
      <c r="V185" s="13">
        <f>IF(ROWS($V$2:$V185)&lt;=MAX('Per Line'!$X$2:$X$501),MATCH(ROWS($V$2:$V185),'Per Line'!$X$2:$X$501,0),"")</f>
        <v/>
      </c>
    </row>
    <row r="186">
      <c r="A186" s="12" t="n"/>
      <c r="B186">
        <f>IF($V186="","",INDEX('Per Line'!$B$2:$B$501,$V186)&amp;"")</f>
        <v/>
      </c>
      <c r="C186" s="12" t="n"/>
      <c r="D186">
        <f>IF($V186="","",INDEX('Per Line'!$C$2:$C$501,$V186)&amp;"")</f>
        <v/>
      </c>
      <c r="E186">
        <f>IF($V186="","",INDEX('Per Line'!$D$2:$D$501,$V186)&amp;"")</f>
        <v/>
      </c>
      <c r="F186">
        <f>IF($V186="","",INDEX('Per Line'!$E$2:$E$501,$V186)&amp;"")</f>
        <v/>
      </c>
      <c r="G186">
        <f>IF($V186="","",INDEX('Per Line'!$F$2:$F$501,$V186))</f>
        <v/>
      </c>
      <c r="H186" s="7">
        <f>IF($V186="","",G186*T186/100)</f>
        <v/>
      </c>
      <c r="I186">
        <f>IF($V186="","",INDEX('Per Line'!$M$2:$M$501,$V186)&amp;"")</f>
        <v/>
      </c>
      <c r="J186">
        <f>IF($V186="","",INDEX('Per Line'!$O$2:$O$501,$V186)&amp;"")</f>
        <v/>
      </c>
      <c r="K186">
        <f>IF($V186="","",INDEX('Per Line'!$Q$2:$Q$501,$V186)&amp;"")</f>
        <v/>
      </c>
      <c r="L186">
        <f>IF($V186="","",Settings!$C$7)</f>
        <v/>
      </c>
      <c r="M186" s="7">
        <f>IF($V186="","",SUMIFS('Per Line'!$L$2:$L$501,'Per Line'!$B$2:$B$501,$B186,'Per Line'!$Y$2:$Y$501,0))</f>
        <v/>
      </c>
      <c r="N186" s="7">
        <f>IF($V186="","",M186*L186)</f>
        <v/>
      </c>
      <c r="O186">
        <f>IF($V186="","",Settings!$C$6)</f>
        <v/>
      </c>
      <c r="P186" s="7">
        <f>IF($V186="","",SUMIFS('Per Line'!$L$2:$L$501,'Per Line'!$B$2:$B$501,$B186,'Per Line'!$Y$2:$Y$501,1))</f>
        <v/>
      </c>
      <c r="Q186" s="7">
        <f>IF($V186="","",P186*O186)</f>
        <v/>
      </c>
      <c r="R186" s="7">
        <f>IF($V186="","",Q186+N186)</f>
        <v/>
      </c>
      <c r="S186" s="7">
        <f>IF($V186="","",T186-R186)</f>
        <v/>
      </c>
      <c r="T186" s="7">
        <f>IF($V186="","",M186+P186)</f>
        <v/>
      </c>
      <c r="U186" s="7">
        <f>IF($V186="","",T186-R186-H186)</f>
        <v/>
      </c>
      <c r="V186" s="13">
        <f>IF(ROWS($V$2:$V186)&lt;=MAX('Per Line'!$X$2:$X$501),MATCH(ROWS($V$2:$V186),'Per Line'!$X$2:$X$501,0),"")</f>
        <v/>
      </c>
    </row>
    <row r="187">
      <c r="A187" s="12" t="n"/>
      <c r="B187">
        <f>IF($V187="","",INDEX('Per Line'!$B$2:$B$501,$V187)&amp;"")</f>
        <v/>
      </c>
      <c r="C187" s="12" t="n"/>
      <c r="D187">
        <f>IF($V187="","",INDEX('Per Line'!$C$2:$C$501,$V187)&amp;"")</f>
        <v/>
      </c>
      <c r="E187">
        <f>IF($V187="","",INDEX('Per Line'!$D$2:$D$501,$V187)&amp;"")</f>
        <v/>
      </c>
      <c r="F187">
        <f>IF($V187="","",INDEX('Per Line'!$E$2:$E$501,$V187)&amp;"")</f>
        <v/>
      </c>
      <c r="G187">
        <f>IF($V187="","",INDEX('Per Line'!$F$2:$F$501,$V187))</f>
        <v/>
      </c>
      <c r="H187" s="7">
        <f>IF($V187="","",G187*T187/100)</f>
        <v/>
      </c>
      <c r="I187">
        <f>IF($V187="","",INDEX('Per Line'!$M$2:$M$501,$V187)&amp;"")</f>
        <v/>
      </c>
      <c r="J187">
        <f>IF($V187="","",INDEX('Per Line'!$O$2:$O$501,$V187)&amp;"")</f>
        <v/>
      </c>
      <c r="K187">
        <f>IF($V187="","",INDEX('Per Line'!$Q$2:$Q$501,$V187)&amp;"")</f>
        <v/>
      </c>
      <c r="L187">
        <f>IF($V187="","",Settings!$C$7)</f>
        <v/>
      </c>
      <c r="M187" s="7">
        <f>IF($V187="","",SUMIFS('Per Line'!$L$2:$L$501,'Per Line'!$B$2:$B$501,$B187,'Per Line'!$Y$2:$Y$501,0))</f>
        <v/>
      </c>
      <c r="N187" s="7">
        <f>IF($V187="","",M187*L187)</f>
        <v/>
      </c>
      <c r="O187">
        <f>IF($V187="","",Settings!$C$6)</f>
        <v/>
      </c>
      <c r="P187" s="7">
        <f>IF($V187="","",SUMIFS('Per Line'!$L$2:$L$501,'Per Line'!$B$2:$B$501,$B187,'Per Line'!$Y$2:$Y$501,1))</f>
        <v/>
      </c>
      <c r="Q187" s="7">
        <f>IF($V187="","",P187*O187)</f>
        <v/>
      </c>
      <c r="R187" s="7">
        <f>IF($V187="","",Q187+N187)</f>
        <v/>
      </c>
      <c r="S187" s="7">
        <f>IF($V187="","",T187-R187)</f>
        <v/>
      </c>
      <c r="T187" s="7">
        <f>IF($V187="","",M187+P187)</f>
        <v/>
      </c>
      <c r="U187" s="7">
        <f>IF($V187="","",T187-R187-H187)</f>
        <v/>
      </c>
      <c r="V187" s="13">
        <f>IF(ROWS($V$2:$V187)&lt;=MAX('Per Line'!$X$2:$X$501),MATCH(ROWS($V$2:$V187),'Per Line'!$X$2:$X$501,0),"")</f>
        <v/>
      </c>
    </row>
    <row r="188">
      <c r="A188" s="12" t="n"/>
      <c r="B188">
        <f>IF($V188="","",INDEX('Per Line'!$B$2:$B$501,$V188)&amp;"")</f>
        <v/>
      </c>
      <c r="C188" s="12" t="n"/>
      <c r="D188">
        <f>IF($V188="","",INDEX('Per Line'!$C$2:$C$501,$V188)&amp;"")</f>
        <v/>
      </c>
      <c r="E188">
        <f>IF($V188="","",INDEX('Per Line'!$D$2:$D$501,$V188)&amp;"")</f>
        <v/>
      </c>
      <c r="F188">
        <f>IF($V188="","",INDEX('Per Line'!$E$2:$E$501,$V188)&amp;"")</f>
        <v/>
      </c>
      <c r="G188">
        <f>IF($V188="","",INDEX('Per Line'!$F$2:$F$501,$V188))</f>
        <v/>
      </c>
      <c r="H188" s="7">
        <f>IF($V188="","",G188*T188/100)</f>
        <v/>
      </c>
      <c r="I188">
        <f>IF($V188="","",INDEX('Per Line'!$M$2:$M$501,$V188)&amp;"")</f>
        <v/>
      </c>
      <c r="J188">
        <f>IF($V188="","",INDEX('Per Line'!$O$2:$O$501,$V188)&amp;"")</f>
        <v/>
      </c>
      <c r="K188">
        <f>IF($V188="","",INDEX('Per Line'!$Q$2:$Q$501,$V188)&amp;"")</f>
        <v/>
      </c>
      <c r="L188">
        <f>IF($V188="","",Settings!$C$7)</f>
        <v/>
      </c>
      <c r="M188" s="7">
        <f>IF($V188="","",SUMIFS('Per Line'!$L$2:$L$501,'Per Line'!$B$2:$B$501,$B188,'Per Line'!$Y$2:$Y$501,0))</f>
        <v/>
      </c>
      <c r="N188" s="7">
        <f>IF($V188="","",M188*L188)</f>
        <v/>
      </c>
      <c r="O188">
        <f>IF($V188="","",Settings!$C$6)</f>
        <v/>
      </c>
      <c r="P188" s="7">
        <f>IF($V188="","",SUMIFS('Per Line'!$L$2:$L$501,'Per Line'!$B$2:$B$501,$B188,'Per Line'!$Y$2:$Y$501,1))</f>
        <v/>
      </c>
      <c r="Q188" s="7">
        <f>IF($V188="","",P188*O188)</f>
        <v/>
      </c>
      <c r="R188" s="7">
        <f>IF($V188="","",Q188+N188)</f>
        <v/>
      </c>
      <c r="S188" s="7">
        <f>IF($V188="","",T188-R188)</f>
        <v/>
      </c>
      <c r="T188" s="7">
        <f>IF($V188="","",M188+P188)</f>
        <v/>
      </c>
      <c r="U188" s="7">
        <f>IF($V188="","",T188-R188-H188)</f>
        <v/>
      </c>
      <c r="V188" s="13">
        <f>IF(ROWS($V$2:$V188)&lt;=MAX('Per Line'!$X$2:$X$501),MATCH(ROWS($V$2:$V188),'Per Line'!$X$2:$X$501,0),"")</f>
        <v/>
      </c>
    </row>
    <row r="189">
      <c r="A189" s="12" t="n"/>
      <c r="B189">
        <f>IF($V189="","",INDEX('Per Line'!$B$2:$B$501,$V189)&amp;"")</f>
        <v/>
      </c>
      <c r="C189" s="12" t="n"/>
      <c r="D189">
        <f>IF($V189="","",INDEX('Per Line'!$C$2:$C$501,$V189)&amp;"")</f>
        <v/>
      </c>
      <c r="E189">
        <f>IF($V189="","",INDEX('Per Line'!$D$2:$D$501,$V189)&amp;"")</f>
        <v/>
      </c>
      <c r="F189">
        <f>IF($V189="","",INDEX('Per Line'!$E$2:$E$501,$V189)&amp;"")</f>
        <v/>
      </c>
      <c r="G189">
        <f>IF($V189="","",INDEX('Per Line'!$F$2:$F$501,$V189))</f>
        <v/>
      </c>
      <c r="H189" s="7">
        <f>IF($V189="","",G189*T189/100)</f>
        <v/>
      </c>
      <c r="I189">
        <f>IF($V189="","",INDEX('Per Line'!$M$2:$M$501,$V189)&amp;"")</f>
        <v/>
      </c>
      <c r="J189">
        <f>IF($V189="","",INDEX('Per Line'!$O$2:$O$501,$V189)&amp;"")</f>
        <v/>
      </c>
      <c r="K189">
        <f>IF($V189="","",INDEX('Per Line'!$Q$2:$Q$501,$V189)&amp;"")</f>
        <v/>
      </c>
      <c r="L189">
        <f>IF($V189="","",Settings!$C$7)</f>
        <v/>
      </c>
      <c r="M189" s="7">
        <f>IF($V189="","",SUMIFS('Per Line'!$L$2:$L$501,'Per Line'!$B$2:$B$501,$B189,'Per Line'!$Y$2:$Y$501,0))</f>
        <v/>
      </c>
      <c r="N189" s="7">
        <f>IF($V189="","",M189*L189)</f>
        <v/>
      </c>
      <c r="O189">
        <f>IF($V189="","",Settings!$C$6)</f>
        <v/>
      </c>
      <c r="P189" s="7">
        <f>IF($V189="","",SUMIFS('Per Line'!$L$2:$L$501,'Per Line'!$B$2:$B$501,$B189,'Per Line'!$Y$2:$Y$501,1))</f>
        <v/>
      </c>
      <c r="Q189" s="7">
        <f>IF($V189="","",P189*O189)</f>
        <v/>
      </c>
      <c r="R189" s="7">
        <f>IF($V189="","",Q189+N189)</f>
        <v/>
      </c>
      <c r="S189" s="7">
        <f>IF($V189="","",T189-R189)</f>
        <v/>
      </c>
      <c r="T189" s="7">
        <f>IF($V189="","",M189+P189)</f>
        <v/>
      </c>
      <c r="U189" s="7">
        <f>IF($V189="","",T189-R189-H189)</f>
        <v/>
      </c>
      <c r="V189" s="13">
        <f>IF(ROWS($V$2:$V189)&lt;=MAX('Per Line'!$X$2:$X$501),MATCH(ROWS($V$2:$V189),'Per Line'!$X$2:$X$501,0),"")</f>
        <v/>
      </c>
    </row>
    <row r="190">
      <c r="A190" s="12" t="n"/>
      <c r="B190">
        <f>IF($V190="","",INDEX('Per Line'!$B$2:$B$501,$V190)&amp;"")</f>
        <v/>
      </c>
      <c r="C190" s="12" t="n"/>
      <c r="D190">
        <f>IF($V190="","",INDEX('Per Line'!$C$2:$C$501,$V190)&amp;"")</f>
        <v/>
      </c>
      <c r="E190">
        <f>IF($V190="","",INDEX('Per Line'!$D$2:$D$501,$V190)&amp;"")</f>
        <v/>
      </c>
      <c r="F190">
        <f>IF($V190="","",INDEX('Per Line'!$E$2:$E$501,$V190)&amp;"")</f>
        <v/>
      </c>
      <c r="G190">
        <f>IF($V190="","",INDEX('Per Line'!$F$2:$F$501,$V190))</f>
        <v/>
      </c>
      <c r="H190" s="7">
        <f>IF($V190="","",G190*T190/100)</f>
        <v/>
      </c>
      <c r="I190">
        <f>IF($V190="","",INDEX('Per Line'!$M$2:$M$501,$V190)&amp;"")</f>
        <v/>
      </c>
      <c r="J190">
        <f>IF($V190="","",INDEX('Per Line'!$O$2:$O$501,$V190)&amp;"")</f>
        <v/>
      </c>
      <c r="K190">
        <f>IF($V190="","",INDEX('Per Line'!$Q$2:$Q$501,$V190)&amp;"")</f>
        <v/>
      </c>
      <c r="L190">
        <f>IF($V190="","",Settings!$C$7)</f>
        <v/>
      </c>
      <c r="M190" s="7">
        <f>IF($V190="","",SUMIFS('Per Line'!$L$2:$L$501,'Per Line'!$B$2:$B$501,$B190,'Per Line'!$Y$2:$Y$501,0))</f>
        <v/>
      </c>
      <c r="N190" s="7">
        <f>IF($V190="","",M190*L190)</f>
        <v/>
      </c>
      <c r="O190">
        <f>IF($V190="","",Settings!$C$6)</f>
        <v/>
      </c>
      <c r="P190" s="7">
        <f>IF($V190="","",SUMIFS('Per Line'!$L$2:$L$501,'Per Line'!$B$2:$B$501,$B190,'Per Line'!$Y$2:$Y$501,1))</f>
        <v/>
      </c>
      <c r="Q190" s="7">
        <f>IF($V190="","",P190*O190)</f>
        <v/>
      </c>
      <c r="R190" s="7">
        <f>IF($V190="","",Q190+N190)</f>
        <v/>
      </c>
      <c r="S190" s="7">
        <f>IF($V190="","",T190-R190)</f>
        <v/>
      </c>
      <c r="T190" s="7">
        <f>IF($V190="","",M190+P190)</f>
        <v/>
      </c>
      <c r="U190" s="7">
        <f>IF($V190="","",T190-R190-H190)</f>
        <v/>
      </c>
      <c r="V190" s="13">
        <f>IF(ROWS($V$2:$V190)&lt;=MAX('Per Line'!$X$2:$X$501),MATCH(ROWS($V$2:$V190),'Per Line'!$X$2:$X$501,0),"")</f>
        <v/>
      </c>
    </row>
    <row r="191">
      <c r="A191" s="12" t="n"/>
      <c r="B191">
        <f>IF($V191="","",INDEX('Per Line'!$B$2:$B$501,$V191)&amp;"")</f>
        <v/>
      </c>
      <c r="C191" s="12" t="n"/>
      <c r="D191">
        <f>IF($V191="","",INDEX('Per Line'!$C$2:$C$501,$V191)&amp;"")</f>
        <v/>
      </c>
      <c r="E191">
        <f>IF($V191="","",INDEX('Per Line'!$D$2:$D$501,$V191)&amp;"")</f>
        <v/>
      </c>
      <c r="F191">
        <f>IF($V191="","",INDEX('Per Line'!$E$2:$E$501,$V191)&amp;"")</f>
        <v/>
      </c>
      <c r="G191">
        <f>IF($V191="","",INDEX('Per Line'!$F$2:$F$501,$V191))</f>
        <v/>
      </c>
      <c r="H191" s="7">
        <f>IF($V191="","",G191*T191/100)</f>
        <v/>
      </c>
      <c r="I191">
        <f>IF($V191="","",INDEX('Per Line'!$M$2:$M$501,$V191)&amp;"")</f>
        <v/>
      </c>
      <c r="J191">
        <f>IF($V191="","",INDEX('Per Line'!$O$2:$O$501,$V191)&amp;"")</f>
        <v/>
      </c>
      <c r="K191">
        <f>IF($V191="","",INDEX('Per Line'!$Q$2:$Q$501,$V191)&amp;"")</f>
        <v/>
      </c>
      <c r="L191">
        <f>IF($V191="","",Settings!$C$7)</f>
        <v/>
      </c>
      <c r="M191" s="7">
        <f>IF($V191="","",SUMIFS('Per Line'!$L$2:$L$501,'Per Line'!$B$2:$B$501,$B191,'Per Line'!$Y$2:$Y$501,0))</f>
        <v/>
      </c>
      <c r="N191" s="7">
        <f>IF($V191="","",M191*L191)</f>
        <v/>
      </c>
      <c r="O191">
        <f>IF($V191="","",Settings!$C$6)</f>
        <v/>
      </c>
      <c r="P191" s="7">
        <f>IF($V191="","",SUMIFS('Per Line'!$L$2:$L$501,'Per Line'!$B$2:$B$501,$B191,'Per Line'!$Y$2:$Y$501,1))</f>
        <v/>
      </c>
      <c r="Q191" s="7">
        <f>IF($V191="","",P191*O191)</f>
        <v/>
      </c>
      <c r="R191" s="7">
        <f>IF($V191="","",Q191+N191)</f>
        <v/>
      </c>
      <c r="S191" s="7">
        <f>IF($V191="","",T191-R191)</f>
        <v/>
      </c>
      <c r="T191" s="7">
        <f>IF($V191="","",M191+P191)</f>
        <v/>
      </c>
      <c r="U191" s="7">
        <f>IF($V191="","",T191-R191-H191)</f>
        <v/>
      </c>
      <c r="V191" s="13">
        <f>IF(ROWS($V$2:$V191)&lt;=MAX('Per Line'!$X$2:$X$501),MATCH(ROWS($V$2:$V191),'Per Line'!$X$2:$X$501,0),"")</f>
        <v/>
      </c>
    </row>
    <row r="192">
      <c r="A192" s="12" t="n"/>
      <c r="B192">
        <f>IF($V192="","",INDEX('Per Line'!$B$2:$B$501,$V192)&amp;"")</f>
        <v/>
      </c>
      <c r="C192" s="12" t="n"/>
      <c r="D192">
        <f>IF($V192="","",INDEX('Per Line'!$C$2:$C$501,$V192)&amp;"")</f>
        <v/>
      </c>
      <c r="E192">
        <f>IF($V192="","",INDEX('Per Line'!$D$2:$D$501,$V192)&amp;"")</f>
        <v/>
      </c>
      <c r="F192">
        <f>IF($V192="","",INDEX('Per Line'!$E$2:$E$501,$V192)&amp;"")</f>
        <v/>
      </c>
      <c r="G192">
        <f>IF($V192="","",INDEX('Per Line'!$F$2:$F$501,$V192))</f>
        <v/>
      </c>
      <c r="H192" s="7">
        <f>IF($V192="","",G192*T192/100)</f>
        <v/>
      </c>
      <c r="I192">
        <f>IF($V192="","",INDEX('Per Line'!$M$2:$M$501,$V192)&amp;"")</f>
        <v/>
      </c>
      <c r="J192">
        <f>IF($V192="","",INDEX('Per Line'!$O$2:$O$501,$V192)&amp;"")</f>
        <v/>
      </c>
      <c r="K192">
        <f>IF($V192="","",INDEX('Per Line'!$Q$2:$Q$501,$V192)&amp;"")</f>
        <v/>
      </c>
      <c r="L192">
        <f>IF($V192="","",Settings!$C$7)</f>
        <v/>
      </c>
      <c r="M192" s="7">
        <f>IF($V192="","",SUMIFS('Per Line'!$L$2:$L$501,'Per Line'!$B$2:$B$501,$B192,'Per Line'!$Y$2:$Y$501,0))</f>
        <v/>
      </c>
      <c r="N192" s="7">
        <f>IF($V192="","",M192*L192)</f>
        <v/>
      </c>
      <c r="O192">
        <f>IF($V192="","",Settings!$C$6)</f>
        <v/>
      </c>
      <c r="P192" s="7">
        <f>IF($V192="","",SUMIFS('Per Line'!$L$2:$L$501,'Per Line'!$B$2:$B$501,$B192,'Per Line'!$Y$2:$Y$501,1))</f>
        <v/>
      </c>
      <c r="Q192" s="7">
        <f>IF($V192="","",P192*O192)</f>
        <v/>
      </c>
      <c r="R192" s="7">
        <f>IF($V192="","",Q192+N192)</f>
        <v/>
      </c>
      <c r="S192" s="7">
        <f>IF($V192="","",T192-R192)</f>
        <v/>
      </c>
      <c r="T192" s="7">
        <f>IF($V192="","",M192+P192)</f>
        <v/>
      </c>
      <c r="U192" s="7">
        <f>IF($V192="","",T192-R192-H192)</f>
        <v/>
      </c>
      <c r="V192" s="13">
        <f>IF(ROWS($V$2:$V192)&lt;=MAX('Per Line'!$X$2:$X$501),MATCH(ROWS($V$2:$V192),'Per Line'!$X$2:$X$501,0),"")</f>
        <v/>
      </c>
    </row>
    <row r="193">
      <c r="A193" s="12" t="n"/>
      <c r="B193">
        <f>IF($V193="","",INDEX('Per Line'!$B$2:$B$501,$V193)&amp;"")</f>
        <v/>
      </c>
      <c r="C193" s="12" t="n"/>
      <c r="D193">
        <f>IF($V193="","",INDEX('Per Line'!$C$2:$C$501,$V193)&amp;"")</f>
        <v/>
      </c>
      <c r="E193">
        <f>IF($V193="","",INDEX('Per Line'!$D$2:$D$501,$V193)&amp;"")</f>
        <v/>
      </c>
      <c r="F193">
        <f>IF($V193="","",INDEX('Per Line'!$E$2:$E$501,$V193)&amp;"")</f>
        <v/>
      </c>
      <c r="G193">
        <f>IF($V193="","",INDEX('Per Line'!$F$2:$F$501,$V193))</f>
        <v/>
      </c>
      <c r="H193" s="7">
        <f>IF($V193="","",G193*T193/100)</f>
        <v/>
      </c>
      <c r="I193">
        <f>IF($V193="","",INDEX('Per Line'!$M$2:$M$501,$V193)&amp;"")</f>
        <v/>
      </c>
      <c r="J193">
        <f>IF($V193="","",INDEX('Per Line'!$O$2:$O$501,$V193)&amp;"")</f>
        <v/>
      </c>
      <c r="K193">
        <f>IF($V193="","",INDEX('Per Line'!$Q$2:$Q$501,$V193)&amp;"")</f>
        <v/>
      </c>
      <c r="L193">
        <f>IF($V193="","",Settings!$C$7)</f>
        <v/>
      </c>
      <c r="M193" s="7">
        <f>IF($V193="","",SUMIFS('Per Line'!$L$2:$L$501,'Per Line'!$B$2:$B$501,$B193,'Per Line'!$Y$2:$Y$501,0))</f>
        <v/>
      </c>
      <c r="N193" s="7">
        <f>IF($V193="","",M193*L193)</f>
        <v/>
      </c>
      <c r="O193">
        <f>IF($V193="","",Settings!$C$6)</f>
        <v/>
      </c>
      <c r="P193" s="7">
        <f>IF($V193="","",SUMIFS('Per Line'!$L$2:$L$501,'Per Line'!$B$2:$B$501,$B193,'Per Line'!$Y$2:$Y$501,1))</f>
        <v/>
      </c>
      <c r="Q193" s="7">
        <f>IF($V193="","",P193*O193)</f>
        <v/>
      </c>
      <c r="R193" s="7">
        <f>IF($V193="","",Q193+N193)</f>
        <v/>
      </c>
      <c r="S193" s="7">
        <f>IF($V193="","",T193-R193)</f>
        <v/>
      </c>
      <c r="T193" s="7">
        <f>IF($V193="","",M193+P193)</f>
        <v/>
      </c>
      <c r="U193" s="7">
        <f>IF($V193="","",T193-R193-H193)</f>
        <v/>
      </c>
      <c r="V193" s="13">
        <f>IF(ROWS($V$2:$V193)&lt;=MAX('Per Line'!$X$2:$X$501),MATCH(ROWS($V$2:$V193),'Per Line'!$X$2:$X$501,0),"")</f>
        <v/>
      </c>
    </row>
    <row r="194">
      <c r="A194" s="12" t="n"/>
      <c r="B194">
        <f>IF($V194="","",INDEX('Per Line'!$B$2:$B$501,$V194)&amp;"")</f>
        <v/>
      </c>
      <c r="C194" s="12" t="n"/>
      <c r="D194">
        <f>IF($V194="","",INDEX('Per Line'!$C$2:$C$501,$V194)&amp;"")</f>
        <v/>
      </c>
      <c r="E194">
        <f>IF($V194="","",INDEX('Per Line'!$D$2:$D$501,$V194)&amp;"")</f>
        <v/>
      </c>
      <c r="F194">
        <f>IF($V194="","",INDEX('Per Line'!$E$2:$E$501,$V194)&amp;"")</f>
        <v/>
      </c>
      <c r="G194">
        <f>IF($V194="","",INDEX('Per Line'!$F$2:$F$501,$V194))</f>
        <v/>
      </c>
      <c r="H194" s="7">
        <f>IF($V194="","",G194*T194/100)</f>
        <v/>
      </c>
      <c r="I194">
        <f>IF($V194="","",INDEX('Per Line'!$M$2:$M$501,$V194)&amp;"")</f>
        <v/>
      </c>
      <c r="J194">
        <f>IF($V194="","",INDEX('Per Line'!$O$2:$O$501,$V194)&amp;"")</f>
        <v/>
      </c>
      <c r="K194">
        <f>IF($V194="","",INDEX('Per Line'!$Q$2:$Q$501,$V194)&amp;"")</f>
        <v/>
      </c>
      <c r="L194">
        <f>IF($V194="","",Settings!$C$7)</f>
        <v/>
      </c>
      <c r="M194" s="7">
        <f>IF($V194="","",SUMIFS('Per Line'!$L$2:$L$501,'Per Line'!$B$2:$B$501,$B194,'Per Line'!$Y$2:$Y$501,0))</f>
        <v/>
      </c>
      <c r="N194" s="7">
        <f>IF($V194="","",M194*L194)</f>
        <v/>
      </c>
      <c r="O194">
        <f>IF($V194="","",Settings!$C$6)</f>
        <v/>
      </c>
      <c r="P194" s="7">
        <f>IF($V194="","",SUMIFS('Per Line'!$L$2:$L$501,'Per Line'!$B$2:$B$501,$B194,'Per Line'!$Y$2:$Y$501,1))</f>
        <v/>
      </c>
      <c r="Q194" s="7">
        <f>IF($V194="","",P194*O194)</f>
        <v/>
      </c>
      <c r="R194" s="7">
        <f>IF($V194="","",Q194+N194)</f>
        <v/>
      </c>
      <c r="S194" s="7">
        <f>IF($V194="","",T194-R194)</f>
        <v/>
      </c>
      <c r="T194" s="7">
        <f>IF($V194="","",M194+P194)</f>
        <v/>
      </c>
      <c r="U194" s="7">
        <f>IF($V194="","",T194-R194-H194)</f>
        <v/>
      </c>
      <c r="V194" s="13">
        <f>IF(ROWS($V$2:$V194)&lt;=MAX('Per Line'!$X$2:$X$501),MATCH(ROWS($V$2:$V194),'Per Line'!$X$2:$X$501,0),"")</f>
        <v/>
      </c>
    </row>
    <row r="195">
      <c r="A195" s="12" t="n"/>
      <c r="B195">
        <f>IF($V195="","",INDEX('Per Line'!$B$2:$B$501,$V195)&amp;"")</f>
        <v/>
      </c>
      <c r="C195" s="12" t="n"/>
      <c r="D195">
        <f>IF($V195="","",INDEX('Per Line'!$C$2:$C$501,$V195)&amp;"")</f>
        <v/>
      </c>
      <c r="E195">
        <f>IF($V195="","",INDEX('Per Line'!$D$2:$D$501,$V195)&amp;"")</f>
        <v/>
      </c>
      <c r="F195">
        <f>IF($V195="","",INDEX('Per Line'!$E$2:$E$501,$V195)&amp;"")</f>
        <v/>
      </c>
      <c r="G195">
        <f>IF($V195="","",INDEX('Per Line'!$F$2:$F$501,$V195))</f>
        <v/>
      </c>
      <c r="H195" s="7">
        <f>IF($V195="","",G195*T195/100)</f>
        <v/>
      </c>
      <c r="I195">
        <f>IF($V195="","",INDEX('Per Line'!$M$2:$M$501,$V195)&amp;"")</f>
        <v/>
      </c>
      <c r="J195">
        <f>IF($V195="","",INDEX('Per Line'!$O$2:$O$501,$V195)&amp;"")</f>
        <v/>
      </c>
      <c r="K195">
        <f>IF($V195="","",INDEX('Per Line'!$Q$2:$Q$501,$V195)&amp;"")</f>
        <v/>
      </c>
      <c r="L195">
        <f>IF($V195="","",Settings!$C$7)</f>
        <v/>
      </c>
      <c r="M195" s="7">
        <f>IF($V195="","",SUMIFS('Per Line'!$L$2:$L$501,'Per Line'!$B$2:$B$501,$B195,'Per Line'!$Y$2:$Y$501,0))</f>
        <v/>
      </c>
      <c r="N195" s="7">
        <f>IF($V195="","",M195*L195)</f>
        <v/>
      </c>
      <c r="O195">
        <f>IF($V195="","",Settings!$C$6)</f>
        <v/>
      </c>
      <c r="P195" s="7">
        <f>IF($V195="","",SUMIFS('Per Line'!$L$2:$L$501,'Per Line'!$B$2:$B$501,$B195,'Per Line'!$Y$2:$Y$501,1))</f>
        <v/>
      </c>
      <c r="Q195" s="7">
        <f>IF($V195="","",P195*O195)</f>
        <v/>
      </c>
      <c r="R195" s="7">
        <f>IF($V195="","",Q195+N195)</f>
        <v/>
      </c>
      <c r="S195" s="7">
        <f>IF($V195="","",T195-R195)</f>
        <v/>
      </c>
      <c r="T195" s="7">
        <f>IF($V195="","",M195+P195)</f>
        <v/>
      </c>
      <c r="U195" s="7">
        <f>IF($V195="","",T195-R195-H195)</f>
        <v/>
      </c>
      <c r="V195" s="13">
        <f>IF(ROWS($V$2:$V195)&lt;=MAX('Per Line'!$X$2:$X$501),MATCH(ROWS($V$2:$V195),'Per Line'!$X$2:$X$501,0),"")</f>
        <v/>
      </c>
    </row>
    <row r="196">
      <c r="A196" s="12" t="n"/>
      <c r="B196">
        <f>IF($V196="","",INDEX('Per Line'!$B$2:$B$501,$V196)&amp;"")</f>
        <v/>
      </c>
      <c r="C196" s="12" t="n"/>
      <c r="D196">
        <f>IF($V196="","",INDEX('Per Line'!$C$2:$C$501,$V196)&amp;"")</f>
        <v/>
      </c>
      <c r="E196">
        <f>IF($V196="","",INDEX('Per Line'!$D$2:$D$501,$V196)&amp;"")</f>
        <v/>
      </c>
      <c r="F196">
        <f>IF($V196="","",INDEX('Per Line'!$E$2:$E$501,$V196)&amp;"")</f>
        <v/>
      </c>
      <c r="G196">
        <f>IF($V196="","",INDEX('Per Line'!$F$2:$F$501,$V196))</f>
        <v/>
      </c>
      <c r="H196" s="7">
        <f>IF($V196="","",G196*T196/100)</f>
        <v/>
      </c>
      <c r="I196">
        <f>IF($V196="","",INDEX('Per Line'!$M$2:$M$501,$V196)&amp;"")</f>
        <v/>
      </c>
      <c r="J196">
        <f>IF($V196="","",INDEX('Per Line'!$O$2:$O$501,$V196)&amp;"")</f>
        <v/>
      </c>
      <c r="K196">
        <f>IF($V196="","",INDEX('Per Line'!$Q$2:$Q$501,$V196)&amp;"")</f>
        <v/>
      </c>
      <c r="L196">
        <f>IF($V196="","",Settings!$C$7)</f>
        <v/>
      </c>
      <c r="M196" s="7">
        <f>IF($V196="","",SUMIFS('Per Line'!$L$2:$L$501,'Per Line'!$B$2:$B$501,$B196,'Per Line'!$Y$2:$Y$501,0))</f>
        <v/>
      </c>
      <c r="N196" s="7">
        <f>IF($V196="","",M196*L196)</f>
        <v/>
      </c>
      <c r="O196">
        <f>IF($V196="","",Settings!$C$6)</f>
        <v/>
      </c>
      <c r="P196" s="7">
        <f>IF($V196="","",SUMIFS('Per Line'!$L$2:$L$501,'Per Line'!$B$2:$B$501,$B196,'Per Line'!$Y$2:$Y$501,1))</f>
        <v/>
      </c>
      <c r="Q196" s="7">
        <f>IF($V196="","",P196*O196)</f>
        <v/>
      </c>
      <c r="R196" s="7">
        <f>IF($V196="","",Q196+N196)</f>
        <v/>
      </c>
      <c r="S196" s="7">
        <f>IF($V196="","",T196-R196)</f>
        <v/>
      </c>
      <c r="T196" s="7">
        <f>IF($V196="","",M196+P196)</f>
        <v/>
      </c>
      <c r="U196" s="7">
        <f>IF($V196="","",T196-R196-H196)</f>
        <v/>
      </c>
      <c r="V196" s="13">
        <f>IF(ROWS($V$2:$V196)&lt;=MAX('Per Line'!$X$2:$X$501),MATCH(ROWS($V$2:$V196),'Per Line'!$X$2:$X$501,0),"")</f>
        <v/>
      </c>
    </row>
    <row r="197">
      <c r="A197" s="12" t="n"/>
      <c r="B197">
        <f>IF($V197="","",INDEX('Per Line'!$B$2:$B$501,$V197)&amp;"")</f>
        <v/>
      </c>
      <c r="C197" s="12" t="n"/>
      <c r="D197">
        <f>IF($V197="","",INDEX('Per Line'!$C$2:$C$501,$V197)&amp;"")</f>
        <v/>
      </c>
      <c r="E197">
        <f>IF($V197="","",INDEX('Per Line'!$D$2:$D$501,$V197)&amp;"")</f>
        <v/>
      </c>
      <c r="F197">
        <f>IF($V197="","",INDEX('Per Line'!$E$2:$E$501,$V197)&amp;"")</f>
        <v/>
      </c>
      <c r="G197">
        <f>IF($V197="","",INDEX('Per Line'!$F$2:$F$501,$V197))</f>
        <v/>
      </c>
      <c r="H197" s="7">
        <f>IF($V197="","",G197*T197/100)</f>
        <v/>
      </c>
      <c r="I197">
        <f>IF($V197="","",INDEX('Per Line'!$M$2:$M$501,$V197)&amp;"")</f>
        <v/>
      </c>
      <c r="J197">
        <f>IF($V197="","",INDEX('Per Line'!$O$2:$O$501,$V197)&amp;"")</f>
        <v/>
      </c>
      <c r="K197">
        <f>IF($V197="","",INDEX('Per Line'!$Q$2:$Q$501,$V197)&amp;"")</f>
        <v/>
      </c>
      <c r="L197">
        <f>IF($V197="","",Settings!$C$7)</f>
        <v/>
      </c>
      <c r="M197" s="7">
        <f>IF($V197="","",SUMIFS('Per Line'!$L$2:$L$501,'Per Line'!$B$2:$B$501,$B197,'Per Line'!$Y$2:$Y$501,0))</f>
        <v/>
      </c>
      <c r="N197" s="7">
        <f>IF($V197="","",M197*L197)</f>
        <v/>
      </c>
      <c r="O197">
        <f>IF($V197="","",Settings!$C$6)</f>
        <v/>
      </c>
      <c r="P197" s="7">
        <f>IF($V197="","",SUMIFS('Per Line'!$L$2:$L$501,'Per Line'!$B$2:$B$501,$B197,'Per Line'!$Y$2:$Y$501,1))</f>
        <v/>
      </c>
      <c r="Q197" s="7">
        <f>IF($V197="","",P197*O197)</f>
        <v/>
      </c>
      <c r="R197" s="7">
        <f>IF($V197="","",Q197+N197)</f>
        <v/>
      </c>
      <c r="S197" s="7">
        <f>IF($V197="","",T197-R197)</f>
        <v/>
      </c>
      <c r="T197" s="7">
        <f>IF($V197="","",M197+P197)</f>
        <v/>
      </c>
      <c r="U197" s="7">
        <f>IF($V197="","",T197-R197-H197)</f>
        <v/>
      </c>
      <c r="V197" s="13">
        <f>IF(ROWS($V$2:$V197)&lt;=MAX('Per Line'!$X$2:$X$501),MATCH(ROWS($V$2:$V197),'Per Line'!$X$2:$X$501,0),"")</f>
        <v/>
      </c>
    </row>
    <row r="198">
      <c r="A198" s="12" t="n"/>
      <c r="B198">
        <f>IF($V198="","",INDEX('Per Line'!$B$2:$B$501,$V198)&amp;"")</f>
        <v/>
      </c>
      <c r="C198" s="12" t="n"/>
      <c r="D198">
        <f>IF($V198="","",INDEX('Per Line'!$C$2:$C$501,$V198)&amp;"")</f>
        <v/>
      </c>
      <c r="E198">
        <f>IF($V198="","",INDEX('Per Line'!$D$2:$D$501,$V198)&amp;"")</f>
        <v/>
      </c>
      <c r="F198">
        <f>IF($V198="","",INDEX('Per Line'!$E$2:$E$501,$V198)&amp;"")</f>
        <v/>
      </c>
      <c r="G198">
        <f>IF($V198="","",INDEX('Per Line'!$F$2:$F$501,$V198))</f>
        <v/>
      </c>
      <c r="H198" s="7">
        <f>IF($V198="","",G198*T198/100)</f>
        <v/>
      </c>
      <c r="I198">
        <f>IF($V198="","",INDEX('Per Line'!$M$2:$M$501,$V198)&amp;"")</f>
        <v/>
      </c>
      <c r="J198">
        <f>IF($V198="","",INDEX('Per Line'!$O$2:$O$501,$V198)&amp;"")</f>
        <v/>
      </c>
      <c r="K198">
        <f>IF($V198="","",INDEX('Per Line'!$Q$2:$Q$501,$V198)&amp;"")</f>
        <v/>
      </c>
      <c r="L198">
        <f>IF($V198="","",Settings!$C$7)</f>
        <v/>
      </c>
      <c r="M198" s="7">
        <f>IF($V198="","",SUMIFS('Per Line'!$L$2:$L$501,'Per Line'!$B$2:$B$501,$B198,'Per Line'!$Y$2:$Y$501,0))</f>
        <v/>
      </c>
      <c r="N198" s="7">
        <f>IF($V198="","",M198*L198)</f>
        <v/>
      </c>
      <c r="O198">
        <f>IF($V198="","",Settings!$C$6)</f>
        <v/>
      </c>
      <c r="P198" s="7">
        <f>IF($V198="","",SUMIFS('Per Line'!$L$2:$L$501,'Per Line'!$B$2:$B$501,$B198,'Per Line'!$Y$2:$Y$501,1))</f>
        <v/>
      </c>
      <c r="Q198" s="7">
        <f>IF($V198="","",P198*O198)</f>
        <v/>
      </c>
      <c r="R198" s="7">
        <f>IF($V198="","",Q198+N198)</f>
        <v/>
      </c>
      <c r="S198" s="7">
        <f>IF($V198="","",T198-R198)</f>
        <v/>
      </c>
      <c r="T198" s="7">
        <f>IF($V198="","",M198+P198)</f>
        <v/>
      </c>
      <c r="U198" s="7">
        <f>IF($V198="","",T198-R198-H198)</f>
        <v/>
      </c>
      <c r="V198" s="13">
        <f>IF(ROWS($V$2:$V198)&lt;=MAX('Per Line'!$X$2:$X$501),MATCH(ROWS($V$2:$V198),'Per Line'!$X$2:$X$501,0),"")</f>
        <v/>
      </c>
    </row>
    <row r="199">
      <c r="A199" s="12" t="n"/>
      <c r="B199">
        <f>IF($V199="","",INDEX('Per Line'!$B$2:$B$501,$V199)&amp;"")</f>
        <v/>
      </c>
      <c r="C199" s="12" t="n"/>
      <c r="D199">
        <f>IF($V199="","",INDEX('Per Line'!$C$2:$C$501,$V199)&amp;"")</f>
        <v/>
      </c>
      <c r="E199">
        <f>IF($V199="","",INDEX('Per Line'!$D$2:$D$501,$V199)&amp;"")</f>
        <v/>
      </c>
      <c r="F199">
        <f>IF($V199="","",INDEX('Per Line'!$E$2:$E$501,$V199)&amp;"")</f>
        <v/>
      </c>
      <c r="G199">
        <f>IF($V199="","",INDEX('Per Line'!$F$2:$F$501,$V199))</f>
        <v/>
      </c>
      <c r="H199" s="7">
        <f>IF($V199="","",G199*T199/100)</f>
        <v/>
      </c>
      <c r="I199">
        <f>IF($V199="","",INDEX('Per Line'!$M$2:$M$501,$V199)&amp;"")</f>
        <v/>
      </c>
      <c r="J199">
        <f>IF($V199="","",INDEX('Per Line'!$O$2:$O$501,$V199)&amp;"")</f>
        <v/>
      </c>
      <c r="K199">
        <f>IF($V199="","",INDEX('Per Line'!$Q$2:$Q$501,$V199)&amp;"")</f>
        <v/>
      </c>
      <c r="L199">
        <f>IF($V199="","",Settings!$C$7)</f>
        <v/>
      </c>
      <c r="M199" s="7">
        <f>IF($V199="","",SUMIFS('Per Line'!$L$2:$L$501,'Per Line'!$B$2:$B$501,$B199,'Per Line'!$Y$2:$Y$501,0))</f>
        <v/>
      </c>
      <c r="N199" s="7">
        <f>IF($V199="","",M199*L199)</f>
        <v/>
      </c>
      <c r="O199">
        <f>IF($V199="","",Settings!$C$6)</f>
        <v/>
      </c>
      <c r="P199" s="7">
        <f>IF($V199="","",SUMIFS('Per Line'!$L$2:$L$501,'Per Line'!$B$2:$B$501,$B199,'Per Line'!$Y$2:$Y$501,1))</f>
        <v/>
      </c>
      <c r="Q199" s="7">
        <f>IF($V199="","",P199*O199)</f>
        <v/>
      </c>
      <c r="R199" s="7">
        <f>IF($V199="","",Q199+N199)</f>
        <v/>
      </c>
      <c r="S199" s="7">
        <f>IF($V199="","",T199-R199)</f>
        <v/>
      </c>
      <c r="T199" s="7">
        <f>IF($V199="","",M199+P199)</f>
        <v/>
      </c>
      <c r="U199" s="7">
        <f>IF($V199="","",T199-R199-H199)</f>
        <v/>
      </c>
      <c r="V199" s="13">
        <f>IF(ROWS($V$2:$V199)&lt;=MAX('Per Line'!$X$2:$X$501),MATCH(ROWS($V$2:$V199),'Per Line'!$X$2:$X$501,0),"")</f>
        <v/>
      </c>
    </row>
    <row r="200">
      <c r="A200" s="12" t="n"/>
      <c r="B200">
        <f>IF($V200="","",INDEX('Per Line'!$B$2:$B$501,$V200)&amp;"")</f>
        <v/>
      </c>
      <c r="C200" s="12" t="n"/>
      <c r="D200">
        <f>IF($V200="","",INDEX('Per Line'!$C$2:$C$501,$V200)&amp;"")</f>
        <v/>
      </c>
      <c r="E200">
        <f>IF($V200="","",INDEX('Per Line'!$D$2:$D$501,$V200)&amp;"")</f>
        <v/>
      </c>
      <c r="F200">
        <f>IF($V200="","",INDEX('Per Line'!$E$2:$E$501,$V200)&amp;"")</f>
        <v/>
      </c>
      <c r="G200">
        <f>IF($V200="","",INDEX('Per Line'!$F$2:$F$501,$V200))</f>
        <v/>
      </c>
      <c r="H200" s="7">
        <f>IF($V200="","",G200*T200/100)</f>
        <v/>
      </c>
      <c r="I200">
        <f>IF($V200="","",INDEX('Per Line'!$M$2:$M$501,$V200)&amp;"")</f>
        <v/>
      </c>
      <c r="J200">
        <f>IF($V200="","",INDEX('Per Line'!$O$2:$O$501,$V200)&amp;"")</f>
        <v/>
      </c>
      <c r="K200">
        <f>IF($V200="","",INDEX('Per Line'!$Q$2:$Q$501,$V200)&amp;"")</f>
        <v/>
      </c>
      <c r="L200">
        <f>IF($V200="","",Settings!$C$7)</f>
        <v/>
      </c>
      <c r="M200" s="7">
        <f>IF($V200="","",SUMIFS('Per Line'!$L$2:$L$501,'Per Line'!$B$2:$B$501,$B200,'Per Line'!$Y$2:$Y$501,0))</f>
        <v/>
      </c>
      <c r="N200" s="7">
        <f>IF($V200="","",M200*L200)</f>
        <v/>
      </c>
      <c r="O200">
        <f>IF($V200="","",Settings!$C$6)</f>
        <v/>
      </c>
      <c r="P200" s="7">
        <f>IF($V200="","",SUMIFS('Per Line'!$L$2:$L$501,'Per Line'!$B$2:$B$501,$B200,'Per Line'!$Y$2:$Y$501,1))</f>
        <v/>
      </c>
      <c r="Q200" s="7">
        <f>IF($V200="","",P200*O200)</f>
        <v/>
      </c>
      <c r="R200" s="7">
        <f>IF($V200="","",Q200+N200)</f>
        <v/>
      </c>
      <c r="S200" s="7">
        <f>IF($V200="","",T200-R200)</f>
        <v/>
      </c>
      <c r="T200" s="7">
        <f>IF($V200="","",M200+P200)</f>
        <v/>
      </c>
      <c r="U200" s="7">
        <f>IF($V200="","",T200-R200-H200)</f>
        <v/>
      </c>
      <c r="V200" s="13">
        <f>IF(ROWS($V$2:$V200)&lt;=MAX('Per Line'!$X$2:$X$501),MATCH(ROWS($V$2:$V200),'Per Line'!$X$2:$X$501,0),"")</f>
        <v/>
      </c>
    </row>
    <row r="201">
      <c r="A201" s="12" t="n"/>
      <c r="B201">
        <f>IF($V201="","",INDEX('Per Line'!$B$2:$B$501,$V201)&amp;"")</f>
        <v/>
      </c>
      <c r="C201" s="12" t="n"/>
      <c r="D201">
        <f>IF($V201="","",INDEX('Per Line'!$C$2:$C$501,$V201)&amp;"")</f>
        <v/>
      </c>
      <c r="E201">
        <f>IF($V201="","",INDEX('Per Line'!$D$2:$D$501,$V201)&amp;"")</f>
        <v/>
      </c>
      <c r="F201">
        <f>IF($V201="","",INDEX('Per Line'!$E$2:$E$501,$V201)&amp;"")</f>
        <v/>
      </c>
      <c r="G201">
        <f>IF($V201="","",INDEX('Per Line'!$F$2:$F$501,$V201))</f>
        <v/>
      </c>
      <c r="H201" s="7">
        <f>IF($V201="","",G201*T201/100)</f>
        <v/>
      </c>
      <c r="I201">
        <f>IF($V201="","",INDEX('Per Line'!$M$2:$M$501,$V201)&amp;"")</f>
        <v/>
      </c>
      <c r="J201">
        <f>IF($V201="","",INDEX('Per Line'!$O$2:$O$501,$V201)&amp;"")</f>
        <v/>
      </c>
      <c r="K201">
        <f>IF($V201="","",INDEX('Per Line'!$Q$2:$Q$501,$V201)&amp;"")</f>
        <v/>
      </c>
      <c r="L201">
        <f>IF($V201="","",Settings!$C$7)</f>
        <v/>
      </c>
      <c r="M201" s="7">
        <f>IF($V201="","",SUMIFS('Per Line'!$L$2:$L$501,'Per Line'!$B$2:$B$501,$B201,'Per Line'!$Y$2:$Y$501,0))</f>
        <v/>
      </c>
      <c r="N201" s="7">
        <f>IF($V201="","",M201*L201)</f>
        <v/>
      </c>
      <c r="O201">
        <f>IF($V201="","",Settings!$C$6)</f>
        <v/>
      </c>
      <c r="P201" s="7">
        <f>IF($V201="","",SUMIFS('Per Line'!$L$2:$L$501,'Per Line'!$B$2:$B$501,$B201,'Per Line'!$Y$2:$Y$501,1))</f>
        <v/>
      </c>
      <c r="Q201" s="7">
        <f>IF($V201="","",P201*O201)</f>
        <v/>
      </c>
      <c r="R201" s="7">
        <f>IF($V201="","",Q201+N201)</f>
        <v/>
      </c>
      <c r="S201" s="7">
        <f>IF($V201="","",T201-R201)</f>
        <v/>
      </c>
      <c r="T201" s="7">
        <f>IF($V201="","",M201+P201)</f>
        <v/>
      </c>
      <c r="U201" s="7">
        <f>IF($V201="","",T201-R201-H201)</f>
        <v/>
      </c>
      <c r="V201" s="13">
        <f>IF(ROWS($V$2:$V201)&lt;=MAX('Per Line'!$X$2:$X$501),MATCH(ROWS($V$2:$V201),'Per Line'!$X$2:$X$501,0),"")</f>
        <v/>
      </c>
    </row>
  </sheetData>
  <autoFilter ref="A1:V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2026-10-12T11:38:49Z</dcterms:created>
  <dcterms:modified xmlns:dcterms="http://purl.org/dc/terms/" xmlns:xsi="http://www.w3.org/2001/XMLSchema-instance" xsi:type="dcterms:W3CDTF">2026-10-12T11:38:49Z</dcterms:modified>
</cp:coreProperties>
</file>